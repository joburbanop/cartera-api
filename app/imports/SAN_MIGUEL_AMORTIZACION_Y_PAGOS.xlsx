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 1" sheetId="1" r:id="rId5"/>
    <sheet state="visible" name="LOTE 2" sheetId="2" r:id="rId6"/>
    <sheet state="visible" name="LOTE 3" sheetId="3" r:id="rId7"/>
    <sheet state="visible" name="LOTE 4" sheetId="4" r:id="rId8"/>
    <sheet state="visible" name="LOTE 5" sheetId="5" r:id="rId9"/>
    <sheet state="visible" name="LOTE 6" sheetId="6" r:id="rId10"/>
    <sheet state="visible" name="LOTE 7" sheetId="7" r:id="rId11"/>
    <sheet state="visible" name="LOTE 8" sheetId="8" r:id="rId12"/>
    <sheet state="visible" name="LOTE 9" sheetId="9" r:id="rId13"/>
    <sheet state="visible" name="LOTE 11" sheetId="10" r:id="rId14"/>
    <sheet state="visible" name="LOTE 12" sheetId="11" r:id="rId15"/>
    <sheet state="visible" name="LOTE 13" sheetId="12" r:id="rId16"/>
    <sheet state="visible" name="LOTE 14" sheetId="13" r:id="rId17"/>
    <sheet state="visible" name="LOTE 15" sheetId="14" r:id="rId18"/>
    <sheet state="visible" name="LOTE 16" sheetId="15" r:id="rId19"/>
    <sheet state="visible" name="LOTE 17" sheetId="16" r:id="rId20"/>
    <sheet state="visible" name="LOTE 18" sheetId="17" r:id="rId21"/>
    <sheet state="visible" name="LOTE 19" sheetId="18" r:id="rId22"/>
    <sheet state="visible" name="LOTE 21" sheetId="19" r:id="rId23"/>
    <sheet state="visible" name="LOTE 22" sheetId="20" r:id="rId24"/>
    <sheet state="visible" name="LOTE 23" sheetId="21" r:id="rId25"/>
    <sheet state="visible" name="LOTE 24" sheetId="22" r:id="rId26"/>
    <sheet state="visible" name="LOTE 25" sheetId="23" r:id="rId27"/>
    <sheet state="visible" name="LOTE 26" sheetId="24" r:id="rId28"/>
    <sheet state="visible" name="LOTE 27" sheetId="25" r:id="rId29"/>
    <sheet state="visible" name="LOTE 30" sheetId="26" r:id="rId30"/>
    <sheet state="visible" name="LOTE 31" sheetId="27" r:id="rId31"/>
    <sheet state="visible" name="LOTE 33" sheetId="28" r:id="rId32"/>
    <sheet state="visible" name="LOTE 34" sheetId="29" r:id="rId33"/>
    <sheet state="visible" name="LOTE 35" sheetId="30" r:id="rId34"/>
    <sheet state="visible" name="LOTE 36" sheetId="31" r:id="rId35"/>
    <sheet state="visible" name="LOTE 37" sheetId="32" r:id="rId36"/>
    <sheet state="visible" name="LOTE 38" sheetId="33" r:id="rId37"/>
    <sheet state="visible" name="LOTE 39" sheetId="34" r:id="rId38"/>
    <sheet state="visible" name="LOTE 40" sheetId="35" r:id="rId39"/>
    <sheet state="visible" name="LOTE 41" sheetId="36" r:id="rId40"/>
    <sheet state="visible" name="LOTE 42" sheetId="37" r:id="rId41"/>
    <sheet state="visible" name="LOTE 43" sheetId="38" r:id="rId42"/>
    <sheet state="visible" name="LOTE 44" sheetId="39" r:id="rId43"/>
    <sheet state="visible" name="LOTE 45" sheetId="40" r:id="rId44"/>
    <sheet state="visible" name="LOTE 46" sheetId="41" r:id="rId45"/>
    <sheet state="visible" name="LOTE 47" sheetId="42" r:id="rId46"/>
    <sheet state="visible" name="LOTE 48" sheetId="43" r:id="rId47"/>
    <sheet state="visible" name="LOTE 49" sheetId="44" r:id="rId48"/>
    <sheet state="visible" name="LOTE 50" sheetId="45" r:id="rId49"/>
    <sheet state="visible" name="LOTE 51" sheetId="46" r:id="rId50"/>
    <sheet state="visible" name="LOTE 52" sheetId="47" r:id="rId51"/>
    <sheet state="visible" name="LOTE 53" sheetId="48" r:id="rId52"/>
    <sheet state="visible" name="LOTE 54" sheetId="49" r:id="rId53"/>
    <sheet state="visible" name="LOTE 55" sheetId="50" r:id="rId54"/>
    <sheet state="visible" name="LOTE 56" sheetId="51" r:id="rId55"/>
    <sheet state="visible" name="LOTE 57" sheetId="52" r:id="rId56"/>
    <sheet state="visible" name="LOTE 58" sheetId="53" r:id="rId57"/>
    <sheet state="visible" name="LOTE 59" sheetId="54" r:id="rId58"/>
    <sheet state="visible" name="LOTE 60" sheetId="55" r:id="rId5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Fecha original: 01/04/2025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Fecha de inicio corregida: la tabla arrancaba el 2025-06-15 pero la venta fue en abril 2026 (primera cuota pagada 24/06/2026).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">
      <text>
        <t xml:space="preserve">Fecha original: 2025-01-05 00:00:00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Corregido de 105.000.000 a 105.560.000 (150,8 m² × 700.000). Con este valor la cuota calculada coincide con la cuota pagada (2.113.312).</t>
      </text>
    </comment>
  </commentList>
</comments>
</file>

<file path=xl/sharedStrings.xml><?xml version="1.0" encoding="utf-8"?>
<sst xmlns="http://schemas.openxmlformats.org/spreadsheetml/2006/main" count="3621" uniqueCount="933">
  <si>
    <t>Modalidad</t>
  </si>
  <si>
    <t>Cuota variable / Abonos extra</t>
  </si>
  <si>
    <t>LOTE 1</t>
  </si>
  <si>
    <t>LOTE 2</t>
  </si>
  <si>
    <t>LOTE 3</t>
  </si>
  <si>
    <t>LOTE 4</t>
  </si>
  <si>
    <t>Cuota inicial</t>
  </si>
  <si>
    <t>Valor crédito</t>
  </si>
  <si>
    <t>VR LOTE</t>
  </si>
  <si>
    <t>Tasa</t>
  </si>
  <si>
    <t>Plazo</t>
  </si>
  <si>
    <t>Cuota</t>
  </si>
  <si>
    <t>CLIENTE:</t>
  </si>
  <si>
    <t xml:space="preserve">RAFAEL EDUARDO CRUZ MOYA - NICOL JULIANA ORTEGA BALLESTEROS </t>
  </si>
  <si>
    <t xml:space="preserve">GERMAN HERNANDO CACHOPE BARRERA </t>
  </si>
  <si>
    <t>JOHN FREDY HERNANDEZ DIAZ</t>
  </si>
  <si>
    <t>CEDULA:</t>
  </si>
  <si>
    <t>80260496  -  1116374535</t>
  </si>
  <si>
    <t>GEOVANY RAMIREZ - LEIDY QUINTANA</t>
  </si>
  <si>
    <t>80175974  -     53093819</t>
  </si>
  <si>
    <t>HISTORIAL DE PAGOS – LOTE 1  (fuente: hoja de vida)</t>
  </si>
  <si>
    <t>HISTORIAL DE PAGOS – LOTE 2  (fuente: hoja de vida)</t>
  </si>
  <si>
    <t>HISTORIAL DE PAGOS – LOTE 3  (fuente: hoja de vida)</t>
  </si>
  <si>
    <t>HISTORIAL DE PAGOS – LOTE 4  (fuente: hoja de vida)</t>
  </si>
  <si>
    <t>FECHA</t>
  </si>
  <si>
    <t>RECIBO</t>
  </si>
  <si>
    <t>Nper</t>
  </si>
  <si>
    <t>Abono extra</t>
  </si>
  <si>
    <t>Intereses</t>
  </si>
  <si>
    <t>Amortización</t>
  </si>
  <si>
    <t>Saldo</t>
  </si>
  <si>
    <t>CONCEPTO</t>
  </si>
  <si>
    <t>RECIBO #</t>
  </si>
  <si>
    <t>EFECTIVO</t>
  </si>
  <si>
    <t>BANCOLOMBIA</t>
  </si>
  <si>
    <t>OCCIDENTE 6391</t>
  </si>
  <si>
    <t>VALOR SIN CUENTA</t>
  </si>
  <si>
    <t>TOTAL PAGO</t>
  </si>
  <si>
    <t>SALDO</t>
  </si>
  <si>
    <t>OBSERVACIÓN</t>
  </si>
  <si>
    <t>SALDO INICIAL (valor lote financiado)</t>
  </si>
  <si>
    <t>0258-0289</t>
  </si>
  <si>
    <t>0227</t>
  </si>
  <si>
    <t>0260</t>
  </si>
  <si>
    <t>CUOTA INICIAL</t>
  </si>
  <si>
    <t>0045</t>
  </si>
  <si>
    <t>0005</t>
  </si>
  <si>
    <t>0074</t>
  </si>
  <si>
    <t>0267-0271</t>
  </si>
  <si>
    <t>0308-0314</t>
  </si>
  <si>
    <t>0749</t>
  </si>
  <si>
    <t>0086</t>
  </si>
  <si>
    <t>0078</t>
  </si>
  <si>
    <t>0094</t>
  </si>
  <si>
    <t>0295</t>
  </si>
  <si>
    <t>0347</t>
  </si>
  <si>
    <t>CAPITAL</t>
  </si>
  <si>
    <t>0760</t>
  </si>
  <si>
    <t>0158</t>
  </si>
  <si>
    <t>0185</t>
  </si>
  <si>
    <t>0313</t>
  </si>
  <si>
    <t>0325</t>
  </si>
  <si>
    <t>0399</t>
  </si>
  <si>
    <t>0785</t>
  </si>
  <si>
    <t>0197</t>
  </si>
  <si>
    <t>0153</t>
  </si>
  <si>
    <t>0215</t>
  </si>
  <si>
    <t>0354</t>
  </si>
  <si>
    <t>0428</t>
  </si>
  <si>
    <t>TOTAL PAGADO</t>
  </si>
  <si>
    <t>0221</t>
  </si>
  <si>
    <t>0489</t>
  </si>
  <si>
    <t>0195</t>
  </si>
  <si>
    <t>CUOTA 1</t>
  </si>
  <si>
    <t>0613</t>
  </si>
  <si>
    <t>0320</t>
  </si>
  <si>
    <t>Fecha estaba como texto "01/04/2025"</t>
  </si>
  <si>
    <t>0381</t>
  </si>
  <si>
    <t>CUOTA 2</t>
  </si>
  <si>
    <t>0226</t>
  </si>
  <si>
    <t>0407</t>
  </si>
  <si>
    <t>0643</t>
  </si>
  <si>
    <t>0356</t>
  </si>
  <si>
    <t>CUOTA 3</t>
  </si>
  <si>
    <t>0440</t>
  </si>
  <si>
    <t>CUOTA 4</t>
  </si>
  <si>
    <t>0380</t>
  </si>
  <si>
    <t>0469</t>
  </si>
  <si>
    <t>CUOTA 2-3</t>
  </si>
  <si>
    <t>CUOTA 5</t>
  </si>
  <si>
    <t>0408</t>
  </si>
  <si>
    <t>0559</t>
  </si>
  <si>
    <t>0691</t>
  </si>
  <si>
    <t>CUOTA 6</t>
  </si>
  <si>
    <t>0438</t>
  </si>
  <si>
    <t>0588</t>
  </si>
  <si>
    <t>CUOTA 7</t>
  </si>
  <si>
    <t>0729</t>
  </si>
  <si>
    <t>0630</t>
  </si>
  <si>
    <t>0463</t>
  </si>
  <si>
    <t>CUOTA 8</t>
  </si>
  <si>
    <t>0679</t>
  </si>
  <si>
    <t>0758</t>
  </si>
  <si>
    <t>CUOTA 9</t>
  </si>
  <si>
    <t>0726</t>
  </si>
  <si>
    <t>0575</t>
  </si>
  <si>
    <t>0804</t>
  </si>
  <si>
    <t>CUOTA 10</t>
  </si>
  <si>
    <t>0769</t>
  </si>
  <si>
    <t>0619</t>
  </si>
  <si>
    <t>CUOTA 8 - 9</t>
  </si>
  <si>
    <t>0645</t>
  </si>
  <si>
    <t>CUOTA 11</t>
  </si>
  <si>
    <t>0795</t>
  </si>
  <si>
    <t>0715</t>
  </si>
  <si>
    <t>CUOTA 12</t>
  </si>
  <si>
    <t>CUOTA 13</t>
  </si>
  <si>
    <t>0736</t>
  </si>
  <si>
    <t>CUOTA 14</t>
  </si>
  <si>
    <t>0743</t>
  </si>
  <si>
    <t>CUOTA 15</t>
  </si>
  <si>
    <t>0779</t>
  </si>
  <si>
    <t>CUOTA 16</t>
  </si>
  <si>
    <t>0816</t>
  </si>
  <si>
    <t>CUOTA 17</t>
  </si>
  <si>
    <t>Tomado de la tabla de amortización (recibo no está en la hoja de vida); cuenta de ingreso desconocida</t>
  </si>
  <si>
    <t>LOTE 5</t>
  </si>
  <si>
    <t>AURORA RODRIGUEZ VANEGAS</t>
  </si>
  <si>
    <t>HISTORIAL DE PAGOS – LOTE 5  (fuente: hoja de vida)</t>
  </si>
  <si>
    <t>0274-0277</t>
  </si>
  <si>
    <t>0223</t>
  </si>
  <si>
    <t>0307-0317</t>
  </si>
  <si>
    <t>0248</t>
  </si>
  <si>
    <t>0350</t>
  </si>
  <si>
    <t>CUOTA 1 + ABONO CAPITAL</t>
  </si>
  <si>
    <t>0364-0351</t>
  </si>
  <si>
    <t>CUOTA 2 + ABONO CAPITAL</t>
  </si>
  <si>
    <t>0387</t>
  </si>
  <si>
    <t>0416</t>
  </si>
  <si>
    <t>CUOTA 4 + ABONO CAPITAL</t>
  </si>
  <si>
    <t>0452</t>
  </si>
  <si>
    <t>0490</t>
  </si>
  <si>
    <t>LOTE 6</t>
  </si>
  <si>
    <t xml:space="preserve">Personalizado </t>
  </si>
  <si>
    <t>0568</t>
  </si>
  <si>
    <t>0611</t>
  </si>
  <si>
    <t xml:space="preserve">WILLIAM ERNESTO ROJAS CAICEDO </t>
  </si>
  <si>
    <t>LOTE 7</t>
  </si>
  <si>
    <t>0633</t>
  </si>
  <si>
    <t>HISTORIAL DE PAGOS – LOTE 6  (fuente: hoja de vida)</t>
  </si>
  <si>
    <t>0670</t>
  </si>
  <si>
    <t>0709</t>
  </si>
  <si>
    <t>0433</t>
  </si>
  <si>
    <t>0741</t>
  </si>
  <si>
    <t>EDWIN PARAMO RUIZ -
 ALBA NIKOLL OSORIO PEREA</t>
  </si>
  <si>
    <t>79830595 - 1113697933</t>
  </si>
  <si>
    <t>HISTORIAL DE PAGOS – LOTE 7  (fuente: hoja de vida)</t>
  </si>
  <si>
    <t>0788</t>
  </si>
  <si>
    <t>0358</t>
  </si>
  <si>
    <t>0821</t>
  </si>
  <si>
    <t>0475</t>
  </si>
  <si>
    <t>0754</t>
  </si>
  <si>
    <t>0448</t>
  </si>
  <si>
    <t>0591</t>
  </si>
  <si>
    <t>0684</t>
  </si>
  <si>
    <t>0677</t>
  </si>
  <si>
    <t>0727</t>
  </si>
  <si>
    <t>0803</t>
  </si>
  <si>
    <t>0707</t>
  </si>
  <si>
    <t>Celda original "11/05/2026-12/05/2026" (dos fechas); se toma la primera</t>
  </si>
  <si>
    <t>LOTE 8</t>
  </si>
  <si>
    <t xml:space="preserve">DIANA CAROLINA RIVERA MOJICA </t>
  </si>
  <si>
    <t xml:space="preserve">CEDULA: </t>
  </si>
  <si>
    <t>HISTORIAL DE PAGOS – LOTE 8  (fuente: hoja de vida)</t>
  </si>
  <si>
    <t>0154-0174-0203-0204</t>
  </si>
  <si>
    <t>0062</t>
  </si>
  <si>
    <t>0245-0246</t>
  </si>
  <si>
    <t>0073</t>
  </si>
  <si>
    <t>0264</t>
  </si>
  <si>
    <t>0085</t>
  </si>
  <si>
    <t>0287</t>
  </si>
  <si>
    <t>0323</t>
  </si>
  <si>
    <t>0355</t>
  </si>
  <si>
    <t>CUOTA 3 + ABONO CAPITAL</t>
  </si>
  <si>
    <t>0379</t>
  </si>
  <si>
    <t>0406</t>
  </si>
  <si>
    <t>CUOTA 5 + ABONO CAPITAL</t>
  </si>
  <si>
    <t>0437</t>
  </si>
  <si>
    <t>CUOTA 6 + ABONO CAPITAL</t>
  </si>
  <si>
    <t>0478</t>
  </si>
  <si>
    <t>CUOTA 7 + ABONO CAPITAL</t>
  </si>
  <si>
    <t>0551</t>
  </si>
  <si>
    <t>CUOTA 8 + ABONO CAPITAL</t>
  </si>
  <si>
    <t>0586</t>
  </si>
  <si>
    <t>CUOTA 9 + ABONO CAPITAL</t>
  </si>
  <si>
    <t>0618-0641</t>
  </si>
  <si>
    <t>CUOTA 10 + ABONO CAPITAL</t>
  </si>
  <si>
    <t>0667</t>
  </si>
  <si>
    <t>CUOTA 11 + ABONO CAPITAL</t>
  </si>
  <si>
    <t>0699</t>
  </si>
  <si>
    <t>CUOTA 12 + ABONO CAPITAL</t>
  </si>
  <si>
    <t>0763</t>
  </si>
  <si>
    <t>CUOTA 13 + ABONO CAPITAL</t>
  </si>
  <si>
    <t>Celda original "2/03/2026 - 23/03/2026" (dos fechas); se toma la primera</t>
  </si>
  <si>
    <t>0778</t>
  </si>
  <si>
    <t>CUOTA 14 + ABONO CAPITAL</t>
  </si>
  <si>
    <t>CUOTA 15+ ABONO CAPITAL</t>
  </si>
  <si>
    <t>LOTE 9</t>
  </si>
  <si>
    <t>ARBEY ERAZO TORO</t>
  </si>
  <si>
    <t>HISTORIAL DE PAGOS – LOTE 9  (fuente: hoja de vida)</t>
  </si>
  <si>
    <t>0243</t>
  </si>
  <si>
    <t>LOTE 11</t>
  </si>
  <si>
    <t>Epecial</t>
  </si>
  <si>
    <t>0002</t>
  </si>
  <si>
    <t>0280</t>
  </si>
  <si>
    <t>0092</t>
  </si>
  <si>
    <t>0018</t>
  </si>
  <si>
    <t>BEATRIZ RIVAS BARONA</t>
  </si>
  <si>
    <t>0172</t>
  </si>
  <si>
    <t>0021</t>
  </si>
  <si>
    <t>HISTORIAL DE PAGOS – LOTE 11  (fuente: hoja de vida)</t>
  </si>
  <si>
    <t>0218</t>
  </si>
  <si>
    <t>0024</t>
  </si>
  <si>
    <t>LOTE 12</t>
  </si>
  <si>
    <t>0028</t>
  </si>
  <si>
    <t>0474</t>
  </si>
  <si>
    <t>0034</t>
  </si>
  <si>
    <t>0429</t>
  </si>
  <si>
    <t>0039</t>
  </si>
  <si>
    <t>JOHN EDINSON CORTES VELASCO</t>
  </si>
  <si>
    <t>0554</t>
  </si>
  <si>
    <t>0569</t>
  </si>
  <si>
    <t>HISTORIAL DE PAGOS – LOTE 12  (fuente: hoja de vida)</t>
  </si>
  <si>
    <t>0589</t>
  </si>
  <si>
    <t>0040</t>
  </si>
  <si>
    <t>0622</t>
  </si>
  <si>
    <t>0602</t>
  </si>
  <si>
    <t>0198</t>
  </si>
  <si>
    <t>0663</t>
  </si>
  <si>
    <t>0636</t>
  </si>
  <si>
    <t>0776</t>
  </si>
  <si>
    <t>0675</t>
  </si>
  <si>
    <t>INICIAL</t>
  </si>
  <si>
    <t>0008</t>
  </si>
  <si>
    <t>0717</t>
  </si>
  <si>
    <t>Fecha original 02/02/2024 (año imposible: el recibo 0008 de efectivo cae entre el 0007 del 16/01/2025 y el 0009 del 01/03/2025)</t>
  </si>
  <si>
    <t>0744</t>
  </si>
  <si>
    <t>0161</t>
  </si>
  <si>
    <t>0224</t>
  </si>
  <si>
    <t>0784</t>
  </si>
  <si>
    <t>0167-0198</t>
  </si>
  <si>
    <t>Fecha original 12/02/2024 (año imposible: recibo 0167 es de feb-2025)</t>
  </si>
  <si>
    <t>CUOTA 1-2</t>
  </si>
  <si>
    <t>0265</t>
  </si>
  <si>
    <t>CUOTA 3-4</t>
  </si>
  <si>
    <t>CUOTA 5-6</t>
  </si>
  <si>
    <t>0294</t>
  </si>
  <si>
    <t>CUOTA 7-8</t>
  </si>
  <si>
    <t>CUOTA 9-10</t>
  </si>
  <si>
    <t>0324</t>
  </si>
  <si>
    <t>0383</t>
  </si>
  <si>
    <t>0649</t>
  </si>
  <si>
    <t>0672</t>
  </si>
  <si>
    <t>0750</t>
  </si>
  <si>
    <t>LOTE 14</t>
  </si>
  <si>
    <t>LIZBETH YULIANA QUENGUAN QUEGUAN</t>
  </si>
  <si>
    <t>HISTORIAL DE PAGOS – LOTE 13  (fuente: hoja de vida)</t>
  </si>
  <si>
    <t>0262</t>
  </si>
  <si>
    <t>0211</t>
  </si>
  <si>
    <t>0293</t>
  </si>
  <si>
    <t>0242</t>
  </si>
  <si>
    <t>0327-0338</t>
  </si>
  <si>
    <t>0363</t>
  </si>
  <si>
    <t>0384</t>
  </si>
  <si>
    <t>0405</t>
  </si>
  <si>
    <t>0436</t>
  </si>
  <si>
    <t>0486</t>
  </si>
  <si>
    <t>0560</t>
  </si>
  <si>
    <t>0593</t>
  </si>
  <si>
    <t>0620</t>
  </si>
  <si>
    <t>0664</t>
  </si>
  <si>
    <t>0703</t>
  </si>
  <si>
    <t>0733</t>
  </si>
  <si>
    <t>0775</t>
  </si>
  <si>
    <t>0808</t>
  </si>
  <si>
    <t>WALTER ROSENDO PINEDA PEREZ</t>
  </si>
  <si>
    <t>HISTORIAL DE PAGOS – LOTE 14  (fuente: hoja de vida)</t>
  </si>
  <si>
    <t>0261</t>
  </si>
  <si>
    <t>0159</t>
  </si>
  <si>
    <t>0292</t>
  </si>
  <si>
    <t>0165</t>
  </si>
  <si>
    <t>0319</t>
  </si>
  <si>
    <t>0196</t>
  </si>
  <si>
    <t>0376</t>
  </si>
  <si>
    <t>0244</t>
  </si>
  <si>
    <t>0403</t>
  </si>
  <si>
    <t>0430</t>
  </si>
  <si>
    <t>0487</t>
  </si>
  <si>
    <t>0610</t>
  </si>
  <si>
    <t>0652</t>
  </si>
  <si>
    <t>0695</t>
  </si>
  <si>
    <t>0757</t>
  </si>
  <si>
    <t>LOTE 16</t>
  </si>
  <si>
    <t xml:space="preserve">ALEX FAUSTINO NAZARIT SALCEDO- 
HERNAN ELIAS NAZARIT SALCEDO </t>
  </si>
  <si>
    <t>16915958-94535317</t>
  </si>
  <si>
    <t>HISTORIAL DE PAGOS – LOTE 15  (fuente: hoja de vida)</t>
  </si>
  <si>
    <t>0439</t>
  </si>
  <si>
    <t>0398</t>
  </si>
  <si>
    <t>0473</t>
  </si>
  <si>
    <t>JUAN SEBASTIAN ERAZO NIETO</t>
  </si>
  <si>
    <t>HISTORIAL DE PAGOS – LOTE 16  (fuente: hoja de vida)</t>
  </si>
  <si>
    <t>0567</t>
  </si>
  <si>
    <t>0595</t>
  </si>
  <si>
    <t>0255</t>
  </si>
  <si>
    <t>0623</t>
  </si>
  <si>
    <t>0666</t>
  </si>
  <si>
    <t>0706</t>
  </si>
  <si>
    <t>0093</t>
  </si>
  <si>
    <t>0015</t>
  </si>
  <si>
    <t>0777</t>
  </si>
  <si>
    <t>0010</t>
  </si>
  <si>
    <t>0812</t>
  </si>
  <si>
    <t>0020</t>
  </si>
  <si>
    <t>0348</t>
  </si>
  <si>
    <t>0026</t>
  </si>
  <si>
    <t>0033</t>
  </si>
  <si>
    <t>0431</t>
  </si>
  <si>
    <t>0467</t>
  </si>
  <si>
    <t>0496</t>
  </si>
  <si>
    <t>0581</t>
  </si>
  <si>
    <t>0614</t>
  </si>
  <si>
    <t>0660</t>
  </si>
  <si>
    <t>0700</t>
  </si>
  <si>
    <t>0734</t>
  </si>
  <si>
    <t>0739</t>
  </si>
  <si>
    <t>0770</t>
  </si>
  <si>
    <t>0806</t>
  </si>
  <si>
    <t>LOTE 17</t>
  </si>
  <si>
    <t>JULIO ANDRES VARGAS RENGIFO</t>
  </si>
  <si>
    <t>HISTORIAL DE PAGOS – LOTE 17  (fuente: hoja de vida)</t>
  </si>
  <si>
    <t>0302</t>
  </si>
  <si>
    <t>0175</t>
  </si>
  <si>
    <t>0233</t>
  </si>
  <si>
    <t>CUOTA 1-2-3</t>
  </si>
  <si>
    <t>0460-0470</t>
  </si>
  <si>
    <t>0460-470</t>
  </si>
  <si>
    <t>Celda original "30/11/2025-9/12/2025" (dos fechas); se toma la primera</t>
  </si>
  <si>
    <t>0494</t>
  </si>
  <si>
    <t>0681</t>
  </si>
  <si>
    <t>CUOTA 6-7-8-9-10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</si>
  <si>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</si>
  <si>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LOTE 18</t>
  </si>
  <si>
    <t>HISTORIAL DE PAGOS – LOTE 18  (fuente: hoja de vida)</t>
  </si>
  <si>
    <t>0169</t>
  </si>
  <si>
    <t>0072</t>
  </si>
  <si>
    <t>CUOTA INICIAL TRASLADO DEL LOTE 35</t>
  </si>
  <si>
    <t>0004</t>
  </si>
  <si>
    <t>Traslado desde el lote 35 (confirmado: son dos traslados distintos, recibos 0004 y 0066)</t>
  </si>
  <si>
    <t>0173</t>
  </si>
  <si>
    <t>CUOTA INICIAL TRASLADO DEL LOTE 17</t>
  </si>
  <si>
    <t>0066</t>
  </si>
  <si>
    <t>0162</t>
  </si>
  <si>
    <t>0166</t>
  </si>
  <si>
    <t>0176</t>
  </si>
  <si>
    <t>CUOTA 3-4-5-6</t>
  </si>
  <si>
    <t>0177</t>
  </si>
  <si>
    <t>CUOTA 9-10-11</t>
  </si>
  <si>
    <t>0217</t>
  </si>
  <si>
    <t>CUOTA 13-14</t>
  </si>
  <si>
    <t>0283</t>
  </si>
  <si>
    <t>CUOTA 15 + ABONO CAPITAL</t>
  </si>
  <si>
    <t>0653</t>
  </si>
  <si>
    <t>LOTE 19</t>
  </si>
  <si>
    <t>OTONIEL CALERO DONNEYS</t>
  </si>
  <si>
    <t>HISTORIAL DE PAGOS – LOTE 19  (fuente: hoja de vida)</t>
  </si>
  <si>
    <t>0012</t>
  </si>
  <si>
    <t>0001</t>
  </si>
  <si>
    <t>0013</t>
  </si>
  <si>
    <t>0007</t>
  </si>
  <si>
    <t>0019</t>
  </si>
  <si>
    <t>0009</t>
  </si>
  <si>
    <t>0023</t>
  </si>
  <si>
    <t>0011</t>
  </si>
  <si>
    <t>0025</t>
  </si>
  <si>
    <t>LOTE 21</t>
  </si>
  <si>
    <t>0032</t>
  </si>
  <si>
    <t>0035</t>
  </si>
  <si>
    <t>0038</t>
  </si>
  <si>
    <t>MARTHA LUCIA HERRERA CORREA</t>
  </si>
  <si>
    <t>0497</t>
  </si>
  <si>
    <t>HISTORIAL DE PAGOS – LOTE 21  (fuente: hoja de vida)</t>
  </si>
  <si>
    <t>0584</t>
  </si>
  <si>
    <t>0187</t>
  </si>
  <si>
    <t>0621</t>
  </si>
  <si>
    <t>0662</t>
  </si>
  <si>
    <t>0052</t>
  </si>
  <si>
    <t>0705</t>
  </si>
  <si>
    <t>0220</t>
  </si>
  <si>
    <t>0053</t>
  </si>
  <si>
    <t>0738</t>
  </si>
  <si>
    <t>0253</t>
  </si>
  <si>
    <t>0783</t>
  </si>
  <si>
    <t>0071</t>
  </si>
  <si>
    <t>0288</t>
  </si>
  <si>
    <t>CUOTA 1 + ABONO</t>
  </si>
  <si>
    <t>0316</t>
  </si>
  <si>
    <t>CUOTA 2 + ABONO</t>
  </si>
  <si>
    <t>0373</t>
  </si>
  <si>
    <t>CUOTA 3 + ABONO</t>
  </si>
  <si>
    <t>0375</t>
  </si>
  <si>
    <t>CUOTA 4 + ABONO</t>
  </si>
  <si>
    <t>0402</t>
  </si>
  <si>
    <t>0423</t>
  </si>
  <si>
    <t>0461</t>
  </si>
  <si>
    <t>0499</t>
  </si>
  <si>
    <t>0578</t>
  </si>
  <si>
    <t>0615</t>
  </si>
  <si>
    <t>0661</t>
  </si>
  <si>
    <t>0690</t>
  </si>
  <si>
    <t>0728</t>
  </si>
  <si>
    <t>0762</t>
  </si>
  <si>
    <t>0797</t>
  </si>
  <si>
    <t>CUOTA 18</t>
  </si>
  <si>
    <t>LOTE 22</t>
  </si>
  <si>
    <t>SANDRA LORENA BENJUMEA NOSSA - 
LAURA CILIA  NOSSA OSPINA</t>
  </si>
  <si>
    <t>1126804792 - 31224655</t>
  </si>
  <si>
    <t>HISTORIAL DE PAGOS – LOTE 22  (fuente: hoja de vida)</t>
  </si>
  <si>
    <t>0210</t>
  </si>
  <si>
    <t>0077</t>
  </si>
  <si>
    <t>0089</t>
  </si>
  <si>
    <t>0251</t>
  </si>
  <si>
    <t>0206</t>
  </si>
  <si>
    <t>CUOTA 1 -2</t>
  </si>
  <si>
    <t>0334</t>
  </si>
  <si>
    <t>CUOTA 3 - 4 + ABONO</t>
  </si>
  <si>
    <t>0332</t>
  </si>
  <si>
    <t>CUOTA 5 + ABONO</t>
  </si>
  <si>
    <t>0394</t>
  </si>
  <si>
    <t>CUOTA 6 + ABONO</t>
  </si>
  <si>
    <t>0466</t>
  </si>
  <si>
    <t>0592</t>
  </si>
  <si>
    <t>0693</t>
  </si>
  <si>
    <t>CUOTA 11-12</t>
  </si>
  <si>
    <t>0765</t>
  </si>
  <si>
    <t>0796</t>
  </si>
  <si>
    <t>0826</t>
  </si>
  <si>
    <t>LOTE 23</t>
  </si>
  <si>
    <t xml:space="preserve">WILSON ARBEY VALENCIA BOLAÑOS </t>
  </si>
  <si>
    <t>HISTORIAL DE PAGOS – LOTE 23  (fuente: hoja de vida)</t>
  </si>
  <si>
    <t>0468</t>
  </si>
  <si>
    <t>0370</t>
  </si>
  <si>
    <t>0483</t>
  </si>
  <si>
    <t>0393</t>
  </si>
  <si>
    <t>0563</t>
  </si>
  <si>
    <t>0441</t>
  </si>
  <si>
    <t>0609</t>
  </si>
  <si>
    <t>Fecha original "06/12/205"</t>
  </si>
  <si>
    <t>0625</t>
  </si>
  <si>
    <t>0673</t>
  </si>
  <si>
    <t>0724</t>
  </si>
  <si>
    <t>0742</t>
  </si>
  <si>
    <t>0790</t>
  </si>
  <si>
    <t>0817</t>
  </si>
  <si>
    <t>LOTE 24</t>
  </si>
  <si>
    <t xml:space="preserve">DANIELA DIQUE HENAO </t>
  </si>
  <si>
    <t>HISTORIAL DE PAGOS – LOTE 24  (fuente: hoja de vida)</t>
  </si>
  <si>
    <t>LOTE 25</t>
  </si>
  <si>
    <t>0201</t>
  </si>
  <si>
    <t>0079</t>
  </si>
  <si>
    <t xml:space="preserve">JHON EDINSON DIQUE HENAO </t>
  </si>
  <si>
    <t>00157</t>
  </si>
  <si>
    <t>HISTORIAL DE PAGOS – LOTE 25  (fuente: hoja de vida)</t>
  </si>
  <si>
    <t>0235</t>
  </si>
  <si>
    <t>CUOTA 1  - 2</t>
  </si>
  <si>
    <t>0202</t>
  </si>
  <si>
    <t>0342</t>
  </si>
  <si>
    <t>CUOTA 5-6-7-8</t>
  </si>
  <si>
    <t>0282</t>
  </si>
  <si>
    <t>0080</t>
  </si>
  <si>
    <t>0435</t>
  </si>
  <si>
    <t>0156</t>
  </si>
  <si>
    <t>CUOTA 13-14-15</t>
  </si>
  <si>
    <t>0731</t>
  </si>
  <si>
    <t>0236</t>
  </si>
  <si>
    <t>0263</t>
  </si>
  <si>
    <t>CUOTA 7-8-9-10</t>
  </si>
  <si>
    <t>0335</t>
  </si>
  <si>
    <t>0495</t>
  </si>
  <si>
    <t>0732</t>
  </si>
  <si>
    <t>LOTE 26</t>
  </si>
  <si>
    <t xml:space="preserve">CLARIBEL SANCHEZ GARCIA </t>
  </si>
  <si>
    <t>HISTORIAL DE PAGOS – LOTE 26  (fuente: hoja de vida)</t>
  </si>
  <si>
    <t>0222</t>
  </si>
  <si>
    <t>0082</t>
  </si>
  <si>
    <t>0207</t>
  </si>
  <si>
    <t>0285</t>
  </si>
  <si>
    <t>CUOTA 1 - 2</t>
  </si>
  <si>
    <t>0344</t>
  </si>
  <si>
    <t>CUOTA 4 - 5</t>
  </si>
  <si>
    <t>0400</t>
  </si>
  <si>
    <t>0477</t>
  </si>
  <si>
    <t>0465</t>
  </si>
  <si>
    <t>0552</t>
  </si>
  <si>
    <t>0583</t>
  </si>
  <si>
    <t>0617</t>
  </si>
  <si>
    <t>0665</t>
  </si>
  <si>
    <t>0692</t>
  </si>
  <si>
    <t>0702</t>
  </si>
  <si>
    <t>0771</t>
  </si>
  <si>
    <t>LOTE 30  –  Hameth Smith Murillo Becerra  –  LOTE ESPECIAL (sin tabla de amortización)</t>
  </si>
  <si>
    <t>HISTORIAL DE PAGOS – LOTE 30  (fuente: hoja de vida)</t>
  </si>
  <si>
    <t>LOTE 27</t>
  </si>
  <si>
    <t>057</t>
  </si>
  <si>
    <t>ABONO</t>
  </si>
  <si>
    <t>0180</t>
  </si>
  <si>
    <t>0341</t>
  </si>
  <si>
    <t>HISTORIAL DE PAGOS – LOTE 27  (fuente: hoja de vida)</t>
  </si>
  <si>
    <t>0247</t>
  </si>
  <si>
    <t>30/02/2025</t>
  </si>
  <si>
    <t>0190</t>
  </si>
  <si>
    <t>0286</t>
  </si>
  <si>
    <t>0205</t>
  </si>
  <si>
    <t>0345</t>
  </si>
  <si>
    <t>0390</t>
  </si>
  <si>
    <t>0401</t>
  </si>
  <si>
    <t>CUOTA 4 -5</t>
  </si>
  <si>
    <t>LOTE 31  –  Maria Ismenia Bermudez  –  LOTE ESPECIAL (sin tabla de amortización)</t>
  </si>
  <si>
    <t>HISTORIAL DE PAGOS – LOTE 31  (fuente: hoja de vida)</t>
  </si>
  <si>
    <t>0434</t>
  </si>
  <si>
    <t>051</t>
  </si>
  <si>
    <t>0464</t>
  </si>
  <si>
    <t>0181</t>
  </si>
  <si>
    <t>0553</t>
  </si>
  <si>
    <t>0582</t>
  </si>
  <si>
    <t>CUOTA 10 - 11</t>
  </si>
  <si>
    <t>CUOTA 12 - 13</t>
  </si>
  <si>
    <t>CUOTA 14 -15</t>
  </si>
  <si>
    <t>0628</t>
  </si>
  <si>
    <t>CUOTA 19</t>
  </si>
  <si>
    <t>0772</t>
  </si>
  <si>
    <t>CUOTA 20</t>
  </si>
  <si>
    <t>0809</t>
  </si>
  <si>
    <t>LOTE 33</t>
  </si>
  <si>
    <t>JESUS ALEJANDRO SALAZAR ORDOÑEZ</t>
  </si>
  <si>
    <t>HISTORIAL DE PAGOS – LOTE 33  (fuente: hoja de vida)</t>
  </si>
  <si>
    <t>LOTE 34</t>
  </si>
  <si>
    <t>0231</t>
  </si>
  <si>
    <t>0151</t>
  </si>
  <si>
    <t>ELIANA DIAZ DIAZ</t>
  </si>
  <si>
    <t>HISTORIAL DE PAGOS – LOTE 34  (fuente: hoja de vida)</t>
  </si>
  <si>
    <t>Saldo en hoja de vida decía 126.867.017 (no restaba este pago de 1.000.000); aquí recalculado</t>
  </si>
  <si>
    <t>0648</t>
  </si>
  <si>
    <t>0186</t>
  </si>
  <si>
    <t>Fecha original "27/02/20325"</t>
  </si>
  <si>
    <t>0232</t>
  </si>
  <si>
    <t>0188</t>
  </si>
  <si>
    <t>0191</t>
  </si>
  <si>
    <t>0076</t>
  </si>
  <si>
    <t>0194</t>
  </si>
  <si>
    <t>0275</t>
  </si>
  <si>
    <t>0087</t>
  </si>
  <si>
    <t>0306</t>
  </si>
  <si>
    <t>0650</t>
  </si>
  <si>
    <t>CUOTA 2-3-4-5-6-7</t>
  </si>
  <si>
    <t>0330</t>
  </si>
  <si>
    <t>CUOTA 8-9-10-11-12</t>
  </si>
  <si>
    <t>0359</t>
  </si>
  <si>
    <t>0698</t>
  </si>
  <si>
    <t>0386</t>
  </si>
  <si>
    <t>0802</t>
  </si>
  <si>
    <t>0792</t>
  </si>
  <si>
    <t>0410</t>
  </si>
  <si>
    <t>0444</t>
  </si>
  <si>
    <t>0807</t>
  </si>
  <si>
    <t>0471</t>
  </si>
  <si>
    <t>0562</t>
  </si>
  <si>
    <t>0594</t>
  </si>
  <si>
    <t>0627</t>
  </si>
  <si>
    <t>0708</t>
  </si>
  <si>
    <t>0740</t>
  </si>
  <si>
    <t>CUOTA 12-13</t>
  </si>
  <si>
    <t>0782</t>
  </si>
  <si>
    <t>LOTE 35</t>
  </si>
  <si>
    <t xml:space="preserve">ZORAIDA CRUZ RIOS </t>
  </si>
  <si>
    <t>HISTORIAL DE PAGOS – LOTE 35  (fuente: hoja de vida)</t>
  </si>
  <si>
    <t>0498</t>
  </si>
  <si>
    <t>0453</t>
  </si>
  <si>
    <t>0577</t>
  </si>
  <si>
    <t>0457</t>
  </si>
  <si>
    <t>0604</t>
  </si>
  <si>
    <t>0629</t>
  </si>
  <si>
    <t>0686</t>
  </si>
  <si>
    <t>0723</t>
  </si>
  <si>
    <t>0755</t>
  </si>
  <si>
    <t>0794</t>
  </si>
  <si>
    <t>0828</t>
  </si>
  <si>
    <t>LOTE 36</t>
  </si>
  <si>
    <t>ALEXANDRA MORENO RIVERA</t>
  </si>
  <si>
    <t>HISTORIAL DE PAGOS – LOTE 36  (fuente: hoja de vida)</t>
  </si>
  <si>
    <t>0315-0343</t>
  </si>
  <si>
    <t>0281</t>
  </si>
  <si>
    <t>0371</t>
  </si>
  <si>
    <t>0304</t>
  </si>
  <si>
    <t>0396</t>
  </si>
  <si>
    <t>0422</t>
  </si>
  <si>
    <t>0462</t>
  </si>
  <si>
    <t>0491</t>
  </si>
  <si>
    <t>0579</t>
  </si>
  <si>
    <t>0601</t>
  </si>
  <si>
    <t>0644</t>
  </si>
  <si>
    <t>0689</t>
  </si>
  <si>
    <t>0719</t>
  </si>
  <si>
    <t>0759</t>
  </si>
  <si>
    <t>0793</t>
  </si>
  <si>
    <t>LOTE 37</t>
  </si>
  <si>
    <t>LOTE 38</t>
  </si>
  <si>
    <t xml:space="preserve">KAROL VIVIANA RIVERA BERMUDEZ </t>
  </si>
  <si>
    <t>HISTORIAL DE PAGOS – LOTE 38  (fuente: hoja de vida)</t>
  </si>
  <si>
    <t>HISTORIAL DE PAGOS – LOTE 37  (fuente: hoja de vida)</t>
  </si>
  <si>
    <t>0279</t>
  </si>
  <si>
    <t>0228</t>
  </si>
  <si>
    <t>0312</t>
  </si>
  <si>
    <t>0272</t>
  </si>
  <si>
    <t>0352</t>
  </si>
  <si>
    <t>0372</t>
  </si>
  <si>
    <t>0346</t>
  </si>
  <si>
    <t>0397</t>
  </si>
  <si>
    <t>0424</t>
  </si>
  <si>
    <t>0459</t>
  </si>
  <si>
    <t>0570</t>
  </si>
  <si>
    <t>COUTA 3</t>
  </si>
  <si>
    <t>0600</t>
  </si>
  <si>
    <t>0647</t>
  </si>
  <si>
    <t>0714</t>
  </si>
  <si>
    <t>0659</t>
  </si>
  <si>
    <t>0735</t>
  </si>
  <si>
    <t>0694</t>
  </si>
  <si>
    <t>0801</t>
  </si>
  <si>
    <t>0823</t>
  </si>
  <si>
    <t>LOTE 39</t>
  </si>
  <si>
    <t xml:space="preserve">DIEGO FERNANDO MOSQUERA MOLINA </t>
  </si>
  <si>
    <t>16771449</t>
  </si>
  <si>
    <t>HISTORIAL DE PAGOS – LOTE 39  (fuente: hoja de vida)</t>
  </si>
  <si>
    <t>0252</t>
  </si>
  <si>
    <t>189</t>
  </si>
  <si>
    <t>0485</t>
  </si>
  <si>
    <t>213</t>
  </si>
  <si>
    <t>CUOTA 2-3-4-5</t>
  </si>
  <si>
    <t>CUOTA 6-7</t>
  </si>
  <si>
    <t>0585</t>
  </si>
  <si>
    <t>CUOTA 8-9-10</t>
  </si>
  <si>
    <t>0631</t>
  </si>
  <si>
    <t>LOTE 40</t>
  </si>
  <si>
    <t>HISTORIAL DE PAGOS – LOTE 40  (fuente: hoja de vida)</t>
  </si>
  <si>
    <t>0189</t>
  </si>
  <si>
    <t>LOTE 41</t>
  </si>
  <si>
    <t>0219</t>
  </si>
  <si>
    <t xml:space="preserve">NATHALIA TORRES GARCIA - 
JOHANS VIZCANO DABOIN </t>
  </si>
  <si>
    <t>1006166238 - 1126247191</t>
  </si>
  <si>
    <t>HISTORIAL DE PAGOS – LOTE 41  (fuente: hoja de vida)</t>
  </si>
  <si>
    <t>CCUOTA 8-9-10</t>
  </si>
  <si>
    <t>LOTE 42</t>
  </si>
  <si>
    <t>0603</t>
  </si>
  <si>
    <t>574</t>
  </si>
  <si>
    <t>0676</t>
  </si>
  <si>
    <t>573</t>
  </si>
  <si>
    <t>Saldo en hoja de vida decía 117.729.807 (restó 8.396.211 en vez de 5.000.000); aquí recalculado</t>
  </si>
  <si>
    <t>0718</t>
  </si>
  <si>
    <t>CUOTA 2 - 3 + ABONO CAPITAL</t>
  </si>
  <si>
    <t>Saldo en hoja de vida decía 112.729.807 (restó 5.000.000 en vez de 8.396.211); aquí recalculado</t>
  </si>
  <si>
    <t>0751</t>
  </si>
  <si>
    <t>Saldo en hoja de vida decía 104.333.596 (restó 8.396.211 en vez de 8.400.000); aquí recalculado</t>
  </si>
  <si>
    <t>0805</t>
  </si>
  <si>
    <t xml:space="preserve">MICHAEL ANDREA SERNA DIAZ </t>
  </si>
  <si>
    <t>1006492094</t>
  </si>
  <si>
    <t>HISTORIAL DE PAGOS – LOTE 42  (fuente: hoja de vida)</t>
  </si>
  <si>
    <t>0305</t>
  </si>
  <si>
    <t>0238</t>
  </si>
  <si>
    <t>0328</t>
  </si>
  <si>
    <t>0259</t>
  </si>
  <si>
    <t>0368</t>
  </si>
  <si>
    <t>0392</t>
  </si>
  <si>
    <t>0421</t>
  </si>
  <si>
    <t>0456</t>
  </si>
  <si>
    <t>0492</t>
  </si>
  <si>
    <t>0565</t>
  </si>
  <si>
    <t>0597</t>
  </si>
  <si>
    <t>0640</t>
  </si>
  <si>
    <t>0682</t>
  </si>
  <si>
    <t>0711</t>
  </si>
  <si>
    <t>0766</t>
  </si>
  <si>
    <t>0811</t>
  </si>
  <si>
    <t>LOTE 43  –  HEIDY MABEL HOYOS GOMEZ  –  LOTE ESPECIAL (sin tabla de amortización)</t>
  </si>
  <si>
    <t>HISTORIAL DE PAGOS – LOTE 43  (fuente: hoja de vida)</t>
  </si>
  <si>
    <t>054</t>
  </si>
  <si>
    <t>LOTE 44  –  JEFENY STEPHANIE MONSALVE  –  LOTE ESPECIAL (sin tabla de amortización)</t>
  </si>
  <si>
    <t>HISTORIAL DE PAGOS – LOTE 44  (fuente: hoja de vida)</t>
  </si>
  <si>
    <t>0065</t>
  </si>
  <si>
    <t>0152</t>
  </si>
  <si>
    <t>0168</t>
  </si>
  <si>
    <t>0184</t>
  </si>
  <si>
    <t>Fecha original 26/02/2024 (año imposible: recibo 0184 es de feb-2025)</t>
  </si>
  <si>
    <t>0178</t>
  </si>
  <si>
    <t>0225</t>
  </si>
  <si>
    <t>0300</t>
  </si>
  <si>
    <t>0321</t>
  </si>
  <si>
    <t>0361</t>
  </si>
  <si>
    <t>0377</t>
  </si>
  <si>
    <t>0427</t>
  </si>
  <si>
    <t>0587</t>
  </si>
  <si>
    <t>0616</t>
  </si>
  <si>
    <t>0668</t>
  </si>
  <si>
    <t>0773</t>
  </si>
  <si>
    <t>LOTE 45</t>
  </si>
  <si>
    <t>Personalizado</t>
  </si>
  <si>
    <t>EIMY CAROLINA REYES ALAPE</t>
  </si>
  <si>
    <t>52530729</t>
  </si>
  <si>
    <t>HISTORIAL DE PAGOS – LOTE 45  (fuente: hoja de vida)</t>
  </si>
  <si>
    <t>0432</t>
  </si>
  <si>
    <t>0357</t>
  </si>
  <si>
    <t>0476</t>
  </si>
  <si>
    <t>0449</t>
  </si>
  <si>
    <t>0590</t>
  </si>
  <si>
    <t>0680</t>
  </si>
  <si>
    <t>0725</t>
  </si>
  <si>
    <t>LOTE 46</t>
  </si>
  <si>
    <t xml:space="preserve">LUCIANA GONZALEZ JARAMILLO </t>
  </si>
  <si>
    <t>66775401</t>
  </si>
  <si>
    <t>HISTORIAL DE PAGOS – LOTE 46  (fuente: hoja de vida)</t>
  </si>
  <si>
    <t>LOTE 47</t>
  </si>
  <si>
    <t>0303</t>
  </si>
  <si>
    <t xml:space="preserve">MARIEM GORDILLO RIOS </t>
  </si>
  <si>
    <t>29115952</t>
  </si>
  <si>
    <t>234</t>
  </si>
  <si>
    <t>HISTORIAL DE PAGOS – LOTE 47  (fuente: hoja de vida)</t>
  </si>
  <si>
    <t>0329</t>
  </si>
  <si>
    <t>273</t>
  </si>
  <si>
    <t>0362</t>
  </si>
  <si>
    <t>0447</t>
  </si>
  <si>
    <t>0385</t>
  </si>
  <si>
    <t>0413</t>
  </si>
  <si>
    <t>0412</t>
  </si>
  <si>
    <t>0455</t>
  </si>
  <si>
    <t>0480</t>
  </si>
  <si>
    <t>0493</t>
  </si>
  <si>
    <t>0572</t>
  </si>
  <si>
    <t>0678</t>
  </si>
  <si>
    <t>0605</t>
  </si>
  <si>
    <t>0646</t>
  </si>
  <si>
    <t>0704</t>
  </si>
  <si>
    <t>0712</t>
  </si>
  <si>
    <t>0780</t>
  </si>
  <si>
    <t>0815</t>
  </si>
  <si>
    <t>LOTE 48</t>
  </si>
  <si>
    <t>DAVID ADALBERTO CALLE LADINO</t>
  </si>
  <si>
    <t>1126587454</t>
  </si>
  <si>
    <t>HISTORIAL DE PAGOS – LOTE 48  (fuente: hoja de vida)</t>
  </si>
  <si>
    <t>0382</t>
  </si>
  <si>
    <t>0446</t>
  </si>
  <si>
    <t>0395</t>
  </si>
  <si>
    <t>0500</t>
  </si>
  <si>
    <t>0596</t>
  </si>
  <si>
    <t>0768</t>
  </si>
  <si>
    <t>CUOTA 5-6-7</t>
  </si>
  <si>
    <t>LOTE 49</t>
  </si>
  <si>
    <t>MARIA ELIZABETH SAAVEDRA MARTINEZ-
LUIS ALBERTO SAAVEDRA MARTINEZ</t>
  </si>
  <si>
    <t>29701754-6402689</t>
  </si>
  <si>
    <t>HISTORIAL DE PAGOS – LOTE 49  (fuente: hoja de vida)</t>
  </si>
  <si>
    <t>0409</t>
  </si>
  <si>
    <t>0349</t>
  </si>
  <si>
    <t>0445</t>
  </si>
  <si>
    <t>Número de recibo repetido (el 0349 también está el 01/08/2025); es un pago real con el número mal digitado</t>
  </si>
  <si>
    <t>0472</t>
  </si>
  <si>
    <t>0391</t>
  </si>
  <si>
    <t>0561</t>
  </si>
  <si>
    <t>0580-0612</t>
  </si>
  <si>
    <t>0657-0654</t>
  </si>
  <si>
    <t>0696</t>
  </si>
  <si>
    <t>0701</t>
  </si>
  <si>
    <t>0764</t>
  </si>
  <si>
    <t>CUOTA 6 +  ABONO CAPITAL</t>
  </si>
  <si>
    <t>0654</t>
  </si>
  <si>
    <t>0774</t>
  </si>
  <si>
    <t>LOTE 50  –  Julian Andres Ordoñez Parra  –  LOTE ESPECIAL (sin tabla de amortización)</t>
  </si>
  <si>
    <t>HISTORIAL DE PAGOS – LOTE 50  (fuente: hoja de vida)</t>
  </si>
  <si>
    <t>0657</t>
  </si>
  <si>
    <t>0810</t>
  </si>
  <si>
    <t>0696-0701</t>
  </si>
  <si>
    <t>Celda original "7/04/2026-4/05/2026" (dos fechas); se toma la primera</t>
  </si>
  <si>
    <t>0055</t>
  </si>
  <si>
    <t>LOTE 51  –  Julian Andres Ordoñez Parra  –  LOTE ESPECIAL (sin tabla de amortización)</t>
  </si>
  <si>
    <t>HISTORIAL DE PAGOS – LOTE 51  (fuente: hoja de vida)</t>
  </si>
  <si>
    <t>ABONO CUOTA</t>
  </si>
  <si>
    <t>0179</t>
  </si>
  <si>
    <t>Fecha original 26/02/2024 (año imposible: recibo 0179 es de feb-2025, igual que en lotes 51/59/60)</t>
  </si>
  <si>
    <t>LOTE 52</t>
  </si>
  <si>
    <t>LOTE 53</t>
  </si>
  <si>
    <t xml:space="preserve">LUCEIDY CHAUX GRAJALES </t>
  </si>
  <si>
    <t>31179775</t>
  </si>
  <si>
    <t>HISTORIAL DE PAGOS – LOTE 52  (fuente: hoja de vida)</t>
  </si>
  <si>
    <t>0822</t>
  </si>
  <si>
    <t>JOSE LUIS OLMEDO CARDONA</t>
  </si>
  <si>
    <t>HISTORIAL DE PAGOS – LOTE 53  (fuente: hoja de vida)</t>
  </si>
  <si>
    <t>0685</t>
  </si>
  <si>
    <t>0216</t>
  </si>
  <si>
    <t>0688</t>
  </si>
  <si>
    <t>0746</t>
  </si>
  <si>
    <t>0160</t>
  </si>
  <si>
    <t>0781</t>
  </si>
  <si>
    <t>0254</t>
  </si>
  <si>
    <t>0309</t>
  </si>
  <si>
    <t>0333</t>
  </si>
  <si>
    <t>0425</t>
  </si>
  <si>
    <t>CUOTA 5- 6 - 7</t>
  </si>
  <si>
    <t>0458</t>
  </si>
  <si>
    <t>0564</t>
  </si>
  <si>
    <t>0607</t>
  </si>
  <si>
    <t>0656</t>
  </si>
  <si>
    <t>LOTE 54</t>
  </si>
  <si>
    <t>JAIME LOZADA CARDOZO</t>
  </si>
  <si>
    <t>HISTORIAL DE PAGOS – LOTE 54  (fuente: hoja de vida)</t>
  </si>
  <si>
    <t>0240</t>
  </si>
  <si>
    <t>0068</t>
  </si>
  <si>
    <t>Fecha original "15/012/2024"</t>
  </si>
  <si>
    <t>0278</t>
  </si>
  <si>
    <t>0098</t>
  </si>
  <si>
    <t>0311</t>
  </si>
  <si>
    <t>0171</t>
  </si>
  <si>
    <t>0337</t>
  </si>
  <si>
    <t>0209</t>
  </si>
  <si>
    <t>0369</t>
  </si>
  <si>
    <t>0415</t>
  </si>
  <si>
    <t>0442-0450</t>
  </si>
  <si>
    <t>0481</t>
  </si>
  <si>
    <t>0566</t>
  </si>
  <si>
    <t>0599</t>
  </si>
  <si>
    <t>0634</t>
  </si>
  <si>
    <t>0674</t>
  </si>
  <si>
    <t>0716</t>
  </si>
  <si>
    <t>0745</t>
  </si>
  <si>
    <t>0786</t>
  </si>
  <si>
    <t>LOTE 55</t>
  </si>
  <si>
    <t xml:space="preserve">LILIANA PATRICIA GUEGIA ZAMBRANO </t>
  </si>
  <si>
    <t>HISTORIAL DE PAGOS – LOTE 55  (fuente: hoja de vida)</t>
  </si>
  <si>
    <t>0239</t>
  </si>
  <si>
    <t>0067</t>
  </si>
  <si>
    <t>0284</t>
  </si>
  <si>
    <t>0100</t>
  </si>
  <si>
    <t>0310</t>
  </si>
  <si>
    <t>0170</t>
  </si>
  <si>
    <t>0336</t>
  </si>
  <si>
    <t>0208</t>
  </si>
  <si>
    <t>LOTE 56</t>
  </si>
  <si>
    <t>0367-0374</t>
  </si>
  <si>
    <t>0388-0389</t>
  </si>
  <si>
    <t>0417-0418</t>
  </si>
  <si>
    <t>0443</t>
  </si>
  <si>
    <t>0482</t>
  </si>
  <si>
    <t>JOSE ANTONIO ARROYO</t>
  </si>
  <si>
    <t>0556</t>
  </si>
  <si>
    <t>HISTORIAL DE PAGOS – LOTE 56  (fuente: hoja de vida)</t>
  </si>
  <si>
    <t>0598</t>
  </si>
  <si>
    <t>0655</t>
  </si>
  <si>
    <t>0229</t>
  </si>
  <si>
    <t>0669</t>
  </si>
  <si>
    <t>LOTE 57</t>
  </si>
  <si>
    <t>0713</t>
  </si>
  <si>
    <t>0748</t>
  </si>
  <si>
    <t>0063</t>
  </si>
  <si>
    <t>0789</t>
  </si>
  <si>
    <t>OLGA LUCIA DIAZ GUEVARA</t>
  </si>
  <si>
    <t>66910812</t>
  </si>
  <si>
    <t>0266</t>
  </si>
  <si>
    <t>HISTORIAL DE PAGOS – LOTE 57  (fuente: hoja de vida)</t>
  </si>
  <si>
    <t>0829</t>
  </si>
  <si>
    <t>0088</t>
  </si>
  <si>
    <t>0296</t>
  </si>
  <si>
    <t>0164</t>
  </si>
  <si>
    <t>0326</t>
  </si>
  <si>
    <t>0299</t>
  </si>
  <si>
    <t>0199</t>
  </si>
  <si>
    <t>0353</t>
  </si>
  <si>
    <t>0237</t>
  </si>
  <si>
    <t>0378</t>
  </si>
  <si>
    <t>0322</t>
  </si>
  <si>
    <t>0269</t>
  </si>
  <si>
    <t>0419</t>
  </si>
  <si>
    <t>0360</t>
  </si>
  <si>
    <t>0404</t>
  </si>
  <si>
    <t>0454</t>
  </si>
  <si>
    <t>0451</t>
  </si>
  <si>
    <t>0488</t>
  </si>
  <si>
    <t>0479</t>
  </si>
  <si>
    <t>0576</t>
  </si>
  <si>
    <t>CUOTA 5 - 6</t>
  </si>
  <si>
    <t>0557</t>
  </si>
  <si>
    <t>0697</t>
  </si>
  <si>
    <t>0624</t>
  </si>
  <si>
    <t>CUOTA 7 + ABONO</t>
  </si>
  <si>
    <t>0658</t>
  </si>
  <si>
    <t>CUOTA 8 + ABONO</t>
  </si>
  <si>
    <t>CUOTA 9- 10</t>
  </si>
  <si>
    <t>0683</t>
  </si>
  <si>
    <t>0710</t>
  </si>
  <si>
    <t>CUOTA 9 + ABONO</t>
  </si>
  <si>
    <t>0720</t>
  </si>
  <si>
    <t>0787</t>
  </si>
  <si>
    <t>CUOTA 10 + ABONO</t>
  </si>
  <si>
    <t>0752</t>
  </si>
  <si>
    <t>CUOTA 11 + ABONO</t>
  </si>
  <si>
    <t>0791</t>
  </si>
  <si>
    <t>CUOTA 12 + ABONO</t>
  </si>
  <si>
    <t>0825</t>
  </si>
  <si>
    <t>CUOTA 13 + ABONO</t>
  </si>
  <si>
    <t>CUOTA 14 + ABONO</t>
  </si>
  <si>
    <t>CUOTA 15 + ABONO</t>
  </si>
  <si>
    <t>LOTE 61</t>
  </si>
  <si>
    <t>AYLIN DAYHANA PEREZ GUARIN- 
JUAN CAMILO VILLEGAS ALVAREZ</t>
  </si>
  <si>
    <t>1094952959 - 1022005595</t>
  </si>
  <si>
    <t>HISTORIAL DE PAGOS – LOTE 58  (fuente: hoja de vida)</t>
  </si>
  <si>
    <t>0571</t>
  </si>
  <si>
    <t>0037</t>
  </si>
  <si>
    <t>0626</t>
  </si>
  <si>
    <t>0651</t>
  </si>
  <si>
    <t>0687</t>
  </si>
  <si>
    <t>0722</t>
  </si>
  <si>
    <t>0767</t>
  </si>
  <si>
    <t>0799</t>
  </si>
  <si>
    <t>0824</t>
  </si>
  <si>
    <t>LOTE 59  –  Julian Andres Ordoñez Parra  –  LOTE ESPECIAL (sin tabla de amortización)</t>
  </si>
  <si>
    <t>HISTORIAL DE PAGOS – LOTE 59  (fuente: hoja de vida)</t>
  </si>
  <si>
    <t>LOTE 60  –  Julian Andres Ordoñez Parra  –  LOTE ESPECIAL (sin tabla de amortización)</t>
  </si>
  <si>
    <t>HISTORIAL DE PAGOS – LOTE 60  (fuente: hoja de vida)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</si>
</sst>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_-;\-* #,##0_-;_-* \-??_-;_-@"/>
    <numFmt numFmtId="165" formatCode="_-\$* #,##0_-;&quot;-$&quot;* #,##0_-;_-\$* \-_-;_-@"/>
    <numFmt numFmtId="166" formatCode="_-&quot;$ &quot;* #,##0_-;&quot;-$ &quot;* #,##0_-;_-&quot;$ &quot;* \-??_-;_-@"/>
    <numFmt numFmtId="167" formatCode="_(\$* #,##0_);_(\$* \(#,##0\);_(\$* \-??_);_(@_)"/>
    <numFmt numFmtId="168" formatCode="dd/mm/yyyy"/>
    <numFmt numFmtId="169" formatCode="m/d/yyyy"/>
    <numFmt numFmtId="170" formatCode="_-&quot;$ &quot;* #,##0.00_-;&quot;-$ &quot;* #,##0.00_-;_-&quot;$ &quot;* \-??_-;_-@"/>
  </numFmts>
  <fonts count="8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/>
    <font>
      <color theme="1"/>
      <name val="Calibri"/>
      <scheme val="minor"/>
    </font>
    <font>
      <b/>
      <sz val="12.0"/>
      <color rgb="FFFFFFFF"/>
      <name val="Calibri"/>
    </font>
    <font>
      <i/>
      <sz val="12.0"/>
      <color theme="1"/>
      <name val="Calibri"/>
    </font>
    <font>
      <b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49" xfId="0" applyAlignment="1" applyFont="1" applyNumberForma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0" fillId="0" fontId="2" numFmtId="164" xfId="0" applyAlignment="1" applyFont="1" applyNumberFormat="1">
      <alignment shrinkToFit="0" vertical="bottom" wrapText="0"/>
    </xf>
    <xf borderId="3" fillId="2" fontId="2" numFmtId="165" xfId="0" applyAlignment="1" applyBorder="1" applyFill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4" numFmtId="0" xfId="0" applyFont="1"/>
    <xf borderId="0" fillId="0" fontId="2" numFmtId="9" xfId="0" applyAlignment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1"/>
    </xf>
    <xf borderId="0" fillId="0" fontId="2" numFmtId="165" xfId="0" applyAlignment="1" applyFont="1" applyNumberForma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center" wrapText="0"/>
    </xf>
    <xf borderId="3" fillId="3" fontId="5" numFmtId="0" xfId="0" applyAlignment="1" applyBorder="1" applyFill="1" applyFont="1">
      <alignment horizontal="center" shrinkToFit="0" vertical="bottom" wrapText="0"/>
    </xf>
    <xf borderId="3" fillId="3" fontId="1" numFmtId="0" xfId="0" applyAlignment="1" applyBorder="1" applyFill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center" wrapText="0"/>
    </xf>
    <xf borderId="4" fillId="4" fontId="1" numFmtId="0" xfId="0" applyAlignment="1" applyBorder="1" applyFill="1" applyFont="1">
      <alignment horizontal="center" shrinkToFit="0" vertical="bottom" wrapText="1"/>
    </xf>
    <xf borderId="4" fillId="5" fontId="2" numFmtId="0" xfId="0" applyAlignment="1" applyBorder="1" applyFill="1" applyFon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4" fillId="5" fontId="1" numFmtId="165" xfId="0" applyAlignment="1" applyBorder="1" applyFill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0"/>
    </xf>
    <xf borderId="0" fillId="0" fontId="2" numFmtId="168" xfId="0" applyAlignment="1" applyFont="1" applyNumberFormat="1">
      <alignment shrinkToFit="0" vertical="bottom" wrapText="0"/>
    </xf>
    <xf borderId="0" fillId="0" fontId="2" numFmtId="169" xfId="0" applyAlignment="1" applyFont="1" applyNumberFormat="1">
      <alignment horizontal="center" shrinkToFit="0" vertical="bottom" wrapText="0"/>
    </xf>
    <xf borderId="3" fillId="6" fontId="2" numFmtId="168" xfId="0" applyAlignment="1" applyBorder="1" applyFill="1" applyFont="1" applyNumberFormat="1">
      <alignment shrinkToFit="0" vertical="center" wrapText="0"/>
    </xf>
    <xf borderId="0" fillId="0" fontId="2" numFmtId="168" xfId="0" applyAlignment="1" applyFont="1" applyNumberFormat="1">
      <alignment horizontal="center" shrinkToFit="0" vertical="center" wrapText="0"/>
    </xf>
    <xf borderId="4" fillId="0" fontId="2" numFmtId="168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0" fillId="0" fontId="2" numFmtId="169" xfId="0" applyAlignment="1" applyFont="1" applyNumberFormat="1">
      <alignment shrinkToFit="0" vertical="bottom" wrapText="0"/>
    </xf>
    <xf borderId="4" fillId="5" fontId="1" numFmtId="0" xfId="0" applyAlignment="1" applyBorder="1" applyFill="1" applyFont="1">
      <alignment shrinkToFit="0" vertical="bottom" wrapText="0"/>
    </xf>
    <xf borderId="4" fillId="5" fontId="2" numFmtId="0" xfId="0" applyAlignment="1" applyBorder="1" applyFill="1" applyFont="1">
      <alignment horizontal="center" shrinkToFit="0" vertical="bottom" wrapText="0"/>
    </xf>
    <xf borderId="4" fillId="6" fontId="2" numFmtId="168" xfId="0" applyAlignment="1" applyBorder="1" applyFill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4" fillId="0" fontId="1" numFmtId="168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1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3" fillId="7" fontId="2" numFmtId="0" xfId="0" applyAlignment="1" applyBorder="1" applyFill="1" applyFont="1">
      <alignment shrinkToFit="0" vertical="bottom" wrapText="0"/>
    </xf>
    <xf borderId="3" fillId="7" fontId="2" numFmtId="49" xfId="0" applyAlignment="1" applyBorder="1" applyFill="1" applyFont="1" applyNumberFormat="1">
      <alignment horizontal="center" shrinkToFit="0" vertical="center" wrapText="0"/>
    </xf>
    <xf borderId="3" fillId="7" fontId="2" numFmtId="169" xfId="0" applyAlignment="1" applyBorder="1" applyFill="1" applyFont="1" applyNumberFormat="1">
      <alignment horizontal="center" shrinkToFit="0" vertical="bottom" wrapText="0"/>
    </xf>
    <xf borderId="3" fillId="7" fontId="2" numFmtId="165" xfId="0" applyAlignment="1" applyBorder="1" applyFill="1" applyFont="1" applyNumberFormat="1">
      <alignment shrinkToFit="0" vertical="bottom" wrapText="0"/>
    </xf>
    <xf borderId="3" fillId="7" fontId="1" numFmtId="165" xfId="0" applyAlignment="1" applyBorder="1" applyFill="1" applyFont="1" applyNumberFormat="1">
      <alignment shrinkToFit="0" vertical="bottom" wrapText="0"/>
    </xf>
    <xf borderId="1" fillId="2" fontId="2" numFmtId="166" xfId="0" applyAlignment="1" applyBorder="1" applyFill="1" applyFont="1" applyNumberFormat="1">
      <alignment horizontal="center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2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bottom" wrapText="0"/>
    </xf>
    <xf borderId="0" fillId="0" fontId="4" numFmtId="0" xfId="0" applyAlignment="1" applyFont="1">
      <alignment readingOrder="0"/>
    </xf>
    <xf borderId="3" fillId="6" fontId="2" numFmtId="169" xfId="0" applyAlignment="1" applyBorder="1" applyFill="1" applyFont="1" applyNumberFormat="1">
      <alignment horizontal="center" shrinkToFit="0" vertical="bottom" wrapText="0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165" xfId="0" applyAlignment="1" applyFont="1" applyNumberFormat="1">
      <alignment horizontal="center" shrinkToFit="0" vertical="center" wrapText="1"/>
    </xf>
    <xf borderId="3" fillId="7" fontId="1" numFmtId="164" xfId="0" applyAlignment="1" applyBorder="1" applyFill="1" applyFont="1" applyNumberFormat="1">
      <alignment shrinkToFit="0" vertical="bottom" wrapText="0"/>
    </xf>
    <xf borderId="0" fillId="0" fontId="2" numFmtId="169" xfId="0" applyAlignment="1" applyFont="1" applyNumberFormat="1">
      <alignment horizontal="center" shrinkToFit="0" vertical="center" wrapText="0"/>
    </xf>
    <xf borderId="0" fillId="0" fontId="1" numFmtId="170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center" shrinkToFit="0" vertical="bottom" wrapText="0"/>
    </xf>
    <xf borderId="4" fillId="5" fontId="1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3" fillId="3" fontId="5" numFmtId="0" xfId="0" applyAlignment="1" applyBorder="1" applyFill="1" applyFont="1">
      <alignment shrinkToFit="0" vertical="bottom" wrapText="0"/>
    </xf>
    <xf borderId="3" fillId="3" fontId="2" numFmtId="0" xfId="0" applyAlignment="1" applyBorder="1" applyFill="1" applyFont="1">
      <alignment shrinkToFit="0" vertical="bottom" wrapText="0"/>
    </xf>
    <xf borderId="3" fillId="6" fontId="2" numFmtId="168" xfId="0" applyAlignment="1" applyBorder="1" applyFill="1" applyFont="1" applyNumberFormat="1">
      <alignment shrinkToFit="0" vertical="bottom" wrapText="0"/>
    </xf>
    <xf borderId="0" fillId="0" fontId="1" numFmtId="165" xfId="0" applyAlignment="1" applyFont="1" applyNumberFormat="1">
      <alignment horizontal="center" shrinkToFit="0" vertical="bottom" wrapText="0"/>
    </xf>
    <xf borderId="4" fillId="6" fontId="2" numFmtId="165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4" fillId="6" fontId="1" numFmtId="168" xfId="0" applyAlignment="1" applyBorder="1" applyFill="1" applyFont="1" applyNumberFormat="1">
      <alignment shrinkToFit="0" vertical="bottom" wrapText="0"/>
    </xf>
    <xf borderId="4" fillId="6" fontId="2" numFmtId="0" xfId="0" applyAlignment="1" applyBorder="1" applyFill="1" applyFont="1">
      <alignment horizontal="center" shrinkToFit="0" vertical="bottom" wrapText="0"/>
    </xf>
    <xf borderId="0" fillId="0" fontId="2" numFmtId="168" xfId="0" applyAlignment="1" applyFont="1" applyNumberForma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7.44"/>
    <col customWidth="1" min="5" max="5" width="23.22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C1" s="1" t="s">
        <v>0</v>
      </c>
      <c r="D1" s="3" t="s">
        <v>1</v>
      </c>
      <c r="E1" s="4"/>
      <c r="G1" s="1" t="s">
        <v>2</v>
      </c>
      <c r="J1" s="5"/>
    </row>
    <row r="2" ht="15.75" customHeight="1">
      <c r="C2" s="1" t="s">
        <v>6</v>
      </c>
      <c r="D2" s="6">
        <f>+A5*10%</f>
        <v>16077970</v>
      </c>
      <c r="E2" s="7"/>
      <c r="J2" s="5"/>
    </row>
    <row r="3" ht="15.75" customHeight="1">
      <c r="C3" s="1" t="s">
        <v>7</v>
      </c>
      <c r="D3" s="8">
        <f>+A5-D2</f>
        <v>144701730</v>
      </c>
      <c r="E3" s="9"/>
      <c r="H3" s="5"/>
      <c r="J3" s="5"/>
    </row>
    <row r="4" ht="15.75" customHeight="1">
      <c r="A4" s="10" t="s">
        <v>8</v>
      </c>
      <c r="C4" s="1" t="s">
        <v>9</v>
      </c>
      <c r="D4" s="11">
        <v>0.01</v>
      </c>
      <c r="E4" s="12"/>
      <c r="H4" s="5"/>
      <c r="J4" s="5"/>
    </row>
    <row r="5" ht="15.75" customHeight="1">
      <c r="A5" s="8">
        <v>1.607797E8</v>
      </c>
      <c r="C5" s="1" t="s">
        <v>10</v>
      </c>
      <c r="D5" s="13">
        <v>60.0</v>
      </c>
      <c r="E5" s="12"/>
      <c r="H5" s="5"/>
      <c r="J5" s="5"/>
    </row>
    <row r="6" ht="15.75" customHeight="1">
      <c r="C6" s="1" t="s">
        <v>11</v>
      </c>
      <c r="D6" s="8">
        <f>PMT(D4,D5,-D3)</f>
        <v>3218810.063</v>
      </c>
      <c r="E6" s="12"/>
      <c r="H6" s="5"/>
      <c r="J6" s="5"/>
    </row>
    <row r="7" ht="15.75" customHeight="1">
      <c r="C7" s="1" t="s">
        <v>12</v>
      </c>
      <c r="D7" s="14" t="s">
        <v>13</v>
      </c>
      <c r="H7" s="5"/>
      <c r="J7" s="5"/>
    </row>
    <row r="8" ht="15.75" customHeight="1">
      <c r="C8" s="1" t="s">
        <v>16</v>
      </c>
      <c r="D8" s="16" t="s">
        <v>17</v>
      </c>
      <c r="H8" s="5"/>
      <c r="I8" s="17"/>
      <c r="J8" s="19"/>
      <c r="K8" s="17"/>
      <c r="L8" s="21" t="s">
        <v>20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1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C10" s="13"/>
      <c r="D10" s="8"/>
      <c r="E10" s="9"/>
      <c r="F10" s="8"/>
      <c r="G10" s="8"/>
      <c r="H10" s="8">
        <f>+D3</f>
        <v>144701730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2.09206574E8</v>
      </c>
      <c r="U10" s="25"/>
    </row>
    <row r="11" ht="15.75" customHeight="1">
      <c r="A11" s="28"/>
      <c r="B11" s="2"/>
      <c r="C11" s="30">
        <v>46229.0</v>
      </c>
      <c r="D11" s="8">
        <f t="shared" ref="D11:D70" si="1">$D$6</f>
        <v>3218810.063</v>
      </c>
      <c r="E11" s="15"/>
      <c r="F11" s="8">
        <f t="shared" ref="F11:F70" si="2">+H10*$D$4</f>
        <v>1447017.3</v>
      </c>
      <c r="G11" s="8">
        <f t="shared" ref="G11:G70" si="3">+D11+E11-F11</f>
        <v>1771792.763</v>
      </c>
      <c r="H11" s="8">
        <f t="shared" ref="H11:H70" si="4">+H10-G11</f>
        <v>142929937.2</v>
      </c>
      <c r="J11" s="5"/>
      <c r="L11" s="33">
        <v>46168.0</v>
      </c>
      <c r="M11" s="34" t="s">
        <v>44</v>
      </c>
      <c r="N11" s="35" t="s">
        <v>45</v>
      </c>
      <c r="O11" s="36">
        <v>1000000.0</v>
      </c>
      <c r="P11" s="36"/>
      <c r="Q11" s="36"/>
      <c r="R11" s="36"/>
      <c r="S11" s="36">
        <f t="shared" ref="S11:S14" si="5">SUM(O11:R11)</f>
        <v>1000000</v>
      </c>
      <c r="T11" s="36">
        <f t="shared" ref="T11:T14" si="6">T10-S11</f>
        <v>208206574</v>
      </c>
      <c r="U11" s="34"/>
    </row>
    <row r="12" ht="15.75" customHeight="1">
      <c r="A12" s="37"/>
      <c r="B12" s="2"/>
      <c r="C12" s="30">
        <v>46260.0</v>
      </c>
      <c r="D12" s="8">
        <f t="shared" si="1"/>
        <v>3218810.063</v>
      </c>
      <c r="E12" s="15"/>
      <c r="F12" s="8">
        <f t="shared" si="2"/>
        <v>1429299.372</v>
      </c>
      <c r="G12" s="8">
        <f t="shared" si="3"/>
        <v>1789510.691</v>
      </c>
      <c r="H12" s="8">
        <f t="shared" si="4"/>
        <v>141140426.5</v>
      </c>
      <c r="J12" s="5"/>
      <c r="L12" s="33">
        <v>46191.0</v>
      </c>
      <c r="M12" s="34" t="s">
        <v>44</v>
      </c>
      <c r="N12" s="35" t="s">
        <v>50</v>
      </c>
      <c r="O12" s="36"/>
      <c r="P12" s="36">
        <v>1500000.0</v>
      </c>
      <c r="Q12" s="36"/>
      <c r="R12" s="36"/>
      <c r="S12" s="36">
        <f t="shared" si="5"/>
        <v>1500000</v>
      </c>
      <c r="T12" s="36">
        <f t="shared" si="6"/>
        <v>206706574</v>
      </c>
      <c r="U12" s="34"/>
    </row>
    <row r="13" ht="15.75" customHeight="1">
      <c r="A13" s="37"/>
      <c r="B13" s="2"/>
      <c r="C13" s="30">
        <v>46291.0</v>
      </c>
      <c r="D13" s="8">
        <f t="shared" si="1"/>
        <v>3218810.063</v>
      </c>
      <c r="E13" s="15"/>
      <c r="F13" s="8">
        <f t="shared" si="2"/>
        <v>1411404.265</v>
      </c>
      <c r="G13" s="8">
        <f t="shared" si="3"/>
        <v>1807405.797</v>
      </c>
      <c r="H13" s="8">
        <f t="shared" si="4"/>
        <v>139333020.7</v>
      </c>
      <c r="J13" s="5" t="s">
        <v>56</v>
      </c>
      <c r="L13" s="33">
        <v>46199.0</v>
      </c>
      <c r="M13" s="34" t="s">
        <v>44</v>
      </c>
      <c r="N13" s="35" t="s">
        <v>57</v>
      </c>
      <c r="O13" s="36"/>
      <c r="P13" s="36">
        <v>3500000.0</v>
      </c>
      <c r="Q13" s="36"/>
      <c r="R13" s="36"/>
      <c r="S13" s="36">
        <f t="shared" si="5"/>
        <v>3500000</v>
      </c>
      <c r="T13" s="36">
        <f t="shared" si="6"/>
        <v>203206574</v>
      </c>
      <c r="U13" s="34"/>
    </row>
    <row r="14" ht="15.75" customHeight="1">
      <c r="A14" s="37"/>
      <c r="B14" s="2"/>
      <c r="C14" s="30">
        <v>46321.0</v>
      </c>
      <c r="D14" s="8">
        <f t="shared" si="1"/>
        <v>3218810.063</v>
      </c>
      <c r="E14" s="15"/>
      <c r="F14" s="8">
        <f t="shared" si="2"/>
        <v>1393330.207</v>
      </c>
      <c r="G14" s="8">
        <f t="shared" si="3"/>
        <v>1825479.855</v>
      </c>
      <c r="H14" s="8">
        <f t="shared" si="4"/>
        <v>137507540.9</v>
      </c>
      <c r="J14" s="8">
        <f>+H10</f>
        <v>144701730</v>
      </c>
      <c r="L14" s="33">
        <v>46217.0</v>
      </c>
      <c r="M14" s="34" t="s">
        <v>44</v>
      </c>
      <c r="N14" s="35" t="s">
        <v>63</v>
      </c>
      <c r="O14" s="36"/>
      <c r="P14" s="36">
        <v>4500000.0</v>
      </c>
      <c r="Q14" s="36"/>
      <c r="R14" s="36"/>
      <c r="S14" s="36">
        <f t="shared" si="5"/>
        <v>4500000</v>
      </c>
      <c r="T14" s="36">
        <f t="shared" si="6"/>
        <v>198706574</v>
      </c>
      <c r="U14" s="34"/>
    </row>
    <row r="15" ht="15.75" customHeight="1">
      <c r="A15" s="37"/>
      <c r="B15" s="2"/>
      <c r="C15" s="30">
        <v>46352.0</v>
      </c>
      <c r="D15" s="8">
        <f t="shared" si="1"/>
        <v>3218810.063</v>
      </c>
      <c r="E15" s="15"/>
      <c r="F15" s="8">
        <f t="shared" si="2"/>
        <v>1375075.409</v>
      </c>
      <c r="G15" s="8">
        <f t="shared" si="3"/>
        <v>1843734.654</v>
      </c>
      <c r="H15" s="8">
        <f t="shared" si="4"/>
        <v>135663806.2</v>
      </c>
      <c r="J15" s="5"/>
      <c r="L15" s="25"/>
      <c r="M15" s="38" t="s">
        <v>69</v>
      </c>
      <c r="N15" s="39"/>
      <c r="O15" s="27">
        <f t="shared" ref="O15:S15" si="7">SUM(O11:O14)</f>
        <v>1000000</v>
      </c>
      <c r="P15" s="27">
        <f t="shared" si="7"/>
        <v>9500000</v>
      </c>
      <c r="Q15" s="27">
        <f t="shared" si="7"/>
        <v>0</v>
      </c>
      <c r="R15" s="27">
        <f t="shared" si="7"/>
        <v>0</v>
      </c>
      <c r="S15" s="27">
        <f t="shared" si="7"/>
        <v>10500000</v>
      </c>
      <c r="T15" s="27">
        <f>T14</f>
        <v>198706574</v>
      </c>
      <c r="U15" s="25"/>
    </row>
    <row r="16" ht="15.75" customHeight="1">
      <c r="A16" s="37"/>
      <c r="B16" s="2"/>
      <c r="C16" s="30">
        <v>46382.0</v>
      </c>
      <c r="D16" s="8">
        <f t="shared" si="1"/>
        <v>3218810.063</v>
      </c>
      <c r="E16" s="15"/>
      <c r="F16" s="8">
        <f t="shared" si="2"/>
        <v>1356638.062</v>
      </c>
      <c r="G16" s="8">
        <f t="shared" si="3"/>
        <v>1862172.001</v>
      </c>
      <c r="H16" s="8">
        <f t="shared" si="4"/>
        <v>133801634.2</v>
      </c>
      <c r="J16" s="5"/>
    </row>
    <row r="17" ht="15.75" customHeight="1">
      <c r="A17" s="37"/>
      <c r="B17" s="2"/>
      <c r="C17" s="30">
        <v>46413.0</v>
      </c>
      <c r="D17" s="8">
        <f t="shared" si="1"/>
        <v>3218810.063</v>
      </c>
      <c r="E17" s="15"/>
      <c r="F17" s="8">
        <f t="shared" si="2"/>
        <v>1338016.342</v>
      </c>
      <c r="G17" s="8">
        <f t="shared" si="3"/>
        <v>1880793.721</v>
      </c>
      <c r="H17" s="8">
        <f t="shared" si="4"/>
        <v>131920840.5</v>
      </c>
      <c r="J17" s="5"/>
    </row>
    <row r="18" ht="15.75" customHeight="1">
      <c r="A18" s="37"/>
      <c r="B18" s="2"/>
      <c r="C18" s="30">
        <v>46444.0</v>
      </c>
      <c r="D18" s="8">
        <f t="shared" si="1"/>
        <v>3218810.063</v>
      </c>
      <c r="E18" s="15"/>
      <c r="F18" s="8">
        <f t="shared" si="2"/>
        <v>1319208.405</v>
      </c>
      <c r="G18" s="8">
        <f t="shared" si="3"/>
        <v>1899601.658</v>
      </c>
      <c r="H18" s="8">
        <f t="shared" si="4"/>
        <v>130021238.9</v>
      </c>
      <c r="J18" s="5"/>
    </row>
    <row r="19" ht="15.75" customHeight="1">
      <c r="A19" s="37"/>
      <c r="B19" s="2"/>
      <c r="C19" s="30">
        <v>46472.0</v>
      </c>
      <c r="D19" s="8">
        <f t="shared" si="1"/>
        <v>3218810.063</v>
      </c>
      <c r="E19" s="15"/>
      <c r="F19" s="8">
        <f t="shared" si="2"/>
        <v>1300212.389</v>
      </c>
      <c r="G19" s="8">
        <f t="shared" si="3"/>
        <v>1918597.674</v>
      </c>
      <c r="H19" s="8">
        <f t="shared" si="4"/>
        <v>128102641.2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46503.0</v>
      </c>
      <c r="D20" s="8">
        <f t="shared" si="1"/>
        <v>3218810.063</v>
      </c>
      <c r="E20" s="15"/>
      <c r="F20" s="8">
        <f t="shared" si="2"/>
        <v>1281026.412</v>
      </c>
      <c r="G20" s="8">
        <f t="shared" si="3"/>
        <v>1937783.651</v>
      </c>
      <c r="H20" s="8">
        <f t="shared" si="4"/>
        <v>126164857.5</v>
      </c>
      <c r="J20" s="5"/>
    </row>
    <row r="21" ht="15.75" customHeight="1">
      <c r="A21" s="37"/>
      <c r="B21" s="2"/>
      <c r="C21" s="30">
        <v>46533.0</v>
      </c>
      <c r="D21" s="8">
        <f t="shared" si="1"/>
        <v>3218810.063</v>
      </c>
      <c r="E21" s="15"/>
      <c r="F21" s="8">
        <f t="shared" si="2"/>
        <v>1261648.575</v>
      </c>
      <c r="G21" s="8">
        <f t="shared" si="3"/>
        <v>1957161.488</v>
      </c>
      <c r="H21" s="8">
        <f t="shared" si="4"/>
        <v>124207696</v>
      </c>
      <c r="J21" s="5"/>
    </row>
    <row r="22" ht="15.75" customHeight="1">
      <c r="A22" s="37"/>
      <c r="B22" s="2"/>
      <c r="C22" s="30">
        <v>46564.0</v>
      </c>
      <c r="D22" s="8">
        <f t="shared" si="1"/>
        <v>3218810.063</v>
      </c>
      <c r="E22" s="15"/>
      <c r="F22" s="8">
        <f t="shared" si="2"/>
        <v>1242076.96</v>
      </c>
      <c r="G22" s="8">
        <f t="shared" si="3"/>
        <v>1976733.102</v>
      </c>
      <c r="H22" s="8">
        <f t="shared" si="4"/>
        <v>122230962.9</v>
      </c>
      <c r="J22" s="5"/>
    </row>
    <row r="23" ht="15.75" customHeight="1">
      <c r="A23" s="37"/>
      <c r="B23" s="2"/>
      <c r="C23" s="30">
        <v>46594.0</v>
      </c>
      <c r="D23" s="8">
        <f t="shared" si="1"/>
        <v>3218810.063</v>
      </c>
      <c r="E23" s="46"/>
      <c r="F23" s="8">
        <f t="shared" si="2"/>
        <v>1222309.629</v>
      </c>
      <c r="G23" s="8">
        <f t="shared" si="3"/>
        <v>1996500.433</v>
      </c>
      <c r="H23" s="8">
        <f t="shared" si="4"/>
        <v>120234462.5</v>
      </c>
      <c r="J23" s="5"/>
    </row>
    <row r="24" ht="15.75" customHeight="1">
      <c r="A24" s="37"/>
      <c r="B24" s="2"/>
      <c r="C24" s="30">
        <v>46625.0</v>
      </c>
      <c r="D24" s="8">
        <f t="shared" si="1"/>
        <v>3218810.063</v>
      </c>
      <c r="E24" s="46"/>
      <c r="F24" s="8">
        <f t="shared" si="2"/>
        <v>1202344.625</v>
      </c>
      <c r="G24" s="8">
        <f t="shared" si="3"/>
        <v>2016465.438</v>
      </c>
      <c r="H24" s="8">
        <f t="shared" si="4"/>
        <v>118217997.1</v>
      </c>
      <c r="J24" s="5"/>
    </row>
    <row r="25" ht="15.75" customHeight="1">
      <c r="B25" s="2"/>
      <c r="C25" s="30">
        <v>46656.0</v>
      </c>
      <c r="D25" s="8">
        <f t="shared" si="1"/>
        <v>3218810.063</v>
      </c>
      <c r="E25" s="46"/>
      <c r="F25" s="8">
        <f t="shared" si="2"/>
        <v>1182179.971</v>
      </c>
      <c r="G25" s="8">
        <f t="shared" si="3"/>
        <v>2036630.092</v>
      </c>
      <c r="H25" s="8">
        <f t="shared" si="4"/>
        <v>116181367</v>
      </c>
      <c r="J25" s="5"/>
    </row>
    <row r="26" ht="15.75" customHeight="1">
      <c r="B26" s="2"/>
      <c r="C26" s="30">
        <v>46686.0</v>
      </c>
      <c r="D26" s="8">
        <f t="shared" si="1"/>
        <v>3218810.063</v>
      </c>
      <c r="E26" s="46"/>
      <c r="F26" s="8">
        <f t="shared" si="2"/>
        <v>1161813.67</v>
      </c>
      <c r="G26" s="8">
        <f t="shared" si="3"/>
        <v>2056996.393</v>
      </c>
      <c r="H26" s="8">
        <f t="shared" si="4"/>
        <v>114124370.6</v>
      </c>
      <c r="J26" s="5"/>
    </row>
    <row r="27" ht="15.75" customHeight="1">
      <c r="B27" s="2"/>
      <c r="C27" s="30">
        <v>46717.0</v>
      </c>
      <c r="D27" s="8">
        <f t="shared" si="1"/>
        <v>3218810.063</v>
      </c>
      <c r="E27" s="46"/>
      <c r="F27" s="8">
        <f t="shared" si="2"/>
        <v>1141243.706</v>
      </c>
      <c r="G27" s="8">
        <f t="shared" si="3"/>
        <v>2077566.357</v>
      </c>
      <c r="H27" s="8">
        <f t="shared" si="4"/>
        <v>112046804.2</v>
      </c>
      <c r="J27" s="5"/>
    </row>
    <row r="28" ht="15.75" customHeight="1">
      <c r="B28" s="2"/>
      <c r="C28" s="30">
        <v>46747.0</v>
      </c>
      <c r="D28" s="8">
        <f t="shared" si="1"/>
        <v>3218810.063</v>
      </c>
      <c r="E28" s="46"/>
      <c r="F28" s="8">
        <f t="shared" si="2"/>
        <v>1120468.042</v>
      </c>
      <c r="G28" s="8">
        <f t="shared" si="3"/>
        <v>2098342.021</v>
      </c>
      <c r="H28" s="8">
        <f t="shared" si="4"/>
        <v>109948462.2</v>
      </c>
      <c r="J28" s="5"/>
    </row>
    <row r="29" ht="15.75" customHeight="1">
      <c r="B29" s="2"/>
      <c r="C29" s="30">
        <v>46778.0</v>
      </c>
      <c r="D29" s="8">
        <f t="shared" si="1"/>
        <v>3218810.063</v>
      </c>
      <c r="E29" s="46"/>
      <c r="F29" s="8">
        <f t="shared" si="2"/>
        <v>1099484.622</v>
      </c>
      <c r="G29" s="8">
        <f t="shared" si="3"/>
        <v>2119325.441</v>
      </c>
      <c r="H29" s="8">
        <f t="shared" si="4"/>
        <v>107829136.8</v>
      </c>
      <c r="J29" s="5"/>
    </row>
    <row r="30" ht="15.75" customHeight="1">
      <c r="B30" s="2"/>
      <c r="C30" s="30">
        <v>46809.0</v>
      </c>
      <c r="D30" s="8">
        <f t="shared" si="1"/>
        <v>3218810.063</v>
      </c>
      <c r="E30" s="46"/>
      <c r="F30" s="8">
        <f t="shared" si="2"/>
        <v>1078291.368</v>
      </c>
      <c r="G30" s="8">
        <f t="shared" si="3"/>
        <v>2140518.695</v>
      </c>
      <c r="H30" s="8">
        <f t="shared" si="4"/>
        <v>105688618.1</v>
      </c>
      <c r="J30" s="5"/>
    </row>
    <row r="31" ht="15.75" customHeight="1">
      <c r="B31" s="2"/>
      <c r="C31" s="30">
        <v>46838.0</v>
      </c>
      <c r="D31" s="8">
        <f t="shared" si="1"/>
        <v>3218810.063</v>
      </c>
      <c r="E31" s="46"/>
      <c r="F31" s="8">
        <f t="shared" si="2"/>
        <v>1056886.181</v>
      </c>
      <c r="G31" s="8">
        <f t="shared" si="3"/>
        <v>2161923.882</v>
      </c>
      <c r="H31" s="8">
        <f t="shared" si="4"/>
        <v>103526694.2</v>
      </c>
      <c r="J31" s="5"/>
    </row>
    <row r="32" ht="15.75" customHeight="1">
      <c r="B32" s="2"/>
      <c r="C32" s="30">
        <v>46869.0</v>
      </c>
      <c r="D32" s="8">
        <f t="shared" si="1"/>
        <v>3218810.063</v>
      </c>
      <c r="E32" s="46"/>
      <c r="F32" s="8">
        <f t="shared" si="2"/>
        <v>1035266.942</v>
      </c>
      <c r="G32" s="8">
        <f t="shared" si="3"/>
        <v>2183543.121</v>
      </c>
      <c r="H32" s="8">
        <f t="shared" si="4"/>
        <v>101343151.1</v>
      </c>
      <c r="J32" s="5"/>
    </row>
    <row r="33" ht="15.75" customHeight="1">
      <c r="B33" s="2"/>
      <c r="C33" s="30">
        <v>46899.0</v>
      </c>
      <c r="D33" s="8">
        <f t="shared" si="1"/>
        <v>3218810.063</v>
      </c>
      <c r="E33" s="46"/>
      <c r="F33" s="8">
        <f t="shared" si="2"/>
        <v>1013431.511</v>
      </c>
      <c r="G33" s="8">
        <f t="shared" si="3"/>
        <v>2205378.552</v>
      </c>
      <c r="H33" s="8">
        <f t="shared" si="4"/>
        <v>99137772.52</v>
      </c>
      <c r="J33" s="5"/>
    </row>
    <row r="34" ht="15.75" customHeight="1">
      <c r="B34" s="2"/>
      <c r="C34" s="30">
        <v>46930.0</v>
      </c>
      <c r="D34" s="8">
        <f t="shared" si="1"/>
        <v>3218810.063</v>
      </c>
      <c r="E34" s="46"/>
      <c r="F34" s="8">
        <f t="shared" si="2"/>
        <v>991377.7252</v>
      </c>
      <c r="G34" s="8">
        <f t="shared" si="3"/>
        <v>2227432.338</v>
      </c>
      <c r="H34" s="8">
        <f t="shared" si="4"/>
        <v>96910340.18</v>
      </c>
      <c r="J34" s="5"/>
    </row>
    <row r="35" ht="15.75" customHeight="1">
      <c r="B35" s="2"/>
      <c r="C35" s="30">
        <v>46960.0</v>
      </c>
      <c r="D35" s="8">
        <f t="shared" si="1"/>
        <v>3218810.063</v>
      </c>
      <c r="E35" s="46"/>
      <c r="F35" s="8">
        <f t="shared" si="2"/>
        <v>969103.4018</v>
      </c>
      <c r="G35" s="8">
        <f t="shared" si="3"/>
        <v>2249706.661</v>
      </c>
      <c r="H35" s="8">
        <f t="shared" si="4"/>
        <v>94660633.52</v>
      </c>
      <c r="J35" s="5"/>
    </row>
    <row r="36" ht="15.75" customHeight="1">
      <c r="B36" s="2"/>
      <c r="C36" s="30">
        <v>46991.0</v>
      </c>
      <c r="D36" s="8">
        <f t="shared" si="1"/>
        <v>3218810.063</v>
      </c>
      <c r="E36" s="46"/>
      <c r="F36" s="8">
        <f t="shared" si="2"/>
        <v>946606.3352</v>
      </c>
      <c r="G36" s="8">
        <f t="shared" si="3"/>
        <v>2272203.728</v>
      </c>
      <c r="H36" s="8">
        <f t="shared" si="4"/>
        <v>92388429.79</v>
      </c>
      <c r="J36" s="5"/>
    </row>
    <row r="37" ht="15.75" customHeight="1">
      <c r="B37" s="2"/>
      <c r="C37" s="30">
        <v>47022.0</v>
      </c>
      <c r="D37" s="8">
        <f t="shared" si="1"/>
        <v>3218810.063</v>
      </c>
      <c r="E37" s="46"/>
      <c r="F37" s="8">
        <f t="shared" si="2"/>
        <v>923884.2979</v>
      </c>
      <c r="G37" s="8">
        <f t="shared" si="3"/>
        <v>2294925.765</v>
      </c>
      <c r="H37" s="8">
        <f t="shared" si="4"/>
        <v>90093504.03</v>
      </c>
      <c r="J37" s="5"/>
    </row>
    <row r="38" ht="15.75" customHeight="1">
      <c r="B38" s="2"/>
      <c r="C38" s="30">
        <v>47052.0</v>
      </c>
      <c r="D38" s="8">
        <f t="shared" si="1"/>
        <v>3218810.063</v>
      </c>
      <c r="E38" s="46"/>
      <c r="F38" s="8">
        <f t="shared" si="2"/>
        <v>900935.0403</v>
      </c>
      <c r="G38" s="8">
        <f t="shared" si="3"/>
        <v>2317875.023</v>
      </c>
      <c r="H38" s="8">
        <f t="shared" si="4"/>
        <v>87775629.01</v>
      </c>
      <c r="J38" s="5"/>
    </row>
    <row r="39" ht="15.75" customHeight="1">
      <c r="B39" s="2"/>
      <c r="C39" s="30">
        <v>47083.0</v>
      </c>
      <c r="D39" s="8">
        <f t="shared" si="1"/>
        <v>3218810.063</v>
      </c>
      <c r="E39" s="46"/>
      <c r="F39" s="8">
        <f t="shared" si="2"/>
        <v>877756.2901</v>
      </c>
      <c r="G39" s="8">
        <f t="shared" si="3"/>
        <v>2341053.773</v>
      </c>
      <c r="H39" s="8">
        <f t="shared" si="4"/>
        <v>85434575.23</v>
      </c>
      <c r="J39" s="5"/>
    </row>
    <row r="40" ht="15.75" customHeight="1">
      <c r="B40" s="2"/>
      <c r="C40" s="30">
        <v>47113.0</v>
      </c>
      <c r="D40" s="8">
        <f t="shared" si="1"/>
        <v>3218810.063</v>
      </c>
      <c r="E40" s="46"/>
      <c r="F40" s="8">
        <f t="shared" si="2"/>
        <v>854345.7523</v>
      </c>
      <c r="G40" s="8">
        <f t="shared" si="3"/>
        <v>2364464.311</v>
      </c>
      <c r="H40" s="8">
        <f t="shared" si="4"/>
        <v>83070110.92</v>
      </c>
      <c r="J40" s="5"/>
    </row>
    <row r="41" ht="15.75" customHeight="1">
      <c r="B41" s="2"/>
      <c r="C41" s="30">
        <v>47144.0</v>
      </c>
      <c r="D41" s="8">
        <f t="shared" si="1"/>
        <v>3218810.063</v>
      </c>
      <c r="E41" s="46"/>
      <c r="F41" s="8">
        <f t="shared" si="2"/>
        <v>830701.1092</v>
      </c>
      <c r="G41" s="8">
        <f t="shared" si="3"/>
        <v>2388108.954</v>
      </c>
      <c r="H41" s="8">
        <f t="shared" si="4"/>
        <v>80682001.97</v>
      </c>
      <c r="J41" s="5"/>
    </row>
    <row r="42" ht="15.75" customHeight="1">
      <c r="B42" s="2"/>
      <c r="C42" s="30">
        <v>47175.0</v>
      </c>
      <c r="D42" s="8">
        <f t="shared" si="1"/>
        <v>3218810.063</v>
      </c>
      <c r="E42" s="46"/>
      <c r="F42" s="8">
        <f t="shared" si="2"/>
        <v>806820.0197</v>
      </c>
      <c r="G42" s="8">
        <f t="shared" si="3"/>
        <v>2411990.043</v>
      </c>
      <c r="H42" s="8">
        <f t="shared" si="4"/>
        <v>78270011.93</v>
      </c>
      <c r="J42" s="5"/>
    </row>
    <row r="43" ht="15.75" customHeight="1">
      <c r="B43" s="2"/>
      <c r="C43" s="30">
        <v>47203.0</v>
      </c>
      <c r="D43" s="8">
        <f t="shared" si="1"/>
        <v>3218810.063</v>
      </c>
      <c r="E43" s="46"/>
      <c r="F43" s="8">
        <f t="shared" si="2"/>
        <v>782700.1193</v>
      </c>
      <c r="G43" s="8">
        <f t="shared" si="3"/>
        <v>2436109.944</v>
      </c>
      <c r="H43" s="8">
        <f t="shared" si="4"/>
        <v>75833901.98</v>
      </c>
      <c r="J43" s="5"/>
    </row>
    <row r="44" ht="15.75" customHeight="1">
      <c r="B44" s="2"/>
      <c r="C44" s="30">
        <v>47234.0</v>
      </c>
      <c r="D44" s="8">
        <f t="shared" si="1"/>
        <v>3218810.063</v>
      </c>
      <c r="E44" s="46"/>
      <c r="F44" s="8">
        <f t="shared" si="2"/>
        <v>758339.0198</v>
      </c>
      <c r="G44" s="8">
        <f t="shared" si="3"/>
        <v>2460471.043</v>
      </c>
      <c r="H44" s="8">
        <f t="shared" si="4"/>
        <v>73373430.94</v>
      </c>
      <c r="J44" s="5"/>
    </row>
    <row r="45" ht="15.75" customHeight="1">
      <c r="B45" s="2"/>
      <c r="C45" s="30">
        <v>47264.0</v>
      </c>
      <c r="D45" s="8">
        <f t="shared" si="1"/>
        <v>3218810.063</v>
      </c>
      <c r="E45" s="46"/>
      <c r="F45" s="8">
        <f t="shared" si="2"/>
        <v>733734.3094</v>
      </c>
      <c r="G45" s="8">
        <f t="shared" si="3"/>
        <v>2485075.754</v>
      </c>
      <c r="H45" s="8">
        <f t="shared" si="4"/>
        <v>70888355.19</v>
      </c>
      <c r="J45" s="5"/>
    </row>
    <row r="46" ht="15.75" customHeight="1">
      <c r="B46" s="2"/>
      <c r="C46" s="30">
        <v>47295.0</v>
      </c>
      <c r="D46" s="8">
        <f t="shared" si="1"/>
        <v>3218810.063</v>
      </c>
      <c r="E46" s="46"/>
      <c r="F46" s="8">
        <f t="shared" si="2"/>
        <v>708883.5519</v>
      </c>
      <c r="G46" s="8">
        <f t="shared" si="3"/>
        <v>2509926.511</v>
      </c>
      <c r="H46" s="8">
        <f t="shared" si="4"/>
        <v>68378428.67</v>
      </c>
      <c r="J46" s="5"/>
    </row>
    <row r="47" ht="15.75" customHeight="1">
      <c r="B47" s="2"/>
      <c r="C47" s="30">
        <v>47325.0</v>
      </c>
      <c r="D47" s="8">
        <f t="shared" si="1"/>
        <v>3218810.063</v>
      </c>
      <c r="E47" s="46"/>
      <c r="F47" s="8">
        <f t="shared" si="2"/>
        <v>683784.2867</v>
      </c>
      <c r="G47" s="8">
        <f t="shared" si="3"/>
        <v>2535025.776</v>
      </c>
      <c r="H47" s="8">
        <f t="shared" si="4"/>
        <v>65843402.9</v>
      </c>
      <c r="J47" s="5"/>
    </row>
    <row r="48" ht="15.75" customHeight="1">
      <c r="B48" s="2"/>
      <c r="C48" s="30">
        <v>47356.0</v>
      </c>
      <c r="D48" s="8">
        <f t="shared" si="1"/>
        <v>3218810.063</v>
      </c>
      <c r="E48" s="46"/>
      <c r="F48" s="8">
        <f t="shared" si="2"/>
        <v>658434.029</v>
      </c>
      <c r="G48" s="8">
        <f t="shared" si="3"/>
        <v>2560376.034</v>
      </c>
      <c r="H48" s="8">
        <f t="shared" si="4"/>
        <v>63283026.86</v>
      </c>
      <c r="J48" s="5"/>
    </row>
    <row r="49" ht="15.75" customHeight="1">
      <c r="B49" s="2"/>
      <c r="C49" s="30">
        <v>47387.0</v>
      </c>
      <c r="D49" s="8">
        <f t="shared" si="1"/>
        <v>3218810.063</v>
      </c>
      <c r="E49" s="46"/>
      <c r="F49" s="8">
        <f t="shared" si="2"/>
        <v>632830.2686</v>
      </c>
      <c r="G49" s="8">
        <f t="shared" si="3"/>
        <v>2585979.794</v>
      </c>
      <c r="H49" s="8">
        <f t="shared" si="4"/>
        <v>60697047.07</v>
      </c>
      <c r="J49" s="5"/>
    </row>
    <row r="50" ht="15.75" customHeight="1">
      <c r="B50" s="2"/>
      <c r="C50" s="30">
        <v>47417.0</v>
      </c>
      <c r="D50" s="8">
        <f t="shared" si="1"/>
        <v>3218810.063</v>
      </c>
      <c r="E50" s="46"/>
      <c r="F50" s="8">
        <f t="shared" si="2"/>
        <v>606970.4707</v>
      </c>
      <c r="G50" s="8">
        <f t="shared" si="3"/>
        <v>2611839.592</v>
      </c>
      <c r="H50" s="8">
        <f t="shared" si="4"/>
        <v>58085207.48</v>
      </c>
      <c r="J50" s="5"/>
    </row>
    <row r="51" ht="15.75" customHeight="1">
      <c r="B51" s="2"/>
      <c r="C51" s="30">
        <v>47448.0</v>
      </c>
      <c r="D51" s="8">
        <f t="shared" si="1"/>
        <v>3218810.063</v>
      </c>
      <c r="E51" s="46"/>
      <c r="F51" s="8">
        <f t="shared" si="2"/>
        <v>580852.0748</v>
      </c>
      <c r="G51" s="8">
        <f t="shared" si="3"/>
        <v>2637957.988</v>
      </c>
      <c r="H51" s="8">
        <f t="shared" si="4"/>
        <v>55447249.49</v>
      </c>
      <c r="J51" s="5"/>
    </row>
    <row r="52" ht="15.75" customHeight="1">
      <c r="B52" s="2"/>
      <c r="C52" s="30">
        <v>47478.0</v>
      </c>
      <c r="D52" s="8">
        <f t="shared" si="1"/>
        <v>3218810.063</v>
      </c>
      <c r="E52" s="46"/>
      <c r="F52" s="8">
        <f t="shared" si="2"/>
        <v>554472.4949</v>
      </c>
      <c r="G52" s="8">
        <f t="shared" si="3"/>
        <v>2664337.568</v>
      </c>
      <c r="H52" s="8">
        <f t="shared" si="4"/>
        <v>52782911.92</v>
      </c>
      <c r="J52" s="5"/>
    </row>
    <row r="53" ht="15.75" customHeight="1">
      <c r="B53" s="2"/>
      <c r="C53" s="30">
        <v>47509.0</v>
      </c>
      <c r="D53" s="8">
        <f t="shared" si="1"/>
        <v>3218810.063</v>
      </c>
      <c r="E53" s="46"/>
      <c r="F53" s="8">
        <f t="shared" si="2"/>
        <v>527829.1192</v>
      </c>
      <c r="G53" s="8">
        <f t="shared" si="3"/>
        <v>2690980.944</v>
      </c>
      <c r="H53" s="8">
        <f t="shared" si="4"/>
        <v>50091930.98</v>
      </c>
      <c r="J53" s="5"/>
    </row>
    <row r="54" ht="15.75" customHeight="1">
      <c r="B54" s="2"/>
      <c r="C54" s="30">
        <v>47540.0</v>
      </c>
      <c r="D54" s="8">
        <f t="shared" si="1"/>
        <v>3218810.063</v>
      </c>
      <c r="E54" s="46"/>
      <c r="F54" s="8">
        <f t="shared" si="2"/>
        <v>500919.3098</v>
      </c>
      <c r="G54" s="8">
        <f t="shared" si="3"/>
        <v>2717890.753</v>
      </c>
      <c r="H54" s="8">
        <f t="shared" si="4"/>
        <v>47374040.23</v>
      </c>
      <c r="J54" s="5"/>
    </row>
    <row r="55" ht="15.75" customHeight="1">
      <c r="B55" s="2"/>
      <c r="C55" s="30">
        <v>47568.0</v>
      </c>
      <c r="D55" s="8">
        <f t="shared" si="1"/>
        <v>3218810.063</v>
      </c>
      <c r="E55" s="46"/>
      <c r="F55" s="8">
        <f t="shared" si="2"/>
        <v>473740.4023</v>
      </c>
      <c r="G55" s="8">
        <f t="shared" si="3"/>
        <v>2745069.661</v>
      </c>
      <c r="H55" s="8">
        <f t="shared" si="4"/>
        <v>44628970.56</v>
      </c>
      <c r="J55" s="5"/>
    </row>
    <row r="56" ht="15.75" customHeight="1">
      <c r="B56" s="2"/>
      <c r="C56" s="30">
        <v>47599.0</v>
      </c>
      <c r="D56" s="8">
        <f t="shared" si="1"/>
        <v>3218810.063</v>
      </c>
      <c r="E56" s="46"/>
      <c r="F56" s="8">
        <f t="shared" si="2"/>
        <v>446289.7056</v>
      </c>
      <c r="G56" s="8">
        <f t="shared" si="3"/>
        <v>2772520.357</v>
      </c>
      <c r="H56" s="8">
        <f t="shared" si="4"/>
        <v>41856450.21</v>
      </c>
      <c r="J56" s="5"/>
    </row>
    <row r="57" ht="15.75" customHeight="1">
      <c r="B57" s="2"/>
      <c r="C57" s="30">
        <v>47629.0</v>
      </c>
      <c r="D57" s="8">
        <f t="shared" si="1"/>
        <v>3218810.063</v>
      </c>
      <c r="E57" s="46"/>
      <c r="F57" s="8">
        <f t="shared" si="2"/>
        <v>418564.5021</v>
      </c>
      <c r="G57" s="8">
        <f t="shared" si="3"/>
        <v>2800245.561</v>
      </c>
      <c r="H57" s="8">
        <f t="shared" si="4"/>
        <v>39056204.65</v>
      </c>
      <c r="J57" s="5"/>
    </row>
    <row r="58" ht="15.75" customHeight="1">
      <c r="B58" s="2"/>
      <c r="C58" s="30">
        <v>47660.0</v>
      </c>
      <c r="D58" s="8">
        <f t="shared" si="1"/>
        <v>3218810.063</v>
      </c>
      <c r="E58" s="46"/>
      <c r="F58" s="8">
        <f t="shared" si="2"/>
        <v>390562.0465</v>
      </c>
      <c r="G58" s="8">
        <f t="shared" si="3"/>
        <v>2828248.016</v>
      </c>
      <c r="H58" s="8">
        <f t="shared" si="4"/>
        <v>36227956.63</v>
      </c>
      <c r="J58" s="5"/>
    </row>
    <row r="59" ht="15.75" customHeight="1">
      <c r="B59" s="2"/>
      <c r="C59" s="30">
        <v>47690.0</v>
      </c>
      <c r="D59" s="8">
        <f t="shared" si="1"/>
        <v>3218810.063</v>
      </c>
      <c r="E59" s="46"/>
      <c r="F59" s="8">
        <f t="shared" si="2"/>
        <v>362279.5663</v>
      </c>
      <c r="G59" s="8">
        <f t="shared" si="3"/>
        <v>2856530.497</v>
      </c>
      <c r="H59" s="8">
        <f t="shared" si="4"/>
        <v>33371426.13</v>
      </c>
      <c r="J59" s="5"/>
    </row>
    <row r="60" ht="15.75" customHeight="1">
      <c r="B60" s="2"/>
      <c r="C60" s="30">
        <v>47721.0</v>
      </c>
      <c r="D60" s="8">
        <f t="shared" si="1"/>
        <v>3218810.063</v>
      </c>
      <c r="E60" s="46"/>
      <c r="F60" s="8">
        <f t="shared" si="2"/>
        <v>333714.2613</v>
      </c>
      <c r="G60" s="8">
        <f t="shared" si="3"/>
        <v>2885095.802</v>
      </c>
      <c r="H60" s="8">
        <f t="shared" si="4"/>
        <v>30486330.33</v>
      </c>
      <c r="J60" s="5"/>
    </row>
    <row r="61" ht="15.75" customHeight="1">
      <c r="B61" s="2"/>
      <c r="C61" s="30">
        <v>47752.0</v>
      </c>
      <c r="D61" s="8">
        <f t="shared" si="1"/>
        <v>3218810.063</v>
      </c>
      <c r="E61" s="46"/>
      <c r="F61" s="8">
        <f t="shared" si="2"/>
        <v>304863.3033</v>
      </c>
      <c r="G61" s="8">
        <f t="shared" si="3"/>
        <v>2913946.76</v>
      </c>
      <c r="H61" s="8">
        <f t="shared" si="4"/>
        <v>27572383.57</v>
      </c>
      <c r="J61" s="5"/>
    </row>
    <row r="62" ht="15.75" customHeight="1">
      <c r="B62" s="2"/>
      <c r="C62" s="30">
        <v>47782.0</v>
      </c>
      <c r="D62" s="8">
        <f t="shared" si="1"/>
        <v>3218810.063</v>
      </c>
      <c r="E62" s="46"/>
      <c r="F62" s="8">
        <f t="shared" si="2"/>
        <v>275723.8357</v>
      </c>
      <c r="G62" s="8">
        <f t="shared" si="3"/>
        <v>2943086.227</v>
      </c>
      <c r="H62" s="8">
        <f t="shared" si="4"/>
        <v>24629297.35</v>
      </c>
      <c r="J62" s="5"/>
    </row>
    <row r="63" ht="15.75" customHeight="1">
      <c r="B63" s="2"/>
      <c r="C63" s="30">
        <v>47813.0</v>
      </c>
      <c r="D63" s="8">
        <f t="shared" si="1"/>
        <v>3218810.063</v>
      </c>
      <c r="E63" s="46"/>
      <c r="F63" s="8">
        <f t="shared" si="2"/>
        <v>246292.9735</v>
      </c>
      <c r="G63" s="8">
        <f t="shared" si="3"/>
        <v>2972517.089</v>
      </c>
      <c r="H63" s="8">
        <f t="shared" si="4"/>
        <v>21656780.26</v>
      </c>
      <c r="J63" s="5"/>
    </row>
    <row r="64" ht="15.75" customHeight="1">
      <c r="B64" s="2"/>
      <c r="C64" s="30">
        <v>47843.0</v>
      </c>
      <c r="D64" s="8">
        <f t="shared" si="1"/>
        <v>3218810.063</v>
      </c>
      <c r="E64" s="46"/>
      <c r="F64" s="8">
        <f t="shared" si="2"/>
        <v>216567.8026</v>
      </c>
      <c r="G64" s="8">
        <f t="shared" si="3"/>
        <v>3002242.26</v>
      </c>
      <c r="H64" s="8">
        <f t="shared" si="4"/>
        <v>18654538</v>
      </c>
      <c r="J64" s="5"/>
    </row>
    <row r="65" ht="15.75" customHeight="1">
      <c r="B65" s="2"/>
      <c r="C65" s="30">
        <v>47874.0</v>
      </c>
      <c r="D65" s="8">
        <f t="shared" si="1"/>
        <v>3218810.063</v>
      </c>
      <c r="E65" s="46"/>
      <c r="F65" s="8">
        <f t="shared" si="2"/>
        <v>186545.38</v>
      </c>
      <c r="G65" s="8">
        <f t="shared" si="3"/>
        <v>3032264.683</v>
      </c>
      <c r="H65" s="8">
        <f t="shared" si="4"/>
        <v>15622273.31</v>
      </c>
      <c r="J65" s="5"/>
    </row>
    <row r="66" ht="15.75" customHeight="1">
      <c r="B66" s="2"/>
      <c r="C66" s="30">
        <v>47905.0</v>
      </c>
      <c r="D66" s="8">
        <f t="shared" si="1"/>
        <v>3218810.063</v>
      </c>
      <c r="E66" s="46"/>
      <c r="F66" s="8">
        <f t="shared" si="2"/>
        <v>156222.7331</v>
      </c>
      <c r="G66" s="8">
        <f t="shared" si="3"/>
        <v>3062587.33</v>
      </c>
      <c r="H66" s="8">
        <f t="shared" si="4"/>
        <v>12559685.98</v>
      </c>
      <c r="J66" s="5"/>
    </row>
    <row r="67" ht="15.75" customHeight="1">
      <c r="B67" s="2"/>
      <c r="C67" s="30">
        <v>47933.0</v>
      </c>
      <c r="D67" s="8">
        <f t="shared" si="1"/>
        <v>3218810.063</v>
      </c>
      <c r="E67" s="46"/>
      <c r="F67" s="8">
        <f t="shared" si="2"/>
        <v>125596.8598</v>
      </c>
      <c r="G67" s="8">
        <f t="shared" si="3"/>
        <v>3093213.203</v>
      </c>
      <c r="H67" s="8">
        <f t="shared" si="4"/>
        <v>9466472.78</v>
      </c>
      <c r="J67" s="5"/>
    </row>
    <row r="68" ht="15.75" customHeight="1">
      <c r="B68" s="2"/>
      <c r="C68" s="30">
        <v>47964.0</v>
      </c>
      <c r="D68" s="8">
        <f t="shared" si="1"/>
        <v>3218810.063</v>
      </c>
      <c r="E68" s="46"/>
      <c r="F68" s="8">
        <f t="shared" si="2"/>
        <v>94664.7278</v>
      </c>
      <c r="G68" s="8">
        <f t="shared" si="3"/>
        <v>3124145.335</v>
      </c>
      <c r="H68" s="8">
        <f t="shared" si="4"/>
        <v>6342327.445</v>
      </c>
      <c r="J68" s="5"/>
    </row>
    <row r="69" ht="15.75" customHeight="1">
      <c r="B69" s="2"/>
      <c r="C69" s="30">
        <v>47994.0</v>
      </c>
      <c r="D69" s="8">
        <f t="shared" si="1"/>
        <v>3218810.063</v>
      </c>
      <c r="E69" s="46"/>
      <c r="F69" s="8">
        <f t="shared" si="2"/>
        <v>63423.27445</v>
      </c>
      <c r="G69" s="8">
        <f t="shared" si="3"/>
        <v>3155386.788</v>
      </c>
      <c r="H69" s="8">
        <f t="shared" si="4"/>
        <v>3186940.656</v>
      </c>
      <c r="J69" s="5"/>
    </row>
    <row r="70" ht="15.75" customHeight="1">
      <c r="B70" s="2"/>
      <c r="C70" s="30">
        <v>48025.0</v>
      </c>
      <c r="D70" s="8">
        <f t="shared" si="1"/>
        <v>3218810.063</v>
      </c>
      <c r="E70" s="46"/>
      <c r="F70" s="8">
        <f t="shared" si="2"/>
        <v>31869.40656</v>
      </c>
      <c r="G70" s="8">
        <f t="shared" si="3"/>
        <v>3186940.656</v>
      </c>
      <c r="H70" s="8">
        <f t="shared" si="4"/>
        <v>0.0000002128072083</v>
      </c>
      <c r="J70" s="5"/>
    </row>
    <row r="71" ht="15.75" customHeight="1">
      <c r="E71" s="9"/>
      <c r="J71" s="5"/>
    </row>
    <row r="72" ht="15.75" customHeight="1">
      <c r="E72" s="9"/>
      <c r="J72" s="5"/>
    </row>
    <row r="73" ht="15.75" customHeight="1">
      <c r="E73" s="9"/>
      <c r="J73" s="5"/>
    </row>
    <row r="74" ht="15.75" customHeight="1">
      <c r="E74" s="9"/>
      <c r="J74" s="5"/>
    </row>
    <row r="75" ht="15.75" customHeight="1">
      <c r="E75" s="9"/>
      <c r="J75" s="5"/>
    </row>
    <row r="76" ht="15.75" customHeight="1">
      <c r="E76" s="9"/>
      <c r="J76" s="5"/>
    </row>
    <row r="77" ht="15.75" customHeight="1">
      <c r="E77" s="9"/>
      <c r="J77" s="5"/>
    </row>
    <row r="78" ht="15.75" customHeight="1">
      <c r="E78" s="9"/>
      <c r="J78" s="5"/>
    </row>
    <row r="79" ht="15.75" customHeight="1">
      <c r="E79" s="9"/>
      <c r="J79" s="5"/>
    </row>
    <row r="80" ht="15.75" customHeight="1">
      <c r="E80" s="9"/>
      <c r="J80" s="5"/>
    </row>
    <row r="81" ht="15.75" customHeight="1">
      <c r="E81" s="9"/>
      <c r="J81" s="5"/>
    </row>
    <row r="82" ht="15.75" customHeight="1">
      <c r="E82" s="9"/>
      <c r="J82" s="5"/>
    </row>
    <row r="83" ht="15.75" customHeight="1">
      <c r="E83" s="9"/>
      <c r="J83" s="5"/>
    </row>
    <row r="84" ht="15.75" customHeight="1">
      <c r="E84" s="9"/>
      <c r="J84" s="5"/>
    </row>
    <row r="85" ht="15.75" customHeight="1">
      <c r="E85" s="9"/>
      <c r="J85" s="5"/>
    </row>
    <row r="86" ht="15.75" customHeight="1">
      <c r="E86" s="9"/>
      <c r="J86" s="5"/>
    </row>
    <row r="87" ht="15.75" customHeight="1">
      <c r="E87" s="9"/>
      <c r="J87" s="5"/>
    </row>
    <row r="88" ht="15.75" customHeight="1">
      <c r="E88" s="9"/>
      <c r="J88" s="5"/>
    </row>
    <row r="89" ht="15.75" customHeight="1">
      <c r="E89" s="9"/>
      <c r="J89" s="5"/>
    </row>
    <row r="90" ht="15.75" customHeight="1">
      <c r="E90" s="9"/>
      <c r="J90" s="5"/>
    </row>
    <row r="91" ht="15.75" customHeight="1">
      <c r="E91" s="9"/>
      <c r="J91" s="5"/>
    </row>
    <row r="92" ht="15.75" customHeight="1">
      <c r="E92" s="9"/>
      <c r="J92" s="5"/>
    </row>
    <row r="93" ht="15.75" customHeight="1">
      <c r="E93" s="9"/>
      <c r="J93" s="5"/>
    </row>
    <row r="94" ht="15.75" customHeight="1">
      <c r="E94" s="9"/>
      <c r="J94" s="5"/>
    </row>
    <row r="95" ht="15.75" customHeight="1">
      <c r="E95" s="9"/>
      <c r="J95" s="5"/>
    </row>
    <row r="96" ht="15.75" customHeight="1">
      <c r="E96" s="9"/>
      <c r="J96" s="5"/>
    </row>
    <row r="97" ht="15.75" customHeight="1">
      <c r="E97" s="9"/>
      <c r="J97" s="5"/>
    </row>
    <row r="98" ht="15.75" customHeight="1">
      <c r="E98" s="9"/>
      <c r="J98" s="5"/>
    </row>
    <row r="99" ht="15.75" customHeight="1">
      <c r="E99" s="9"/>
      <c r="J99" s="5"/>
    </row>
    <row r="100" ht="15.75" customHeight="1">
      <c r="E100" s="9"/>
      <c r="J100" s="5"/>
    </row>
    <row r="101" ht="15.75" customHeight="1">
      <c r="E101" s="9"/>
      <c r="J101" s="5"/>
    </row>
    <row r="102" ht="15.75" customHeight="1">
      <c r="E102" s="9"/>
      <c r="J102" s="5"/>
    </row>
    <row r="103" ht="15.75" customHeight="1">
      <c r="E103" s="9"/>
      <c r="J103" s="5"/>
    </row>
    <row r="104" ht="15.75" customHeight="1">
      <c r="E104" s="9"/>
      <c r="J104" s="5"/>
    </row>
    <row r="105" ht="15.75" customHeight="1">
      <c r="E105" s="9"/>
      <c r="J105" s="5"/>
    </row>
    <row r="106" ht="15.75" customHeight="1">
      <c r="E106" s="9"/>
      <c r="J106" s="5"/>
    </row>
    <row r="107" ht="15.75" customHeight="1">
      <c r="E107" s="9"/>
      <c r="J107" s="5"/>
    </row>
    <row r="108" ht="15.75" customHeight="1">
      <c r="E108" s="9"/>
      <c r="J108" s="5"/>
    </row>
    <row r="109" ht="15.75" customHeight="1">
      <c r="E109" s="9"/>
      <c r="J109" s="5"/>
    </row>
    <row r="110" ht="15.75" customHeight="1">
      <c r="E110" s="9"/>
      <c r="J110" s="5"/>
    </row>
    <row r="111" ht="15.75" customHeight="1">
      <c r="E111" s="9"/>
      <c r="J111" s="5"/>
    </row>
    <row r="112" ht="15.75" customHeight="1">
      <c r="E112" s="9"/>
      <c r="J112" s="5"/>
    </row>
    <row r="113" ht="15.75" customHeight="1">
      <c r="E113" s="9"/>
      <c r="J113" s="5"/>
    </row>
    <row r="114" ht="15.75" customHeight="1">
      <c r="E114" s="9"/>
      <c r="J114" s="5"/>
    </row>
    <row r="115" ht="15.75" customHeight="1">
      <c r="E115" s="9"/>
      <c r="J115" s="5"/>
    </row>
    <row r="116" ht="15.75" customHeight="1">
      <c r="E116" s="9"/>
      <c r="J116" s="5"/>
    </row>
    <row r="117" ht="15.75" customHeight="1">
      <c r="E117" s="9"/>
      <c r="J117" s="5"/>
    </row>
    <row r="118" ht="15.75" customHeight="1">
      <c r="E118" s="9"/>
      <c r="J118" s="5"/>
    </row>
    <row r="119" ht="15.75" customHeight="1">
      <c r="E119" s="9"/>
      <c r="J119" s="5"/>
    </row>
    <row r="120" ht="15.75" customHeight="1">
      <c r="E120" s="9"/>
      <c r="J120" s="5"/>
    </row>
    <row r="121" ht="15.75" customHeight="1">
      <c r="E121" s="9"/>
      <c r="J121" s="5"/>
    </row>
    <row r="122" ht="15.75" customHeight="1">
      <c r="E122" s="9"/>
      <c r="J122" s="5"/>
    </row>
    <row r="123" ht="15.75" customHeight="1">
      <c r="E123" s="9"/>
      <c r="J123" s="5"/>
    </row>
    <row r="124" ht="15.75" customHeight="1">
      <c r="E124" s="9"/>
      <c r="J124" s="5"/>
    </row>
    <row r="125" ht="15.75" customHeight="1">
      <c r="E125" s="9"/>
      <c r="J125" s="5"/>
    </row>
    <row r="126" ht="15.75" customHeight="1">
      <c r="E126" s="9"/>
      <c r="J126" s="5"/>
    </row>
    <row r="127" ht="15.75" customHeight="1">
      <c r="E127" s="9"/>
      <c r="J127" s="5"/>
    </row>
    <row r="128" ht="15.75" customHeight="1">
      <c r="E128" s="9"/>
      <c r="J128" s="5"/>
    </row>
    <row r="129" ht="15.75" customHeight="1">
      <c r="E129" s="9"/>
      <c r="J129" s="5"/>
    </row>
    <row r="130" ht="15.75" customHeight="1">
      <c r="E130" s="9"/>
      <c r="J130" s="5"/>
    </row>
    <row r="131" ht="15.75" customHeight="1">
      <c r="E131" s="9"/>
      <c r="J131" s="5"/>
    </row>
    <row r="132" ht="15.75" customHeight="1">
      <c r="E132" s="9"/>
      <c r="J132" s="5"/>
    </row>
    <row r="133" ht="15.75" customHeight="1">
      <c r="E133" s="9"/>
      <c r="J133" s="5"/>
    </row>
    <row r="134" ht="15.75" customHeight="1">
      <c r="E134" s="9"/>
      <c r="J134" s="5"/>
    </row>
    <row r="135" ht="15.75" customHeight="1">
      <c r="E135" s="9"/>
      <c r="J135" s="5"/>
    </row>
    <row r="136" ht="15.75" customHeight="1">
      <c r="E136" s="9"/>
      <c r="J136" s="5"/>
    </row>
    <row r="137" ht="15.75" customHeight="1">
      <c r="E137" s="9"/>
      <c r="J137" s="5"/>
    </row>
    <row r="138" ht="15.75" customHeight="1">
      <c r="E138" s="9"/>
      <c r="J138" s="5"/>
    </row>
    <row r="139" ht="15.75" customHeight="1">
      <c r="E139" s="9"/>
      <c r="J139" s="5"/>
    </row>
    <row r="140" ht="15.75" customHeight="1">
      <c r="E140" s="9"/>
      <c r="J140" s="5"/>
    </row>
    <row r="141" ht="15.75" customHeight="1">
      <c r="E141" s="9"/>
      <c r="J141" s="5"/>
    </row>
    <row r="142" ht="15.75" customHeight="1">
      <c r="E142" s="9"/>
      <c r="J142" s="5"/>
    </row>
    <row r="143" ht="15.75" customHeight="1">
      <c r="E143" s="9"/>
      <c r="J143" s="5"/>
    </row>
    <row r="144" ht="15.75" customHeight="1">
      <c r="E144" s="9"/>
      <c r="J144" s="5"/>
    </row>
    <row r="145" ht="15.75" customHeight="1">
      <c r="E145" s="9"/>
      <c r="J145" s="5"/>
    </row>
    <row r="146" ht="15.75" customHeight="1">
      <c r="E146" s="9"/>
      <c r="J146" s="5"/>
    </row>
    <row r="147" ht="15.75" customHeight="1">
      <c r="E147" s="9"/>
      <c r="J147" s="5"/>
    </row>
    <row r="148" ht="15.75" customHeight="1">
      <c r="E148" s="9"/>
      <c r="J148" s="5"/>
    </row>
    <row r="149" ht="15.75" customHeight="1">
      <c r="E149" s="9"/>
      <c r="J149" s="5"/>
    </row>
    <row r="150" ht="15.75" customHeight="1">
      <c r="E150" s="9"/>
      <c r="J150" s="5"/>
    </row>
    <row r="151" ht="15.75" customHeight="1">
      <c r="E151" s="9"/>
      <c r="J151" s="5"/>
    </row>
    <row r="152" ht="15.75" customHeight="1">
      <c r="E152" s="9"/>
      <c r="J152" s="5"/>
    </row>
    <row r="153" ht="15.75" customHeight="1">
      <c r="E153" s="9"/>
      <c r="J153" s="5"/>
    </row>
    <row r="154" ht="15.75" customHeight="1">
      <c r="E154" s="9"/>
      <c r="J154" s="5"/>
    </row>
    <row r="155" ht="15.75" customHeight="1">
      <c r="E155" s="9"/>
      <c r="J155" s="5"/>
    </row>
    <row r="156" ht="15.75" customHeight="1">
      <c r="E156" s="9"/>
      <c r="J156" s="5"/>
    </row>
    <row r="157" ht="15.75" customHeight="1">
      <c r="E157" s="9"/>
      <c r="J157" s="5"/>
    </row>
    <row r="158" ht="15.75" customHeight="1">
      <c r="E158" s="9"/>
      <c r="J158" s="5"/>
    </row>
    <row r="159" ht="15.75" customHeight="1">
      <c r="E159" s="9"/>
      <c r="J159" s="5"/>
    </row>
    <row r="160" ht="15.75" customHeight="1">
      <c r="E160" s="9"/>
      <c r="J160" s="5"/>
    </row>
    <row r="161" ht="15.75" customHeight="1">
      <c r="E161" s="9"/>
      <c r="J161" s="5"/>
    </row>
    <row r="162" ht="15.75" customHeight="1">
      <c r="E162" s="9"/>
      <c r="J162" s="5"/>
    </row>
    <row r="163" ht="15.75" customHeight="1">
      <c r="E163" s="9"/>
      <c r="J163" s="5"/>
    </row>
    <row r="164" ht="15.75" customHeight="1">
      <c r="E164" s="9"/>
      <c r="J164" s="5"/>
    </row>
    <row r="165" ht="15.75" customHeight="1">
      <c r="E165" s="9"/>
      <c r="J165" s="5"/>
    </row>
    <row r="166" ht="15.75" customHeight="1">
      <c r="E166" s="9"/>
      <c r="J166" s="5"/>
    </row>
    <row r="167" ht="15.75" customHeight="1">
      <c r="E167" s="9"/>
      <c r="J167" s="5"/>
    </row>
    <row r="168" ht="15.75" customHeight="1">
      <c r="E168" s="9"/>
      <c r="J168" s="5"/>
    </row>
    <row r="169" ht="15.75" customHeight="1">
      <c r="E169" s="9"/>
      <c r="J169" s="5"/>
    </row>
    <row r="170" ht="15.75" customHeight="1">
      <c r="E170" s="9"/>
      <c r="J170" s="5"/>
    </row>
    <row r="171" ht="15.75" customHeight="1">
      <c r="E171" s="9"/>
      <c r="J171" s="5"/>
    </row>
    <row r="172" ht="15.75" customHeight="1">
      <c r="E172" s="9"/>
      <c r="J172" s="5"/>
    </row>
    <row r="173" ht="15.75" customHeight="1">
      <c r="E173" s="9"/>
      <c r="J173" s="5"/>
    </row>
    <row r="174" ht="15.75" customHeight="1">
      <c r="E174" s="9"/>
      <c r="J174" s="5"/>
    </row>
    <row r="175" ht="15.75" customHeight="1">
      <c r="E175" s="9"/>
      <c r="J175" s="5"/>
    </row>
    <row r="176" ht="15.75" customHeight="1">
      <c r="E176" s="9"/>
      <c r="J176" s="5"/>
    </row>
    <row r="177" ht="15.75" customHeight="1">
      <c r="E177" s="9"/>
      <c r="J177" s="5"/>
    </row>
    <row r="178" ht="15.75" customHeight="1">
      <c r="E178" s="9"/>
      <c r="J178" s="5"/>
    </row>
    <row r="179" ht="15.75" customHeight="1">
      <c r="E179" s="9"/>
      <c r="J179" s="5"/>
    </row>
    <row r="180" ht="15.75" customHeight="1">
      <c r="E180" s="9"/>
      <c r="J180" s="5"/>
    </row>
    <row r="181" ht="15.75" customHeight="1">
      <c r="E181" s="9"/>
      <c r="J181" s="5"/>
    </row>
    <row r="182" ht="15.75" customHeight="1">
      <c r="E182" s="9"/>
      <c r="J182" s="5"/>
    </row>
    <row r="183" ht="15.75" customHeight="1">
      <c r="E183" s="9"/>
      <c r="J183" s="5"/>
    </row>
    <row r="184" ht="15.75" customHeight="1">
      <c r="E184" s="9"/>
      <c r="J184" s="5"/>
    </row>
    <row r="185" ht="15.75" customHeight="1">
      <c r="E185" s="9"/>
      <c r="J185" s="5"/>
    </row>
    <row r="186" ht="15.75" customHeight="1">
      <c r="E186" s="9"/>
      <c r="J186" s="5"/>
    </row>
    <row r="187" ht="15.75" customHeight="1">
      <c r="E187" s="9"/>
      <c r="J187" s="5"/>
    </row>
    <row r="188" ht="15.75" customHeight="1">
      <c r="E188" s="9"/>
      <c r="J188" s="5"/>
    </row>
    <row r="189" ht="15.75" customHeight="1">
      <c r="E189" s="9"/>
      <c r="J189" s="5"/>
    </row>
    <row r="190" ht="15.75" customHeight="1">
      <c r="E190" s="9"/>
      <c r="J190" s="5"/>
    </row>
    <row r="191" ht="15.75" customHeight="1">
      <c r="E191" s="9"/>
      <c r="J191" s="5"/>
    </row>
    <row r="192" ht="15.75" customHeight="1">
      <c r="E192" s="9"/>
      <c r="J192" s="5"/>
    </row>
    <row r="193" ht="15.75" customHeight="1">
      <c r="E193" s="9"/>
      <c r="J193" s="5"/>
    </row>
    <row r="194" ht="15.75" customHeight="1">
      <c r="E194" s="9"/>
      <c r="J194" s="5"/>
    </row>
    <row r="195" ht="15.75" customHeight="1">
      <c r="E195" s="9"/>
      <c r="J195" s="5"/>
    </row>
    <row r="196" ht="15.75" customHeight="1">
      <c r="E196" s="9"/>
      <c r="J196" s="5"/>
    </row>
    <row r="197" ht="15.75" customHeight="1">
      <c r="E197" s="9"/>
      <c r="J197" s="5"/>
    </row>
    <row r="198" ht="15.75" customHeight="1">
      <c r="E198" s="9"/>
      <c r="J198" s="5"/>
    </row>
    <row r="199" ht="15.75" customHeight="1">
      <c r="E199" s="9"/>
      <c r="J199" s="5"/>
    </row>
    <row r="200" ht="15.75" customHeight="1">
      <c r="E200" s="9"/>
      <c r="J200" s="5"/>
    </row>
    <row r="201" ht="15.75" customHeight="1">
      <c r="E201" s="9"/>
      <c r="J201" s="5"/>
    </row>
    <row r="202" ht="15.75" customHeight="1">
      <c r="E202" s="9"/>
      <c r="J202" s="5"/>
    </row>
    <row r="203" ht="15.75" customHeight="1">
      <c r="E203" s="9"/>
      <c r="J203" s="5"/>
    </row>
    <row r="204" ht="15.75" customHeight="1">
      <c r="E204" s="9"/>
      <c r="J204" s="5"/>
    </row>
    <row r="205" ht="15.75" customHeight="1">
      <c r="E205" s="9"/>
      <c r="J205" s="5"/>
    </row>
    <row r="206" ht="15.75" customHeight="1">
      <c r="E206" s="9"/>
      <c r="J206" s="5"/>
    </row>
    <row r="207" ht="15.75" customHeight="1">
      <c r="E207" s="9"/>
      <c r="J207" s="5"/>
    </row>
    <row r="208" ht="15.75" customHeight="1">
      <c r="E208" s="9"/>
      <c r="J208" s="5"/>
    </row>
    <row r="209" ht="15.75" customHeight="1">
      <c r="E209" s="9"/>
      <c r="J209" s="5"/>
    </row>
    <row r="210" ht="15.75" customHeight="1">
      <c r="E210" s="9"/>
      <c r="J210" s="5"/>
    </row>
    <row r="211" ht="15.75" customHeight="1">
      <c r="E211" s="9"/>
      <c r="J211" s="5"/>
    </row>
    <row r="212" ht="15.75" customHeight="1">
      <c r="E212" s="9"/>
      <c r="J212" s="5"/>
    </row>
    <row r="213" ht="15.75" customHeight="1">
      <c r="E213" s="9"/>
      <c r="J213" s="5"/>
    </row>
    <row r="214" ht="15.75" customHeight="1">
      <c r="E214" s="9"/>
      <c r="J214" s="5"/>
    </row>
    <row r="215" ht="15.75" customHeight="1">
      <c r="E215" s="9"/>
      <c r="J215" s="5"/>
    </row>
    <row r="216" ht="15.75" customHeight="1">
      <c r="E216" s="9"/>
      <c r="J216" s="5"/>
    </row>
    <row r="217" ht="15.75" customHeight="1">
      <c r="E217" s="9"/>
      <c r="J217" s="5"/>
    </row>
    <row r="218" ht="15.75" customHeight="1">
      <c r="E218" s="9"/>
      <c r="J218" s="5"/>
    </row>
    <row r="219" ht="15.75" customHeight="1">
      <c r="E219" s="9"/>
      <c r="J219" s="5"/>
    </row>
    <row r="220" ht="15.75" customHeight="1">
      <c r="E220" s="9"/>
      <c r="J220" s="5"/>
    </row>
    <row r="221" ht="15.75" customHeight="1">
      <c r="E221" s="9"/>
      <c r="J221" s="5"/>
    </row>
    <row r="222" ht="15.75" customHeight="1">
      <c r="E222" s="9"/>
      <c r="J222" s="5"/>
    </row>
    <row r="223" ht="15.75" customHeight="1">
      <c r="E223" s="9"/>
      <c r="J223" s="5"/>
    </row>
    <row r="224" ht="15.75" customHeight="1">
      <c r="E224" s="9"/>
      <c r="J224" s="5"/>
    </row>
    <row r="225" ht="15.75" customHeight="1">
      <c r="E225" s="9"/>
      <c r="J225" s="5"/>
    </row>
    <row r="226" ht="15.75" customHeight="1">
      <c r="E226" s="9"/>
      <c r="J226" s="5"/>
    </row>
    <row r="227" ht="15.75" customHeight="1">
      <c r="E227" s="9"/>
      <c r="J227" s="5"/>
    </row>
    <row r="228" ht="15.75" customHeight="1">
      <c r="E228" s="9"/>
      <c r="J228" s="5"/>
    </row>
    <row r="229" ht="15.75" customHeight="1">
      <c r="E229" s="9"/>
      <c r="J229" s="5"/>
    </row>
    <row r="230" ht="15.75" customHeight="1">
      <c r="E230" s="9"/>
      <c r="J230" s="5"/>
    </row>
    <row r="231" ht="15.75" customHeight="1">
      <c r="E231" s="9"/>
      <c r="J231" s="5"/>
    </row>
    <row r="232" ht="15.75" customHeight="1">
      <c r="E232" s="9"/>
      <c r="J232" s="5"/>
    </row>
    <row r="233" ht="15.75" customHeight="1">
      <c r="E233" s="9"/>
      <c r="J233" s="5"/>
    </row>
    <row r="234" ht="15.75" customHeight="1">
      <c r="E234" s="9"/>
      <c r="J234" s="5"/>
    </row>
    <row r="235" ht="15.75" customHeight="1">
      <c r="E235" s="9"/>
      <c r="J235" s="5"/>
    </row>
    <row r="236" ht="15.75" customHeight="1">
      <c r="E236" s="9"/>
      <c r="J236" s="5"/>
    </row>
    <row r="237" ht="15.75" customHeight="1">
      <c r="E237" s="9"/>
      <c r="J237" s="5"/>
    </row>
    <row r="238" ht="15.75" customHeight="1">
      <c r="E238" s="9"/>
      <c r="J238" s="5"/>
    </row>
    <row r="239" ht="15.75" customHeight="1">
      <c r="E239" s="9"/>
      <c r="J239" s="5"/>
    </row>
    <row r="240" ht="15.75" customHeight="1">
      <c r="E240" s="9"/>
      <c r="J240" s="5"/>
    </row>
    <row r="241" ht="15.75" customHeight="1">
      <c r="E241" s="9"/>
      <c r="J241" s="5"/>
    </row>
    <row r="242" ht="15.75" customHeight="1">
      <c r="E242" s="9"/>
      <c r="J242" s="5"/>
    </row>
    <row r="243" ht="15.75" customHeight="1">
      <c r="E243" s="9"/>
      <c r="J243" s="5"/>
    </row>
    <row r="244" ht="15.75" customHeight="1">
      <c r="E244" s="9"/>
      <c r="J244" s="5"/>
    </row>
    <row r="245" ht="15.75" customHeight="1">
      <c r="E245" s="9"/>
      <c r="J245" s="5"/>
    </row>
    <row r="246" ht="15.75" customHeight="1">
      <c r="E246" s="9"/>
      <c r="J246" s="5"/>
    </row>
    <row r="247" ht="15.75" customHeight="1">
      <c r="E247" s="9"/>
      <c r="J247" s="5"/>
    </row>
    <row r="248" ht="15.75" customHeight="1">
      <c r="E248" s="9"/>
      <c r="J248" s="5"/>
    </row>
    <row r="249" ht="15.75" customHeight="1">
      <c r="E249" s="9"/>
      <c r="J249" s="5"/>
    </row>
    <row r="250" ht="15.75" customHeight="1">
      <c r="E250" s="9"/>
      <c r="J250" s="5"/>
    </row>
    <row r="251" ht="15.75" customHeight="1">
      <c r="E251" s="9"/>
      <c r="J251" s="5"/>
    </row>
    <row r="252" ht="15.75" customHeight="1">
      <c r="E252" s="9"/>
      <c r="J252" s="5"/>
    </row>
    <row r="253" ht="15.75" customHeight="1">
      <c r="E253" s="9"/>
      <c r="J253" s="5"/>
    </row>
    <row r="254" ht="15.75" customHeight="1">
      <c r="E254" s="9"/>
      <c r="J254" s="5"/>
    </row>
    <row r="255" ht="15.75" customHeight="1">
      <c r="E255" s="9"/>
      <c r="J255" s="5"/>
    </row>
    <row r="256" ht="15.75" customHeight="1">
      <c r="E256" s="9"/>
      <c r="J256" s="5"/>
    </row>
    <row r="257" ht="15.75" customHeight="1">
      <c r="E257" s="9"/>
      <c r="J257" s="5"/>
    </row>
    <row r="258" ht="15.75" customHeight="1">
      <c r="E258" s="9"/>
      <c r="J258" s="5"/>
    </row>
    <row r="259" ht="15.75" customHeight="1">
      <c r="E259" s="9"/>
      <c r="J259" s="5"/>
    </row>
    <row r="260" ht="15.75" customHeight="1">
      <c r="E260" s="9"/>
      <c r="J260" s="5"/>
    </row>
    <row r="261" ht="15.75" customHeight="1">
      <c r="E261" s="9"/>
      <c r="J261" s="5"/>
    </row>
    <row r="262" ht="15.75" customHeight="1">
      <c r="E262" s="9"/>
      <c r="J262" s="5"/>
    </row>
    <row r="263" ht="15.75" customHeight="1">
      <c r="E263" s="9"/>
      <c r="J263" s="5"/>
    </row>
    <row r="264" ht="15.75" customHeight="1">
      <c r="E264" s="9"/>
      <c r="J264" s="5"/>
    </row>
    <row r="265" ht="15.75" customHeight="1">
      <c r="E265" s="9"/>
      <c r="J265" s="5"/>
    </row>
    <row r="266" ht="15.75" customHeight="1">
      <c r="E266" s="9"/>
      <c r="J266" s="5"/>
    </row>
    <row r="267" ht="15.75" customHeight="1">
      <c r="E267" s="9"/>
      <c r="J267" s="5"/>
    </row>
    <row r="268" ht="15.75" customHeight="1">
      <c r="E268" s="9"/>
      <c r="J268" s="5"/>
    </row>
    <row r="269" ht="15.75" customHeight="1">
      <c r="E269" s="9"/>
      <c r="J269" s="5"/>
    </row>
    <row r="270" ht="15.75" customHeight="1">
      <c r="E270" s="9"/>
      <c r="J270" s="5"/>
    </row>
    <row r="271" ht="15.75" customHeight="1">
      <c r="E271" s="9"/>
      <c r="J271" s="5"/>
    </row>
    <row r="272" ht="15.75" customHeight="1">
      <c r="E272" s="9"/>
      <c r="J272" s="5"/>
    </row>
    <row r="273" ht="15.75" customHeight="1">
      <c r="E273" s="9"/>
      <c r="J273" s="5"/>
    </row>
    <row r="274" ht="15.75" customHeight="1">
      <c r="E274" s="9"/>
      <c r="J274" s="5"/>
    </row>
    <row r="275" ht="15.75" customHeight="1">
      <c r="E275" s="9"/>
      <c r="J275" s="5"/>
    </row>
    <row r="276" ht="15.75" customHeight="1">
      <c r="E276" s="9"/>
      <c r="J276" s="5"/>
    </row>
    <row r="277" ht="15.75" customHeight="1">
      <c r="E277" s="9"/>
      <c r="J277" s="5"/>
    </row>
    <row r="278" ht="15.75" customHeight="1">
      <c r="E278" s="9"/>
      <c r="J278" s="5"/>
    </row>
    <row r="279" ht="15.75" customHeight="1">
      <c r="E279" s="9"/>
      <c r="J279" s="5"/>
    </row>
    <row r="280" ht="15.75" customHeight="1">
      <c r="E280" s="9"/>
      <c r="J280" s="5"/>
    </row>
    <row r="281" ht="15.75" customHeight="1">
      <c r="E281" s="9"/>
      <c r="J281" s="5"/>
    </row>
    <row r="282" ht="15.75" customHeight="1">
      <c r="E282" s="9"/>
      <c r="J282" s="5"/>
    </row>
    <row r="283" ht="15.75" customHeight="1">
      <c r="E283" s="9"/>
      <c r="J283" s="5"/>
    </row>
    <row r="284" ht="15.75" customHeight="1">
      <c r="E284" s="9"/>
      <c r="J284" s="5"/>
    </row>
    <row r="285" ht="15.75" customHeight="1">
      <c r="E285" s="9"/>
      <c r="J285" s="5"/>
    </row>
    <row r="286" ht="15.75" customHeight="1">
      <c r="E286" s="9"/>
      <c r="J286" s="5"/>
    </row>
    <row r="287" ht="15.75" customHeight="1">
      <c r="E287" s="9"/>
      <c r="J287" s="5"/>
    </row>
    <row r="288" ht="15.75" customHeight="1">
      <c r="E288" s="9"/>
      <c r="J288" s="5"/>
    </row>
    <row r="289" ht="15.75" customHeight="1">
      <c r="E289" s="9"/>
      <c r="J289" s="5"/>
    </row>
    <row r="290" ht="15.75" customHeight="1">
      <c r="E290" s="9"/>
      <c r="J290" s="5"/>
    </row>
    <row r="291" ht="15.75" customHeight="1">
      <c r="E291" s="9"/>
      <c r="J291" s="5"/>
    </row>
    <row r="292" ht="15.75" customHeight="1">
      <c r="E292" s="9"/>
      <c r="J292" s="5"/>
    </row>
    <row r="293" ht="15.75" customHeight="1">
      <c r="E293" s="9"/>
      <c r="J293" s="5"/>
    </row>
    <row r="294" ht="15.75" customHeight="1">
      <c r="E294" s="9"/>
      <c r="J294" s="5"/>
    </row>
    <row r="295" ht="15.75" customHeight="1">
      <c r="E295" s="9"/>
      <c r="J295" s="5"/>
    </row>
    <row r="296" ht="15.75" customHeight="1">
      <c r="E296" s="9"/>
      <c r="J296" s="5"/>
    </row>
    <row r="297" ht="15.75" customHeight="1">
      <c r="E297" s="9"/>
      <c r="J297" s="5"/>
    </row>
    <row r="298" ht="15.75" customHeight="1">
      <c r="E298" s="9"/>
      <c r="J298" s="5"/>
    </row>
    <row r="299" ht="15.75" customHeight="1">
      <c r="E299" s="9"/>
      <c r="J299" s="5"/>
    </row>
    <row r="300" ht="15.75" customHeight="1">
      <c r="E300" s="9"/>
      <c r="J300" s="5"/>
    </row>
    <row r="301" ht="15.75" customHeight="1">
      <c r="E301" s="9"/>
      <c r="J301" s="5"/>
    </row>
    <row r="302" ht="15.75" customHeight="1">
      <c r="E302" s="9"/>
      <c r="J302" s="5"/>
    </row>
    <row r="303" ht="15.75" customHeight="1">
      <c r="E303" s="9"/>
      <c r="J303" s="5"/>
    </row>
    <row r="304" ht="15.75" customHeight="1">
      <c r="E304" s="9"/>
      <c r="J304" s="5"/>
    </row>
    <row r="305" ht="15.75" customHeight="1">
      <c r="E305" s="9"/>
      <c r="J305" s="5"/>
    </row>
    <row r="306" ht="15.75" customHeight="1">
      <c r="E306" s="9"/>
      <c r="J306" s="5"/>
    </row>
    <row r="307" ht="15.75" customHeight="1">
      <c r="E307" s="9"/>
      <c r="J307" s="5"/>
    </row>
    <row r="308" ht="15.75" customHeight="1">
      <c r="E308" s="9"/>
      <c r="J308" s="5"/>
    </row>
    <row r="309" ht="15.75" customHeight="1">
      <c r="E309" s="9"/>
      <c r="J309" s="5"/>
    </row>
    <row r="310" ht="15.75" customHeight="1">
      <c r="E310" s="9"/>
      <c r="J310" s="5"/>
    </row>
    <row r="311" ht="15.75" customHeight="1">
      <c r="E311" s="9"/>
      <c r="J311" s="5"/>
    </row>
    <row r="312" ht="15.75" customHeight="1">
      <c r="E312" s="9"/>
      <c r="J312" s="5"/>
    </row>
    <row r="313" ht="15.75" customHeight="1">
      <c r="E313" s="9"/>
      <c r="J313" s="5"/>
    </row>
    <row r="314" ht="15.75" customHeight="1">
      <c r="E314" s="9"/>
      <c r="J314" s="5"/>
    </row>
    <row r="315" ht="15.75" customHeight="1">
      <c r="E315" s="9"/>
      <c r="J315" s="5"/>
    </row>
    <row r="316" ht="15.75" customHeight="1">
      <c r="E316" s="9"/>
      <c r="J316" s="5"/>
    </row>
    <row r="317" ht="15.75" customHeight="1">
      <c r="E317" s="9"/>
      <c r="J317" s="5"/>
    </row>
    <row r="318" ht="15.75" customHeight="1">
      <c r="E318" s="9"/>
      <c r="J318" s="5"/>
    </row>
    <row r="319" ht="15.75" customHeight="1">
      <c r="E319" s="9"/>
      <c r="J319" s="5"/>
    </row>
    <row r="320" ht="15.75" customHeight="1">
      <c r="E320" s="9"/>
      <c r="J320" s="5"/>
    </row>
    <row r="321" ht="15.75" customHeight="1">
      <c r="E321" s="9"/>
      <c r="J321" s="5"/>
    </row>
    <row r="322" ht="15.75" customHeight="1">
      <c r="E322" s="9"/>
      <c r="J322" s="5"/>
    </row>
    <row r="323" ht="15.75" customHeight="1">
      <c r="E323" s="9"/>
      <c r="J323" s="5"/>
    </row>
    <row r="324" ht="15.75" customHeight="1">
      <c r="E324" s="9"/>
      <c r="J324" s="5"/>
    </row>
    <row r="325" ht="15.75" customHeight="1">
      <c r="E325" s="9"/>
      <c r="J325" s="5"/>
    </row>
    <row r="326" ht="15.75" customHeight="1">
      <c r="E326" s="9"/>
      <c r="J326" s="5"/>
    </row>
    <row r="327" ht="15.75" customHeight="1">
      <c r="E327" s="9"/>
      <c r="J327" s="5"/>
    </row>
    <row r="328" ht="15.75" customHeight="1">
      <c r="E328" s="9"/>
      <c r="J328" s="5"/>
    </row>
    <row r="329" ht="15.75" customHeight="1">
      <c r="E329" s="9"/>
      <c r="J329" s="5"/>
    </row>
    <row r="330" ht="15.75" customHeight="1">
      <c r="E330" s="9"/>
      <c r="J330" s="5"/>
    </row>
    <row r="331" ht="15.75" customHeight="1">
      <c r="E331" s="9"/>
      <c r="J331" s="5"/>
    </row>
    <row r="332" ht="15.75" customHeight="1">
      <c r="E332" s="9"/>
      <c r="J332" s="5"/>
    </row>
    <row r="333" ht="15.75" customHeight="1">
      <c r="E333" s="9"/>
      <c r="J333" s="5"/>
    </row>
    <row r="334" ht="15.75" customHeight="1">
      <c r="E334" s="9"/>
      <c r="J334" s="5"/>
    </row>
    <row r="335" ht="15.75" customHeight="1">
      <c r="E335" s="9"/>
      <c r="J335" s="5"/>
    </row>
    <row r="336" ht="15.75" customHeight="1">
      <c r="E336" s="9"/>
      <c r="J336" s="5"/>
    </row>
    <row r="337" ht="15.75" customHeight="1">
      <c r="E337" s="9"/>
      <c r="J337" s="5"/>
    </row>
    <row r="338" ht="15.75" customHeight="1">
      <c r="E338" s="9"/>
      <c r="J338" s="5"/>
    </row>
    <row r="339" ht="15.75" customHeight="1">
      <c r="E339" s="9"/>
      <c r="J339" s="5"/>
    </row>
    <row r="340" ht="15.75" customHeight="1">
      <c r="E340" s="9"/>
      <c r="J340" s="5"/>
    </row>
    <row r="341" ht="15.75" customHeight="1">
      <c r="E341" s="9"/>
      <c r="J341" s="5"/>
    </row>
    <row r="342" ht="15.75" customHeight="1">
      <c r="E342" s="9"/>
      <c r="J342" s="5"/>
    </row>
    <row r="343" ht="15.75" customHeight="1">
      <c r="E343" s="9"/>
      <c r="J343" s="5"/>
    </row>
    <row r="344" ht="15.75" customHeight="1">
      <c r="E344" s="9"/>
      <c r="J344" s="5"/>
    </row>
    <row r="345" ht="15.75" customHeight="1">
      <c r="E345" s="9"/>
      <c r="J345" s="5"/>
    </row>
    <row r="346" ht="15.75" customHeight="1">
      <c r="E346" s="9"/>
      <c r="J346" s="5"/>
    </row>
    <row r="347" ht="15.75" customHeight="1">
      <c r="E347" s="9"/>
      <c r="J347" s="5"/>
    </row>
    <row r="348" ht="15.75" customHeight="1">
      <c r="E348" s="9"/>
      <c r="J348" s="5"/>
    </row>
    <row r="349" ht="15.75" customHeight="1">
      <c r="E349" s="9"/>
      <c r="J349" s="5"/>
    </row>
    <row r="350" ht="15.75" customHeight="1">
      <c r="E350" s="9"/>
      <c r="J350" s="5"/>
    </row>
    <row r="351" ht="15.75" customHeight="1">
      <c r="E351" s="9"/>
      <c r="J351" s="5"/>
    </row>
    <row r="352" ht="15.75" customHeight="1">
      <c r="E352" s="9"/>
      <c r="J352" s="5"/>
    </row>
    <row r="353" ht="15.75" customHeight="1">
      <c r="E353" s="9"/>
      <c r="J353" s="5"/>
    </row>
    <row r="354" ht="15.75" customHeight="1">
      <c r="E354" s="9"/>
      <c r="J354" s="5"/>
    </row>
    <row r="355" ht="15.75" customHeight="1">
      <c r="E355" s="9"/>
      <c r="J355" s="5"/>
    </row>
    <row r="356" ht="15.75" customHeight="1">
      <c r="E356" s="9"/>
      <c r="J356" s="5"/>
    </row>
    <row r="357" ht="15.75" customHeight="1">
      <c r="E357" s="9"/>
      <c r="J357" s="5"/>
    </row>
    <row r="358" ht="15.75" customHeight="1">
      <c r="E358" s="9"/>
      <c r="J358" s="5"/>
    </row>
    <row r="359" ht="15.75" customHeight="1">
      <c r="E359" s="9"/>
      <c r="J359" s="5"/>
    </row>
    <row r="360" ht="15.75" customHeight="1">
      <c r="E360" s="9"/>
      <c r="J360" s="5"/>
    </row>
    <row r="361" ht="15.75" customHeight="1">
      <c r="E361" s="9"/>
      <c r="J361" s="5"/>
    </row>
    <row r="362" ht="15.75" customHeight="1">
      <c r="E362" s="9"/>
      <c r="J362" s="5"/>
    </row>
    <row r="363" ht="15.75" customHeight="1">
      <c r="E363" s="9"/>
      <c r="J363" s="5"/>
    </row>
    <row r="364" ht="15.75" customHeight="1">
      <c r="E364" s="9"/>
      <c r="J364" s="5"/>
    </row>
    <row r="365" ht="15.75" customHeight="1">
      <c r="E365" s="9"/>
      <c r="J365" s="5"/>
    </row>
    <row r="366" ht="15.75" customHeight="1">
      <c r="E366" s="9"/>
      <c r="J366" s="5"/>
    </row>
    <row r="367" ht="15.75" customHeight="1">
      <c r="E367" s="9"/>
      <c r="J367" s="5"/>
    </row>
    <row r="368" ht="15.75" customHeight="1">
      <c r="E368" s="9"/>
      <c r="J368" s="5"/>
    </row>
    <row r="369" ht="15.75" customHeight="1">
      <c r="E369" s="9"/>
      <c r="J369" s="5"/>
    </row>
    <row r="370" ht="15.75" customHeight="1">
      <c r="E370" s="9"/>
      <c r="J370" s="5"/>
    </row>
    <row r="371" ht="15.75" customHeight="1">
      <c r="E371" s="9"/>
      <c r="J371" s="5"/>
    </row>
    <row r="372" ht="15.75" customHeight="1">
      <c r="E372" s="9"/>
      <c r="J372" s="5"/>
    </row>
    <row r="373" ht="15.75" customHeight="1">
      <c r="E373" s="9"/>
      <c r="J373" s="5"/>
    </row>
    <row r="374" ht="15.75" customHeight="1">
      <c r="E374" s="9"/>
      <c r="J374" s="5"/>
    </row>
    <row r="375" ht="15.75" customHeight="1">
      <c r="E375" s="9"/>
      <c r="J375" s="5"/>
    </row>
    <row r="376" ht="15.75" customHeight="1">
      <c r="E376" s="9"/>
      <c r="J376" s="5"/>
    </row>
    <row r="377" ht="15.75" customHeight="1">
      <c r="E377" s="9"/>
      <c r="J377" s="5"/>
    </row>
    <row r="378" ht="15.75" customHeight="1">
      <c r="E378" s="9"/>
      <c r="J378" s="5"/>
    </row>
    <row r="379" ht="15.75" customHeight="1">
      <c r="E379" s="9"/>
      <c r="J379" s="5"/>
    </row>
    <row r="380" ht="15.75" customHeight="1">
      <c r="E380" s="9"/>
      <c r="J380" s="5"/>
    </row>
    <row r="381" ht="15.75" customHeight="1">
      <c r="E381" s="9"/>
      <c r="J381" s="5"/>
    </row>
    <row r="382" ht="15.75" customHeight="1">
      <c r="E382" s="9"/>
      <c r="J382" s="5"/>
    </row>
    <row r="383" ht="15.75" customHeight="1">
      <c r="E383" s="9"/>
      <c r="J383" s="5"/>
    </row>
    <row r="384" ht="15.75" customHeight="1">
      <c r="E384" s="9"/>
      <c r="J384" s="5"/>
    </row>
    <row r="385" ht="15.75" customHeight="1">
      <c r="E385" s="9"/>
      <c r="J385" s="5"/>
    </row>
    <row r="386" ht="15.75" customHeight="1">
      <c r="E386" s="9"/>
      <c r="J386" s="5"/>
    </row>
    <row r="387" ht="15.75" customHeight="1">
      <c r="E387" s="9"/>
      <c r="J387" s="5"/>
    </row>
    <row r="388" ht="15.75" customHeight="1">
      <c r="E388" s="9"/>
      <c r="J388" s="5"/>
    </row>
    <row r="389" ht="15.75" customHeight="1">
      <c r="E389" s="9"/>
      <c r="J389" s="5"/>
    </row>
    <row r="390" ht="15.75" customHeight="1">
      <c r="E390" s="9"/>
      <c r="J390" s="5"/>
    </row>
    <row r="391" ht="15.75" customHeight="1">
      <c r="E391" s="9"/>
      <c r="J391" s="5"/>
    </row>
    <row r="392" ht="15.75" customHeight="1">
      <c r="E392" s="9"/>
      <c r="J392" s="5"/>
    </row>
    <row r="393" ht="15.75" customHeight="1">
      <c r="E393" s="9"/>
      <c r="J393" s="5"/>
    </row>
    <row r="394" ht="15.75" customHeight="1">
      <c r="E394" s="9"/>
      <c r="J394" s="5"/>
    </row>
    <row r="395" ht="15.75" customHeight="1">
      <c r="E395" s="9"/>
      <c r="J395" s="5"/>
    </row>
    <row r="396" ht="15.75" customHeight="1">
      <c r="E396" s="9"/>
      <c r="J396" s="5"/>
    </row>
    <row r="397" ht="15.75" customHeight="1">
      <c r="E397" s="9"/>
      <c r="J397" s="5"/>
    </row>
    <row r="398" ht="15.75" customHeight="1">
      <c r="E398" s="9"/>
      <c r="J398" s="5"/>
    </row>
    <row r="399" ht="15.75" customHeight="1">
      <c r="E399" s="9"/>
      <c r="J399" s="5"/>
    </row>
    <row r="400" ht="15.75" customHeight="1">
      <c r="E400" s="9"/>
      <c r="J400" s="5"/>
    </row>
    <row r="401" ht="15.75" customHeight="1">
      <c r="E401" s="9"/>
      <c r="J401" s="5"/>
    </row>
    <row r="402" ht="15.75" customHeight="1">
      <c r="E402" s="9"/>
      <c r="J402" s="5"/>
    </row>
    <row r="403" ht="15.75" customHeight="1">
      <c r="E403" s="9"/>
      <c r="J403" s="5"/>
    </row>
    <row r="404" ht="15.75" customHeight="1">
      <c r="E404" s="9"/>
      <c r="J404" s="5"/>
    </row>
    <row r="405" ht="15.75" customHeight="1">
      <c r="E405" s="9"/>
      <c r="J405" s="5"/>
    </row>
    <row r="406" ht="15.75" customHeight="1">
      <c r="E406" s="9"/>
      <c r="J406" s="5"/>
    </row>
    <row r="407" ht="15.75" customHeight="1">
      <c r="E407" s="9"/>
      <c r="J407" s="5"/>
    </row>
    <row r="408" ht="15.75" customHeight="1">
      <c r="E408" s="9"/>
      <c r="J408" s="5"/>
    </row>
    <row r="409" ht="15.75" customHeight="1">
      <c r="E409" s="9"/>
      <c r="J409" s="5"/>
    </row>
    <row r="410" ht="15.75" customHeight="1">
      <c r="E410" s="9"/>
      <c r="J410" s="5"/>
    </row>
    <row r="411" ht="15.75" customHeight="1">
      <c r="E411" s="9"/>
      <c r="J411" s="5"/>
    </row>
    <row r="412" ht="15.75" customHeight="1">
      <c r="E412" s="9"/>
      <c r="J412" s="5"/>
    </row>
    <row r="413" ht="15.75" customHeight="1">
      <c r="E413" s="9"/>
      <c r="J413" s="5"/>
    </row>
    <row r="414" ht="15.75" customHeight="1">
      <c r="E414" s="9"/>
      <c r="J414" s="5"/>
    </row>
    <row r="415" ht="15.75" customHeight="1">
      <c r="E415" s="9"/>
      <c r="J415" s="5"/>
    </row>
    <row r="416" ht="15.75" customHeight="1">
      <c r="E416" s="9"/>
      <c r="J416" s="5"/>
    </row>
    <row r="417" ht="15.75" customHeight="1">
      <c r="E417" s="9"/>
      <c r="J417" s="5"/>
    </row>
    <row r="418" ht="15.75" customHeight="1">
      <c r="E418" s="9"/>
      <c r="J418" s="5"/>
    </row>
    <row r="419" ht="15.75" customHeight="1">
      <c r="E419" s="9"/>
      <c r="J419" s="5"/>
    </row>
    <row r="420" ht="15.75" customHeight="1">
      <c r="E420" s="9"/>
      <c r="J420" s="5"/>
    </row>
    <row r="421" ht="15.75" customHeight="1">
      <c r="E421" s="9"/>
      <c r="J421" s="5"/>
    </row>
    <row r="422" ht="15.75" customHeight="1">
      <c r="E422" s="9"/>
      <c r="J422" s="5"/>
    </row>
    <row r="423" ht="15.75" customHeight="1">
      <c r="E423" s="9"/>
      <c r="J423" s="5"/>
    </row>
    <row r="424" ht="15.75" customHeight="1">
      <c r="E424" s="9"/>
      <c r="J424" s="5"/>
    </row>
    <row r="425" ht="15.75" customHeight="1">
      <c r="E425" s="9"/>
      <c r="J425" s="5"/>
    </row>
    <row r="426" ht="15.75" customHeight="1">
      <c r="E426" s="9"/>
      <c r="J426" s="5"/>
    </row>
    <row r="427" ht="15.75" customHeight="1">
      <c r="E427" s="9"/>
      <c r="J427" s="5"/>
    </row>
    <row r="428" ht="15.75" customHeight="1">
      <c r="E428" s="9"/>
      <c r="J428" s="5"/>
    </row>
    <row r="429" ht="15.75" customHeight="1">
      <c r="E429" s="9"/>
      <c r="J429" s="5"/>
    </row>
    <row r="430" ht="15.75" customHeight="1">
      <c r="E430" s="9"/>
      <c r="J430" s="5"/>
    </row>
    <row r="431" ht="15.75" customHeight="1">
      <c r="E431" s="9"/>
      <c r="J431" s="5"/>
    </row>
    <row r="432" ht="15.75" customHeight="1">
      <c r="E432" s="9"/>
      <c r="J432" s="5"/>
    </row>
    <row r="433" ht="15.75" customHeight="1">
      <c r="E433" s="9"/>
      <c r="J433" s="5"/>
    </row>
    <row r="434" ht="15.75" customHeight="1">
      <c r="E434" s="9"/>
      <c r="J434" s="5"/>
    </row>
    <row r="435" ht="15.75" customHeight="1">
      <c r="E435" s="9"/>
      <c r="J435" s="5"/>
    </row>
    <row r="436" ht="15.75" customHeight="1">
      <c r="E436" s="9"/>
      <c r="J436" s="5"/>
    </row>
    <row r="437" ht="15.75" customHeight="1">
      <c r="E437" s="9"/>
      <c r="J437" s="5"/>
    </row>
    <row r="438" ht="15.75" customHeight="1">
      <c r="E438" s="9"/>
      <c r="J438" s="5"/>
    </row>
    <row r="439" ht="15.75" customHeight="1">
      <c r="E439" s="9"/>
      <c r="J439" s="5"/>
    </row>
    <row r="440" ht="15.75" customHeight="1">
      <c r="E440" s="9"/>
      <c r="J440" s="5"/>
    </row>
    <row r="441" ht="15.75" customHeight="1">
      <c r="E441" s="9"/>
      <c r="J441" s="5"/>
    </row>
    <row r="442" ht="15.75" customHeight="1">
      <c r="E442" s="9"/>
      <c r="J442" s="5"/>
    </row>
    <row r="443" ht="15.75" customHeight="1">
      <c r="E443" s="9"/>
      <c r="J443" s="5"/>
    </row>
    <row r="444" ht="15.75" customHeight="1">
      <c r="E444" s="9"/>
      <c r="J444" s="5"/>
    </row>
    <row r="445" ht="15.75" customHeight="1">
      <c r="E445" s="9"/>
      <c r="J445" s="5"/>
    </row>
    <row r="446" ht="15.75" customHeight="1">
      <c r="E446" s="9"/>
      <c r="J446" s="5"/>
    </row>
    <row r="447" ht="15.75" customHeight="1">
      <c r="E447" s="9"/>
      <c r="J447" s="5"/>
    </row>
    <row r="448" ht="15.75" customHeight="1">
      <c r="E448" s="9"/>
      <c r="J448" s="5"/>
    </row>
    <row r="449" ht="15.75" customHeight="1">
      <c r="E449" s="9"/>
      <c r="J449" s="5"/>
    </row>
    <row r="450" ht="15.75" customHeight="1">
      <c r="E450" s="9"/>
      <c r="J450" s="5"/>
    </row>
    <row r="451" ht="15.75" customHeight="1">
      <c r="E451" s="9"/>
      <c r="J451" s="5"/>
    </row>
    <row r="452" ht="15.75" customHeight="1">
      <c r="E452" s="9"/>
      <c r="J452" s="5"/>
    </row>
    <row r="453" ht="15.75" customHeight="1">
      <c r="E453" s="9"/>
      <c r="J453" s="5"/>
    </row>
    <row r="454" ht="15.75" customHeight="1">
      <c r="E454" s="9"/>
      <c r="J454" s="5"/>
    </row>
    <row r="455" ht="15.75" customHeight="1">
      <c r="E455" s="9"/>
      <c r="J455" s="5"/>
    </row>
    <row r="456" ht="15.75" customHeight="1">
      <c r="E456" s="9"/>
      <c r="J456" s="5"/>
    </row>
    <row r="457" ht="15.75" customHeight="1">
      <c r="E457" s="9"/>
      <c r="J457" s="5"/>
    </row>
    <row r="458" ht="15.75" customHeight="1">
      <c r="E458" s="9"/>
      <c r="J458" s="5"/>
    </row>
    <row r="459" ht="15.75" customHeight="1">
      <c r="E459" s="9"/>
      <c r="J459" s="5"/>
    </row>
    <row r="460" ht="15.75" customHeight="1">
      <c r="E460" s="9"/>
      <c r="J460" s="5"/>
    </row>
    <row r="461" ht="15.75" customHeight="1">
      <c r="E461" s="9"/>
      <c r="J461" s="5"/>
    </row>
    <row r="462" ht="15.75" customHeight="1">
      <c r="E462" s="9"/>
      <c r="J462" s="5"/>
    </row>
    <row r="463" ht="15.75" customHeight="1">
      <c r="E463" s="9"/>
      <c r="J463" s="5"/>
    </row>
    <row r="464" ht="15.75" customHeight="1">
      <c r="E464" s="9"/>
      <c r="J464" s="5"/>
    </row>
    <row r="465" ht="15.75" customHeight="1">
      <c r="E465" s="9"/>
      <c r="J465" s="5"/>
    </row>
    <row r="466" ht="15.75" customHeight="1">
      <c r="E466" s="9"/>
      <c r="J466" s="5"/>
    </row>
    <row r="467" ht="15.75" customHeight="1">
      <c r="E467" s="9"/>
      <c r="J467" s="5"/>
    </row>
    <row r="468" ht="15.75" customHeight="1">
      <c r="E468" s="9"/>
      <c r="J468" s="5"/>
    </row>
    <row r="469" ht="15.75" customHeight="1">
      <c r="E469" s="9"/>
      <c r="J469" s="5"/>
    </row>
    <row r="470" ht="15.75" customHeight="1">
      <c r="E470" s="9"/>
      <c r="J470" s="5"/>
    </row>
    <row r="471" ht="15.75" customHeight="1">
      <c r="E471" s="9"/>
      <c r="J471" s="5"/>
    </row>
    <row r="472" ht="15.75" customHeight="1">
      <c r="E472" s="9"/>
      <c r="J472" s="5"/>
    </row>
    <row r="473" ht="15.75" customHeight="1">
      <c r="E473" s="9"/>
      <c r="J473" s="5"/>
    </row>
    <row r="474" ht="15.75" customHeight="1">
      <c r="E474" s="9"/>
      <c r="J474" s="5"/>
    </row>
    <row r="475" ht="15.75" customHeight="1">
      <c r="E475" s="9"/>
      <c r="J475" s="5"/>
    </row>
    <row r="476" ht="15.75" customHeight="1">
      <c r="E476" s="9"/>
      <c r="J476" s="5"/>
    </row>
    <row r="477" ht="15.75" customHeight="1">
      <c r="E477" s="9"/>
      <c r="J477" s="5"/>
    </row>
    <row r="478" ht="15.75" customHeight="1">
      <c r="E478" s="9"/>
      <c r="J478" s="5"/>
    </row>
    <row r="479" ht="15.75" customHeight="1">
      <c r="E479" s="9"/>
      <c r="J479" s="5"/>
    </row>
    <row r="480" ht="15.75" customHeight="1">
      <c r="E480" s="9"/>
      <c r="J480" s="5"/>
    </row>
    <row r="481" ht="15.75" customHeight="1">
      <c r="E481" s="9"/>
      <c r="J481" s="5"/>
    </row>
    <row r="482" ht="15.75" customHeight="1">
      <c r="E482" s="9"/>
      <c r="J482" s="5"/>
    </row>
    <row r="483" ht="15.75" customHeight="1">
      <c r="E483" s="9"/>
      <c r="J483" s="5"/>
    </row>
    <row r="484" ht="15.75" customHeight="1">
      <c r="E484" s="9"/>
      <c r="J484" s="5"/>
    </row>
    <row r="485" ht="15.75" customHeight="1">
      <c r="E485" s="9"/>
      <c r="J485" s="5"/>
    </row>
    <row r="486" ht="15.75" customHeight="1">
      <c r="E486" s="9"/>
      <c r="J486" s="5"/>
    </row>
    <row r="487" ht="15.75" customHeight="1">
      <c r="E487" s="9"/>
      <c r="J487" s="5"/>
    </row>
    <row r="488" ht="15.75" customHeight="1">
      <c r="E488" s="9"/>
      <c r="J488" s="5"/>
    </row>
    <row r="489" ht="15.75" customHeight="1">
      <c r="E489" s="9"/>
      <c r="J489" s="5"/>
    </row>
    <row r="490" ht="15.75" customHeight="1">
      <c r="E490" s="9"/>
      <c r="J490" s="5"/>
    </row>
    <row r="491" ht="15.75" customHeight="1">
      <c r="E491" s="9"/>
      <c r="J491" s="5"/>
    </row>
    <row r="492" ht="15.75" customHeight="1">
      <c r="E492" s="9"/>
      <c r="J492" s="5"/>
    </row>
    <row r="493" ht="15.75" customHeight="1">
      <c r="E493" s="9"/>
      <c r="J493" s="5"/>
    </row>
    <row r="494" ht="15.75" customHeight="1">
      <c r="E494" s="9"/>
      <c r="J494" s="5"/>
    </row>
    <row r="495" ht="15.75" customHeight="1">
      <c r="E495" s="9"/>
      <c r="J495" s="5"/>
    </row>
    <row r="496" ht="15.75" customHeight="1">
      <c r="E496" s="9"/>
      <c r="J496" s="5"/>
    </row>
    <row r="497" ht="15.75" customHeight="1">
      <c r="E497" s="9"/>
      <c r="J497" s="5"/>
    </row>
    <row r="498" ht="15.75" customHeight="1">
      <c r="E498" s="9"/>
      <c r="J498" s="5"/>
    </row>
    <row r="499" ht="15.75" customHeight="1">
      <c r="E499" s="9"/>
      <c r="J499" s="5"/>
    </row>
    <row r="500" ht="15.75" customHeight="1">
      <c r="E500" s="9"/>
      <c r="J500" s="5"/>
    </row>
    <row r="501" ht="15.75" customHeight="1">
      <c r="E501" s="9"/>
      <c r="J501" s="5"/>
    </row>
    <row r="502" ht="15.75" customHeight="1">
      <c r="E502" s="9"/>
      <c r="J502" s="5"/>
    </row>
    <row r="503" ht="15.75" customHeight="1">
      <c r="E503" s="9"/>
      <c r="J503" s="5"/>
    </row>
    <row r="504" ht="15.75" customHeight="1">
      <c r="E504" s="9"/>
      <c r="J504" s="5"/>
    </row>
    <row r="505" ht="15.75" customHeight="1">
      <c r="E505" s="9"/>
      <c r="J505" s="5"/>
    </row>
    <row r="506" ht="15.75" customHeight="1">
      <c r="E506" s="9"/>
      <c r="J506" s="5"/>
    </row>
    <row r="507" ht="15.75" customHeight="1">
      <c r="E507" s="9"/>
      <c r="J507" s="5"/>
    </row>
    <row r="508" ht="15.75" customHeight="1">
      <c r="E508" s="9"/>
      <c r="J508" s="5"/>
    </row>
    <row r="509" ht="15.75" customHeight="1">
      <c r="E509" s="9"/>
      <c r="J509" s="5"/>
    </row>
    <row r="510" ht="15.75" customHeight="1">
      <c r="E510" s="9"/>
      <c r="J510" s="5"/>
    </row>
    <row r="511" ht="15.75" customHeight="1">
      <c r="E511" s="9"/>
      <c r="J511" s="5"/>
    </row>
    <row r="512" ht="15.75" customHeight="1">
      <c r="E512" s="9"/>
      <c r="J512" s="5"/>
    </row>
    <row r="513" ht="15.75" customHeight="1">
      <c r="E513" s="9"/>
      <c r="J513" s="5"/>
    </row>
    <row r="514" ht="15.75" customHeight="1">
      <c r="E514" s="9"/>
      <c r="J514" s="5"/>
    </row>
    <row r="515" ht="15.75" customHeight="1">
      <c r="E515" s="9"/>
      <c r="J515" s="5"/>
    </row>
    <row r="516" ht="15.75" customHeight="1">
      <c r="E516" s="9"/>
      <c r="J516" s="5"/>
    </row>
    <row r="517" ht="15.75" customHeight="1">
      <c r="E517" s="9"/>
      <c r="J517" s="5"/>
    </row>
    <row r="518" ht="15.75" customHeight="1">
      <c r="E518" s="9"/>
      <c r="J518" s="5"/>
    </row>
    <row r="519" ht="15.75" customHeight="1">
      <c r="E519" s="9"/>
      <c r="J519" s="5"/>
    </row>
    <row r="520" ht="15.75" customHeight="1">
      <c r="E520" s="9"/>
      <c r="J520" s="5"/>
    </row>
    <row r="521" ht="15.75" customHeight="1">
      <c r="E521" s="9"/>
      <c r="J521" s="5"/>
    </row>
    <row r="522" ht="15.75" customHeight="1">
      <c r="E522" s="9"/>
      <c r="J522" s="5"/>
    </row>
    <row r="523" ht="15.75" customHeight="1">
      <c r="E523" s="9"/>
      <c r="J523" s="5"/>
    </row>
    <row r="524" ht="15.75" customHeight="1">
      <c r="E524" s="9"/>
      <c r="J524" s="5"/>
    </row>
    <row r="525" ht="15.75" customHeight="1">
      <c r="E525" s="9"/>
      <c r="J525" s="5"/>
    </row>
    <row r="526" ht="15.75" customHeight="1">
      <c r="E526" s="9"/>
      <c r="J526" s="5"/>
    </row>
    <row r="527" ht="15.75" customHeight="1">
      <c r="E527" s="9"/>
      <c r="J527" s="5"/>
    </row>
    <row r="528" ht="15.75" customHeight="1">
      <c r="E528" s="9"/>
      <c r="J528" s="5"/>
    </row>
    <row r="529" ht="15.75" customHeight="1">
      <c r="E529" s="9"/>
      <c r="J529" s="5"/>
    </row>
    <row r="530" ht="15.75" customHeight="1">
      <c r="E530" s="9"/>
      <c r="J530" s="5"/>
    </row>
    <row r="531" ht="15.75" customHeight="1">
      <c r="E531" s="9"/>
      <c r="J531" s="5"/>
    </row>
    <row r="532" ht="15.75" customHeight="1">
      <c r="E532" s="9"/>
      <c r="J532" s="5"/>
    </row>
    <row r="533" ht="15.75" customHeight="1">
      <c r="E533" s="9"/>
      <c r="J533" s="5"/>
    </row>
    <row r="534" ht="15.75" customHeight="1">
      <c r="E534" s="9"/>
      <c r="J534" s="5"/>
    </row>
    <row r="535" ht="15.75" customHeight="1">
      <c r="E535" s="9"/>
      <c r="J535" s="5"/>
    </row>
    <row r="536" ht="15.75" customHeight="1">
      <c r="E536" s="9"/>
      <c r="J536" s="5"/>
    </row>
    <row r="537" ht="15.75" customHeight="1">
      <c r="E537" s="9"/>
      <c r="J537" s="5"/>
    </row>
    <row r="538" ht="15.75" customHeight="1">
      <c r="E538" s="9"/>
      <c r="J538" s="5"/>
    </row>
    <row r="539" ht="15.75" customHeight="1">
      <c r="E539" s="9"/>
      <c r="J539" s="5"/>
    </row>
    <row r="540" ht="15.75" customHeight="1">
      <c r="E540" s="9"/>
      <c r="J540" s="5"/>
    </row>
    <row r="541" ht="15.75" customHeight="1">
      <c r="E541" s="9"/>
      <c r="J541" s="5"/>
    </row>
    <row r="542" ht="15.75" customHeight="1">
      <c r="E542" s="9"/>
      <c r="J542" s="5"/>
    </row>
    <row r="543" ht="15.75" customHeight="1">
      <c r="E543" s="9"/>
      <c r="J543" s="5"/>
    </row>
    <row r="544" ht="15.75" customHeight="1">
      <c r="E544" s="9"/>
      <c r="J544" s="5"/>
    </row>
    <row r="545" ht="15.75" customHeight="1">
      <c r="E545" s="9"/>
      <c r="J545" s="5"/>
    </row>
    <row r="546" ht="15.75" customHeight="1">
      <c r="E546" s="9"/>
      <c r="J546" s="5"/>
    </row>
    <row r="547" ht="15.75" customHeight="1">
      <c r="E547" s="9"/>
      <c r="J547" s="5"/>
    </row>
    <row r="548" ht="15.75" customHeight="1">
      <c r="E548" s="9"/>
      <c r="J548" s="5"/>
    </row>
    <row r="549" ht="15.75" customHeight="1">
      <c r="E549" s="9"/>
      <c r="J549" s="5"/>
    </row>
    <row r="550" ht="15.75" customHeight="1">
      <c r="E550" s="9"/>
      <c r="J550" s="5"/>
    </row>
    <row r="551" ht="15.75" customHeight="1">
      <c r="E551" s="9"/>
      <c r="J551" s="5"/>
    </row>
    <row r="552" ht="15.75" customHeight="1">
      <c r="E552" s="9"/>
      <c r="J552" s="5"/>
    </row>
    <row r="553" ht="15.75" customHeight="1">
      <c r="E553" s="9"/>
      <c r="J553" s="5"/>
    </row>
    <row r="554" ht="15.75" customHeight="1">
      <c r="E554" s="9"/>
      <c r="J554" s="5"/>
    </row>
    <row r="555" ht="15.75" customHeight="1">
      <c r="E555" s="9"/>
      <c r="J555" s="5"/>
    </row>
    <row r="556" ht="15.75" customHeight="1">
      <c r="E556" s="9"/>
      <c r="J556" s="5"/>
    </row>
    <row r="557" ht="15.75" customHeight="1">
      <c r="E557" s="9"/>
      <c r="J557" s="5"/>
    </row>
    <row r="558" ht="15.75" customHeight="1">
      <c r="E558" s="9"/>
      <c r="J558" s="5"/>
    </row>
    <row r="559" ht="15.75" customHeight="1">
      <c r="E559" s="9"/>
      <c r="J559" s="5"/>
    </row>
    <row r="560" ht="15.75" customHeight="1">
      <c r="E560" s="9"/>
      <c r="J560" s="5"/>
    </row>
    <row r="561" ht="15.75" customHeight="1">
      <c r="E561" s="9"/>
      <c r="J561" s="5"/>
    </row>
    <row r="562" ht="15.75" customHeight="1">
      <c r="E562" s="9"/>
      <c r="J562" s="5"/>
    </row>
    <row r="563" ht="15.75" customHeight="1">
      <c r="E563" s="9"/>
      <c r="J563" s="5"/>
    </row>
    <row r="564" ht="15.75" customHeight="1">
      <c r="E564" s="9"/>
      <c r="J564" s="5"/>
    </row>
    <row r="565" ht="15.75" customHeight="1">
      <c r="E565" s="9"/>
      <c r="J565" s="5"/>
    </row>
    <row r="566" ht="15.75" customHeight="1">
      <c r="E566" s="9"/>
      <c r="J566" s="5"/>
    </row>
    <row r="567" ht="15.75" customHeight="1">
      <c r="E567" s="9"/>
      <c r="J567" s="5"/>
    </row>
    <row r="568" ht="15.75" customHeight="1">
      <c r="E568" s="9"/>
      <c r="J568" s="5"/>
    </row>
    <row r="569" ht="15.75" customHeight="1">
      <c r="E569" s="9"/>
      <c r="J569" s="5"/>
    </row>
    <row r="570" ht="15.75" customHeight="1">
      <c r="E570" s="9"/>
      <c r="J570" s="5"/>
    </row>
    <row r="571" ht="15.75" customHeight="1">
      <c r="E571" s="9"/>
      <c r="J571" s="5"/>
    </row>
    <row r="572" ht="15.75" customHeight="1">
      <c r="E572" s="9"/>
      <c r="J572" s="5"/>
    </row>
    <row r="573" ht="15.75" customHeight="1">
      <c r="E573" s="9"/>
      <c r="J573" s="5"/>
    </row>
    <row r="574" ht="15.75" customHeight="1">
      <c r="E574" s="9"/>
      <c r="J574" s="5"/>
    </row>
    <row r="575" ht="15.75" customHeight="1">
      <c r="E575" s="9"/>
      <c r="J575" s="5"/>
    </row>
    <row r="576" ht="15.75" customHeight="1">
      <c r="E576" s="9"/>
      <c r="J576" s="5"/>
    </row>
    <row r="577" ht="15.75" customHeight="1">
      <c r="E577" s="9"/>
      <c r="J577" s="5"/>
    </row>
    <row r="578" ht="15.75" customHeight="1">
      <c r="E578" s="9"/>
      <c r="J578" s="5"/>
    </row>
    <row r="579" ht="15.75" customHeight="1">
      <c r="E579" s="9"/>
      <c r="J579" s="5"/>
    </row>
    <row r="580" ht="15.75" customHeight="1">
      <c r="E580" s="9"/>
      <c r="J580" s="5"/>
    </row>
    <row r="581" ht="15.75" customHeight="1">
      <c r="E581" s="9"/>
      <c r="J581" s="5"/>
    </row>
    <row r="582" ht="15.75" customHeight="1">
      <c r="E582" s="9"/>
      <c r="J582" s="5"/>
    </row>
    <row r="583" ht="15.75" customHeight="1">
      <c r="E583" s="9"/>
      <c r="J583" s="5"/>
    </row>
    <row r="584" ht="15.75" customHeight="1">
      <c r="E584" s="9"/>
      <c r="J584" s="5"/>
    </row>
    <row r="585" ht="15.75" customHeight="1">
      <c r="E585" s="9"/>
      <c r="J585" s="5"/>
    </row>
    <row r="586" ht="15.75" customHeight="1">
      <c r="E586" s="9"/>
      <c r="J586" s="5"/>
    </row>
    <row r="587" ht="15.75" customHeight="1">
      <c r="E587" s="9"/>
      <c r="J587" s="5"/>
    </row>
    <row r="588" ht="15.75" customHeight="1">
      <c r="E588" s="9"/>
      <c r="J588" s="5"/>
    </row>
    <row r="589" ht="15.75" customHeight="1">
      <c r="E589" s="9"/>
      <c r="J589" s="5"/>
    </row>
    <row r="590" ht="15.75" customHeight="1">
      <c r="E590" s="9"/>
      <c r="J590" s="5"/>
    </row>
    <row r="591" ht="15.75" customHeight="1">
      <c r="E591" s="9"/>
      <c r="J591" s="5"/>
    </row>
    <row r="592" ht="15.75" customHeight="1">
      <c r="E592" s="9"/>
      <c r="J592" s="5"/>
    </row>
    <row r="593" ht="15.75" customHeight="1">
      <c r="E593" s="9"/>
      <c r="J593" s="5"/>
    </row>
    <row r="594" ht="15.75" customHeight="1">
      <c r="E594" s="9"/>
      <c r="J594" s="5"/>
    </row>
    <row r="595" ht="15.75" customHeight="1">
      <c r="E595" s="9"/>
      <c r="J595" s="5"/>
    </row>
    <row r="596" ht="15.75" customHeight="1">
      <c r="E596" s="9"/>
      <c r="J596" s="5"/>
    </row>
    <row r="597" ht="15.75" customHeight="1">
      <c r="E597" s="9"/>
      <c r="J597" s="5"/>
    </row>
    <row r="598" ht="15.75" customHeight="1">
      <c r="E598" s="9"/>
      <c r="J598" s="5"/>
    </row>
    <row r="599" ht="15.75" customHeight="1">
      <c r="E599" s="9"/>
      <c r="J599" s="5"/>
    </row>
    <row r="600" ht="15.75" customHeight="1">
      <c r="E600" s="9"/>
      <c r="J600" s="5"/>
    </row>
    <row r="601" ht="15.75" customHeight="1">
      <c r="E601" s="9"/>
      <c r="J601" s="5"/>
    </row>
    <row r="602" ht="15.75" customHeight="1">
      <c r="E602" s="9"/>
      <c r="J602" s="5"/>
    </row>
    <row r="603" ht="15.75" customHeight="1">
      <c r="E603" s="9"/>
      <c r="J603" s="5"/>
    </row>
    <row r="604" ht="15.75" customHeight="1">
      <c r="E604" s="9"/>
      <c r="J604" s="5"/>
    </row>
    <row r="605" ht="15.75" customHeight="1">
      <c r="E605" s="9"/>
      <c r="J605" s="5"/>
    </row>
    <row r="606" ht="15.75" customHeight="1">
      <c r="E606" s="9"/>
      <c r="J606" s="5"/>
    </row>
    <row r="607" ht="15.75" customHeight="1">
      <c r="E607" s="9"/>
      <c r="J607" s="5"/>
    </row>
    <row r="608" ht="15.75" customHeight="1">
      <c r="E608" s="9"/>
      <c r="J608" s="5"/>
    </row>
    <row r="609" ht="15.75" customHeight="1">
      <c r="E609" s="9"/>
      <c r="J609" s="5"/>
    </row>
    <row r="610" ht="15.75" customHeight="1">
      <c r="E610" s="9"/>
      <c r="J610" s="5"/>
    </row>
    <row r="611" ht="15.75" customHeight="1">
      <c r="E611" s="9"/>
      <c r="J611" s="5"/>
    </row>
    <row r="612" ht="15.75" customHeight="1">
      <c r="E612" s="9"/>
      <c r="J612" s="5"/>
    </row>
    <row r="613" ht="15.75" customHeight="1">
      <c r="E613" s="9"/>
      <c r="J613" s="5"/>
    </row>
    <row r="614" ht="15.75" customHeight="1">
      <c r="E614" s="9"/>
      <c r="J614" s="5"/>
    </row>
    <row r="615" ht="15.75" customHeight="1">
      <c r="E615" s="9"/>
      <c r="J615" s="5"/>
    </row>
    <row r="616" ht="15.75" customHeight="1">
      <c r="E616" s="9"/>
      <c r="J616" s="5"/>
    </row>
    <row r="617" ht="15.75" customHeight="1">
      <c r="E617" s="9"/>
      <c r="J617" s="5"/>
    </row>
    <row r="618" ht="15.75" customHeight="1">
      <c r="E618" s="9"/>
      <c r="J618" s="5"/>
    </row>
    <row r="619" ht="15.75" customHeight="1">
      <c r="E619" s="9"/>
      <c r="J619" s="5"/>
    </row>
    <row r="620" ht="15.75" customHeight="1">
      <c r="E620" s="9"/>
      <c r="J620" s="5"/>
    </row>
    <row r="621" ht="15.75" customHeight="1">
      <c r="E621" s="9"/>
      <c r="J621" s="5"/>
    </row>
    <row r="622" ht="15.75" customHeight="1">
      <c r="E622" s="9"/>
      <c r="J622" s="5"/>
    </row>
    <row r="623" ht="15.75" customHeight="1">
      <c r="E623" s="9"/>
      <c r="J623" s="5"/>
    </row>
    <row r="624" ht="15.75" customHeight="1">
      <c r="E624" s="9"/>
      <c r="J624" s="5"/>
    </row>
    <row r="625" ht="15.75" customHeight="1">
      <c r="E625" s="9"/>
      <c r="J625" s="5"/>
    </row>
    <row r="626" ht="15.75" customHeight="1">
      <c r="E626" s="9"/>
      <c r="J626" s="5"/>
    </row>
    <row r="627" ht="15.75" customHeight="1">
      <c r="E627" s="9"/>
      <c r="J627" s="5"/>
    </row>
    <row r="628" ht="15.75" customHeight="1">
      <c r="E628" s="9"/>
      <c r="J628" s="5"/>
    </row>
    <row r="629" ht="15.75" customHeight="1">
      <c r="E629" s="9"/>
      <c r="J629" s="5"/>
    </row>
    <row r="630" ht="15.75" customHeight="1">
      <c r="E630" s="9"/>
      <c r="J630" s="5"/>
    </row>
    <row r="631" ht="15.75" customHeight="1">
      <c r="E631" s="9"/>
      <c r="J631" s="5"/>
    </row>
    <row r="632" ht="15.75" customHeight="1">
      <c r="E632" s="9"/>
      <c r="J632" s="5"/>
    </row>
    <row r="633" ht="15.75" customHeight="1">
      <c r="E633" s="9"/>
      <c r="J633" s="5"/>
    </row>
    <row r="634" ht="15.75" customHeight="1">
      <c r="E634" s="9"/>
      <c r="J634" s="5"/>
    </row>
    <row r="635" ht="15.75" customHeight="1">
      <c r="E635" s="9"/>
      <c r="J635" s="5"/>
    </row>
    <row r="636" ht="15.75" customHeight="1">
      <c r="E636" s="9"/>
      <c r="J636" s="5"/>
    </row>
    <row r="637" ht="15.75" customHeight="1">
      <c r="E637" s="9"/>
      <c r="J637" s="5"/>
    </row>
    <row r="638" ht="15.75" customHeight="1">
      <c r="E638" s="9"/>
      <c r="J638" s="5"/>
    </row>
    <row r="639" ht="15.75" customHeight="1">
      <c r="E639" s="9"/>
      <c r="J639" s="5"/>
    </row>
    <row r="640" ht="15.75" customHeight="1">
      <c r="E640" s="9"/>
      <c r="J640" s="5"/>
    </row>
    <row r="641" ht="15.75" customHeight="1">
      <c r="E641" s="9"/>
      <c r="J641" s="5"/>
    </row>
    <row r="642" ht="15.75" customHeight="1">
      <c r="E642" s="9"/>
      <c r="J642" s="5"/>
    </row>
    <row r="643" ht="15.75" customHeight="1">
      <c r="E643" s="9"/>
      <c r="J643" s="5"/>
    </row>
    <row r="644" ht="15.75" customHeight="1">
      <c r="E644" s="9"/>
      <c r="J644" s="5"/>
    </row>
    <row r="645" ht="15.75" customHeight="1">
      <c r="E645" s="9"/>
      <c r="J645" s="5"/>
    </row>
    <row r="646" ht="15.75" customHeight="1">
      <c r="E646" s="9"/>
      <c r="J646" s="5"/>
    </row>
    <row r="647" ht="15.75" customHeight="1">
      <c r="E647" s="9"/>
      <c r="J647" s="5"/>
    </row>
    <row r="648" ht="15.75" customHeight="1">
      <c r="E648" s="9"/>
      <c r="J648" s="5"/>
    </row>
    <row r="649" ht="15.75" customHeight="1">
      <c r="E649" s="9"/>
      <c r="J649" s="5"/>
    </row>
    <row r="650" ht="15.75" customHeight="1">
      <c r="E650" s="9"/>
      <c r="J650" s="5"/>
    </row>
    <row r="651" ht="15.75" customHeight="1">
      <c r="E651" s="9"/>
      <c r="J651" s="5"/>
    </row>
    <row r="652" ht="15.75" customHeight="1">
      <c r="E652" s="9"/>
      <c r="J652" s="5"/>
    </row>
    <row r="653" ht="15.75" customHeight="1">
      <c r="E653" s="9"/>
      <c r="J653" s="5"/>
    </row>
    <row r="654" ht="15.75" customHeight="1">
      <c r="E654" s="9"/>
      <c r="J654" s="5"/>
    </row>
    <row r="655" ht="15.75" customHeight="1">
      <c r="E655" s="9"/>
      <c r="J655" s="5"/>
    </row>
    <row r="656" ht="15.75" customHeight="1">
      <c r="E656" s="9"/>
      <c r="J656" s="5"/>
    </row>
    <row r="657" ht="15.75" customHeight="1">
      <c r="E657" s="9"/>
      <c r="J657" s="5"/>
    </row>
    <row r="658" ht="15.75" customHeight="1">
      <c r="E658" s="9"/>
      <c r="J658" s="5"/>
    </row>
    <row r="659" ht="15.75" customHeight="1">
      <c r="E659" s="9"/>
      <c r="J659" s="5"/>
    </row>
    <row r="660" ht="15.75" customHeight="1">
      <c r="E660" s="9"/>
      <c r="J660" s="5"/>
    </row>
    <row r="661" ht="15.75" customHeight="1">
      <c r="E661" s="9"/>
      <c r="J661" s="5"/>
    </row>
    <row r="662" ht="15.75" customHeight="1">
      <c r="E662" s="9"/>
      <c r="J662" s="5"/>
    </row>
    <row r="663" ht="15.75" customHeight="1">
      <c r="E663" s="9"/>
      <c r="J663" s="5"/>
    </row>
    <row r="664" ht="15.75" customHeight="1">
      <c r="E664" s="9"/>
      <c r="J664" s="5"/>
    </row>
    <row r="665" ht="15.75" customHeight="1">
      <c r="E665" s="9"/>
      <c r="J665" s="5"/>
    </row>
    <row r="666" ht="15.75" customHeight="1">
      <c r="E666" s="9"/>
      <c r="J666" s="5"/>
    </row>
    <row r="667" ht="15.75" customHeight="1">
      <c r="E667" s="9"/>
      <c r="J667" s="5"/>
    </row>
    <row r="668" ht="15.75" customHeight="1">
      <c r="E668" s="9"/>
      <c r="J668" s="5"/>
    </row>
    <row r="669" ht="15.75" customHeight="1">
      <c r="E669" s="9"/>
      <c r="J669" s="5"/>
    </row>
    <row r="670" ht="15.75" customHeight="1">
      <c r="E670" s="9"/>
      <c r="J670" s="5"/>
    </row>
    <row r="671" ht="15.75" customHeight="1">
      <c r="E671" s="9"/>
      <c r="J671" s="5"/>
    </row>
    <row r="672" ht="15.75" customHeight="1">
      <c r="E672" s="9"/>
      <c r="J672" s="5"/>
    </row>
    <row r="673" ht="15.75" customHeight="1">
      <c r="E673" s="9"/>
      <c r="J673" s="5"/>
    </row>
    <row r="674" ht="15.75" customHeight="1">
      <c r="E674" s="9"/>
      <c r="J674" s="5"/>
    </row>
    <row r="675" ht="15.75" customHeight="1">
      <c r="E675" s="9"/>
      <c r="J675" s="5"/>
    </row>
    <row r="676" ht="15.75" customHeight="1">
      <c r="E676" s="9"/>
      <c r="J676" s="5"/>
    </row>
    <row r="677" ht="15.75" customHeight="1">
      <c r="E677" s="9"/>
      <c r="J677" s="5"/>
    </row>
    <row r="678" ht="15.75" customHeight="1">
      <c r="E678" s="9"/>
      <c r="J678" s="5"/>
    </row>
    <row r="679" ht="15.75" customHeight="1">
      <c r="E679" s="9"/>
      <c r="J679" s="5"/>
    </row>
    <row r="680" ht="15.75" customHeight="1">
      <c r="E680" s="9"/>
      <c r="J680" s="5"/>
    </row>
    <row r="681" ht="15.75" customHeight="1">
      <c r="E681" s="9"/>
      <c r="J681" s="5"/>
    </row>
    <row r="682" ht="15.75" customHeight="1">
      <c r="E682" s="9"/>
      <c r="J682" s="5"/>
    </row>
    <row r="683" ht="15.75" customHeight="1">
      <c r="E683" s="9"/>
      <c r="J683" s="5"/>
    </row>
    <row r="684" ht="15.75" customHeight="1">
      <c r="E684" s="9"/>
      <c r="J684" s="5"/>
    </row>
    <row r="685" ht="15.75" customHeight="1">
      <c r="E685" s="9"/>
      <c r="J685" s="5"/>
    </row>
    <row r="686" ht="15.75" customHeight="1">
      <c r="E686" s="9"/>
      <c r="J686" s="5"/>
    </row>
    <row r="687" ht="15.75" customHeight="1">
      <c r="E687" s="9"/>
      <c r="J687" s="5"/>
    </row>
    <row r="688" ht="15.75" customHeight="1">
      <c r="E688" s="9"/>
      <c r="J688" s="5"/>
    </row>
    <row r="689" ht="15.75" customHeight="1">
      <c r="E689" s="9"/>
      <c r="J689" s="5"/>
    </row>
    <row r="690" ht="15.75" customHeight="1">
      <c r="E690" s="9"/>
      <c r="J690" s="5"/>
    </row>
    <row r="691" ht="15.75" customHeight="1">
      <c r="E691" s="9"/>
      <c r="J691" s="5"/>
    </row>
    <row r="692" ht="15.75" customHeight="1">
      <c r="E692" s="9"/>
      <c r="J692" s="5"/>
    </row>
    <row r="693" ht="15.75" customHeight="1">
      <c r="E693" s="9"/>
      <c r="J693" s="5"/>
    </row>
    <row r="694" ht="15.75" customHeight="1">
      <c r="E694" s="9"/>
      <c r="J694" s="5"/>
    </row>
    <row r="695" ht="15.75" customHeight="1">
      <c r="E695" s="9"/>
      <c r="J695" s="5"/>
    </row>
    <row r="696" ht="15.75" customHeight="1">
      <c r="E696" s="9"/>
      <c r="J696" s="5"/>
    </row>
    <row r="697" ht="15.75" customHeight="1">
      <c r="E697" s="9"/>
      <c r="J697" s="5"/>
    </row>
    <row r="698" ht="15.75" customHeight="1">
      <c r="E698" s="9"/>
      <c r="J698" s="5"/>
    </row>
    <row r="699" ht="15.75" customHeight="1">
      <c r="E699" s="9"/>
      <c r="J699" s="5"/>
    </row>
    <row r="700" ht="15.75" customHeight="1">
      <c r="E700" s="9"/>
      <c r="J700" s="5"/>
    </row>
    <row r="701" ht="15.75" customHeight="1">
      <c r="E701" s="9"/>
      <c r="J701" s="5"/>
    </row>
    <row r="702" ht="15.75" customHeight="1">
      <c r="E702" s="9"/>
      <c r="J702" s="5"/>
    </row>
    <row r="703" ht="15.75" customHeight="1">
      <c r="E703" s="9"/>
      <c r="J703" s="5"/>
    </row>
    <row r="704" ht="15.75" customHeight="1">
      <c r="E704" s="9"/>
      <c r="J704" s="5"/>
    </row>
    <row r="705" ht="15.75" customHeight="1">
      <c r="E705" s="9"/>
      <c r="J705" s="5"/>
    </row>
    <row r="706" ht="15.75" customHeight="1">
      <c r="E706" s="9"/>
      <c r="J706" s="5"/>
    </row>
    <row r="707" ht="15.75" customHeight="1">
      <c r="E707" s="9"/>
      <c r="J707" s="5"/>
    </row>
    <row r="708" ht="15.75" customHeight="1">
      <c r="E708" s="9"/>
      <c r="J708" s="5"/>
    </row>
    <row r="709" ht="15.75" customHeight="1">
      <c r="E709" s="9"/>
      <c r="J709" s="5"/>
    </row>
    <row r="710" ht="15.75" customHeight="1">
      <c r="E710" s="9"/>
      <c r="J710" s="5"/>
    </row>
    <row r="711" ht="15.75" customHeight="1">
      <c r="E711" s="9"/>
      <c r="J711" s="5"/>
    </row>
    <row r="712" ht="15.75" customHeight="1">
      <c r="E712" s="9"/>
      <c r="J712" s="5"/>
    </row>
    <row r="713" ht="15.75" customHeight="1">
      <c r="E713" s="9"/>
      <c r="J713" s="5"/>
    </row>
    <row r="714" ht="15.75" customHeight="1">
      <c r="E714" s="9"/>
      <c r="J714" s="5"/>
    </row>
    <row r="715" ht="15.75" customHeight="1">
      <c r="E715" s="9"/>
      <c r="J715" s="5"/>
    </row>
    <row r="716" ht="15.75" customHeight="1">
      <c r="E716" s="9"/>
      <c r="J716" s="5"/>
    </row>
    <row r="717" ht="15.75" customHeight="1">
      <c r="E717" s="9"/>
      <c r="J717" s="5"/>
    </row>
    <row r="718" ht="15.75" customHeight="1">
      <c r="E718" s="9"/>
      <c r="J718" s="5"/>
    </row>
    <row r="719" ht="15.75" customHeight="1">
      <c r="E719" s="9"/>
      <c r="J719" s="5"/>
    </row>
    <row r="720" ht="15.75" customHeight="1">
      <c r="E720" s="9"/>
      <c r="J720" s="5"/>
    </row>
    <row r="721" ht="15.75" customHeight="1">
      <c r="E721" s="9"/>
      <c r="J721" s="5"/>
    </row>
    <row r="722" ht="15.75" customHeight="1">
      <c r="E722" s="9"/>
      <c r="J722" s="5"/>
    </row>
    <row r="723" ht="15.75" customHeight="1">
      <c r="E723" s="9"/>
      <c r="J723" s="5"/>
    </row>
    <row r="724" ht="15.75" customHeight="1">
      <c r="E724" s="9"/>
      <c r="J724" s="5"/>
    </row>
    <row r="725" ht="15.75" customHeight="1">
      <c r="E725" s="9"/>
      <c r="J725" s="5"/>
    </row>
    <row r="726" ht="15.75" customHeight="1">
      <c r="E726" s="9"/>
      <c r="J726" s="5"/>
    </row>
    <row r="727" ht="15.75" customHeight="1">
      <c r="E727" s="9"/>
      <c r="J727" s="5"/>
    </row>
    <row r="728" ht="15.75" customHeight="1">
      <c r="E728" s="9"/>
      <c r="J728" s="5"/>
    </row>
    <row r="729" ht="15.75" customHeight="1">
      <c r="E729" s="9"/>
      <c r="J729" s="5"/>
    </row>
    <row r="730" ht="15.75" customHeight="1">
      <c r="E730" s="9"/>
      <c r="J730" s="5"/>
    </row>
    <row r="731" ht="15.75" customHeight="1">
      <c r="E731" s="9"/>
      <c r="J731" s="5"/>
    </row>
    <row r="732" ht="15.75" customHeight="1">
      <c r="E732" s="9"/>
      <c r="J732" s="5"/>
    </row>
    <row r="733" ht="15.75" customHeight="1">
      <c r="E733" s="9"/>
      <c r="J733" s="5"/>
    </row>
    <row r="734" ht="15.75" customHeight="1">
      <c r="E734" s="9"/>
      <c r="J734" s="5"/>
    </row>
    <row r="735" ht="15.75" customHeight="1">
      <c r="E735" s="9"/>
      <c r="J735" s="5"/>
    </row>
    <row r="736" ht="15.75" customHeight="1">
      <c r="E736" s="9"/>
      <c r="J736" s="5"/>
    </row>
    <row r="737" ht="15.75" customHeight="1">
      <c r="E737" s="9"/>
      <c r="J737" s="5"/>
    </row>
    <row r="738" ht="15.75" customHeight="1">
      <c r="E738" s="9"/>
      <c r="J738" s="5"/>
    </row>
    <row r="739" ht="15.75" customHeight="1">
      <c r="E739" s="9"/>
      <c r="J739" s="5"/>
    </row>
    <row r="740" ht="15.75" customHeight="1">
      <c r="E740" s="9"/>
      <c r="J740" s="5"/>
    </row>
    <row r="741" ht="15.75" customHeight="1">
      <c r="E741" s="9"/>
      <c r="J741" s="5"/>
    </row>
    <row r="742" ht="15.75" customHeight="1">
      <c r="E742" s="9"/>
      <c r="J742" s="5"/>
    </row>
    <row r="743" ht="15.75" customHeight="1">
      <c r="E743" s="9"/>
      <c r="J743" s="5"/>
    </row>
    <row r="744" ht="15.75" customHeight="1">
      <c r="E744" s="9"/>
      <c r="J744" s="5"/>
    </row>
    <row r="745" ht="15.75" customHeight="1">
      <c r="E745" s="9"/>
      <c r="J745" s="5"/>
    </row>
    <row r="746" ht="15.75" customHeight="1">
      <c r="E746" s="9"/>
      <c r="J746" s="5"/>
    </row>
    <row r="747" ht="15.75" customHeight="1">
      <c r="E747" s="9"/>
      <c r="J747" s="5"/>
    </row>
    <row r="748" ht="15.75" customHeight="1">
      <c r="E748" s="9"/>
      <c r="J748" s="5"/>
    </row>
    <row r="749" ht="15.75" customHeight="1">
      <c r="E749" s="9"/>
      <c r="J749" s="5"/>
    </row>
    <row r="750" ht="15.75" customHeight="1">
      <c r="E750" s="9"/>
      <c r="J750" s="5"/>
    </row>
    <row r="751" ht="15.75" customHeight="1">
      <c r="E751" s="9"/>
      <c r="J751" s="5"/>
    </row>
    <row r="752" ht="15.75" customHeight="1">
      <c r="E752" s="9"/>
      <c r="J752" s="5"/>
    </row>
    <row r="753" ht="15.75" customHeight="1">
      <c r="E753" s="9"/>
      <c r="J753" s="5"/>
    </row>
    <row r="754" ht="15.75" customHeight="1">
      <c r="E754" s="9"/>
      <c r="J754" s="5"/>
    </row>
    <row r="755" ht="15.75" customHeight="1">
      <c r="E755" s="9"/>
      <c r="J755" s="5"/>
    </row>
    <row r="756" ht="15.75" customHeight="1">
      <c r="E756" s="9"/>
      <c r="J756" s="5"/>
    </row>
    <row r="757" ht="15.75" customHeight="1">
      <c r="E757" s="9"/>
      <c r="J757" s="5"/>
    </row>
    <row r="758" ht="15.75" customHeight="1">
      <c r="E758" s="9"/>
      <c r="J758" s="5"/>
    </row>
    <row r="759" ht="15.75" customHeight="1">
      <c r="E759" s="9"/>
      <c r="J759" s="5"/>
    </row>
    <row r="760" ht="15.75" customHeight="1">
      <c r="E760" s="9"/>
      <c r="J760" s="5"/>
    </row>
    <row r="761" ht="15.75" customHeight="1">
      <c r="E761" s="9"/>
      <c r="J761" s="5"/>
    </row>
    <row r="762" ht="15.75" customHeight="1">
      <c r="E762" s="9"/>
      <c r="J762" s="5"/>
    </row>
    <row r="763" ht="15.75" customHeight="1">
      <c r="E763" s="9"/>
      <c r="J763" s="5"/>
    </row>
    <row r="764" ht="15.75" customHeight="1">
      <c r="E764" s="9"/>
      <c r="J764" s="5"/>
    </row>
    <row r="765" ht="15.75" customHeight="1">
      <c r="E765" s="9"/>
      <c r="J765" s="5"/>
    </row>
    <row r="766" ht="15.75" customHeight="1">
      <c r="E766" s="9"/>
      <c r="J766" s="5"/>
    </row>
    <row r="767" ht="15.75" customHeight="1">
      <c r="E767" s="9"/>
      <c r="J767" s="5"/>
    </row>
    <row r="768" ht="15.75" customHeight="1">
      <c r="E768" s="9"/>
      <c r="J768" s="5"/>
    </row>
    <row r="769" ht="15.75" customHeight="1">
      <c r="E769" s="9"/>
      <c r="J769" s="5"/>
    </row>
    <row r="770" ht="15.75" customHeight="1">
      <c r="E770" s="9"/>
      <c r="J770" s="5"/>
    </row>
    <row r="771" ht="15.75" customHeight="1">
      <c r="E771" s="9"/>
      <c r="J771" s="5"/>
    </row>
    <row r="772" ht="15.75" customHeight="1">
      <c r="E772" s="9"/>
      <c r="J772" s="5"/>
    </row>
    <row r="773" ht="15.75" customHeight="1">
      <c r="E773" s="9"/>
      <c r="J773" s="5"/>
    </row>
    <row r="774" ht="15.75" customHeight="1">
      <c r="E774" s="9"/>
      <c r="J774" s="5"/>
    </row>
    <row r="775" ht="15.75" customHeight="1">
      <c r="E775" s="9"/>
      <c r="J775" s="5"/>
    </row>
    <row r="776" ht="15.75" customHeight="1">
      <c r="E776" s="9"/>
      <c r="J776" s="5"/>
    </row>
    <row r="777" ht="15.75" customHeight="1">
      <c r="E777" s="9"/>
      <c r="J777" s="5"/>
    </row>
    <row r="778" ht="15.75" customHeight="1">
      <c r="E778" s="9"/>
      <c r="J778" s="5"/>
    </row>
    <row r="779" ht="15.75" customHeight="1">
      <c r="E779" s="9"/>
      <c r="J779" s="5"/>
    </row>
    <row r="780" ht="15.75" customHeight="1">
      <c r="E780" s="9"/>
      <c r="J780" s="5"/>
    </row>
    <row r="781" ht="15.75" customHeight="1">
      <c r="E781" s="9"/>
      <c r="J781" s="5"/>
    </row>
    <row r="782" ht="15.75" customHeight="1">
      <c r="E782" s="9"/>
      <c r="J782" s="5"/>
    </row>
    <row r="783" ht="15.75" customHeight="1">
      <c r="E783" s="9"/>
      <c r="J783" s="5"/>
    </row>
    <row r="784" ht="15.75" customHeight="1">
      <c r="E784" s="9"/>
      <c r="J784" s="5"/>
    </row>
    <row r="785" ht="15.75" customHeight="1">
      <c r="E785" s="9"/>
      <c r="J785" s="5"/>
    </row>
    <row r="786" ht="15.75" customHeight="1">
      <c r="E786" s="9"/>
      <c r="J786" s="5"/>
    </row>
    <row r="787" ht="15.75" customHeight="1">
      <c r="E787" s="9"/>
      <c r="J787" s="5"/>
    </row>
    <row r="788" ht="15.75" customHeight="1">
      <c r="E788" s="9"/>
      <c r="J788" s="5"/>
    </row>
    <row r="789" ht="15.75" customHeight="1">
      <c r="E789" s="9"/>
      <c r="J789" s="5"/>
    </row>
    <row r="790" ht="15.75" customHeight="1">
      <c r="E790" s="9"/>
      <c r="J790" s="5"/>
    </row>
    <row r="791" ht="15.75" customHeight="1">
      <c r="E791" s="9"/>
      <c r="J791" s="5"/>
    </row>
    <row r="792" ht="15.75" customHeight="1">
      <c r="E792" s="9"/>
      <c r="J792" s="5"/>
    </row>
    <row r="793" ht="15.75" customHeight="1">
      <c r="E793" s="9"/>
      <c r="J793" s="5"/>
    </row>
    <row r="794" ht="15.75" customHeight="1">
      <c r="E794" s="9"/>
      <c r="J794" s="5"/>
    </row>
    <row r="795" ht="15.75" customHeight="1">
      <c r="E795" s="9"/>
      <c r="J795" s="5"/>
    </row>
    <row r="796" ht="15.75" customHeight="1">
      <c r="E796" s="9"/>
      <c r="J796" s="5"/>
    </row>
    <row r="797" ht="15.75" customHeight="1">
      <c r="E797" s="9"/>
      <c r="J797" s="5"/>
    </row>
    <row r="798" ht="15.75" customHeight="1">
      <c r="E798" s="9"/>
      <c r="J798" s="5"/>
    </row>
    <row r="799" ht="15.75" customHeight="1">
      <c r="E799" s="9"/>
      <c r="J799" s="5"/>
    </row>
    <row r="800" ht="15.75" customHeight="1">
      <c r="E800" s="9"/>
      <c r="J800" s="5"/>
    </row>
    <row r="801" ht="15.75" customHeight="1">
      <c r="E801" s="9"/>
      <c r="J801" s="5"/>
    </row>
    <row r="802" ht="15.75" customHeight="1">
      <c r="E802" s="9"/>
      <c r="J802" s="5"/>
    </row>
    <row r="803" ht="15.75" customHeight="1">
      <c r="E803" s="9"/>
      <c r="J803" s="5"/>
    </row>
    <row r="804" ht="15.75" customHeight="1">
      <c r="E804" s="9"/>
      <c r="J804" s="5"/>
    </row>
    <row r="805" ht="15.75" customHeight="1">
      <c r="E805" s="9"/>
      <c r="J805" s="5"/>
    </row>
    <row r="806" ht="15.75" customHeight="1">
      <c r="E806" s="9"/>
      <c r="J806" s="5"/>
    </row>
    <row r="807" ht="15.75" customHeight="1">
      <c r="E807" s="9"/>
      <c r="J807" s="5"/>
    </row>
    <row r="808" ht="15.75" customHeight="1">
      <c r="E808" s="9"/>
      <c r="J808" s="5"/>
    </row>
    <row r="809" ht="15.75" customHeight="1">
      <c r="E809" s="9"/>
      <c r="J809" s="5"/>
    </row>
    <row r="810" ht="15.75" customHeight="1">
      <c r="E810" s="9"/>
      <c r="J810" s="5"/>
    </row>
    <row r="811" ht="15.75" customHeight="1">
      <c r="E811" s="9"/>
      <c r="J811" s="5"/>
    </row>
    <row r="812" ht="15.75" customHeight="1">
      <c r="E812" s="9"/>
      <c r="J812" s="5"/>
    </row>
    <row r="813" ht="15.75" customHeight="1">
      <c r="E813" s="9"/>
      <c r="J813" s="5"/>
    </row>
    <row r="814" ht="15.75" customHeight="1">
      <c r="E814" s="9"/>
      <c r="J814" s="5"/>
    </row>
    <row r="815" ht="15.75" customHeight="1">
      <c r="E815" s="9"/>
      <c r="J815" s="5"/>
    </row>
    <row r="816" ht="15.75" customHeight="1">
      <c r="E816" s="9"/>
      <c r="J816" s="5"/>
    </row>
    <row r="817" ht="15.75" customHeight="1">
      <c r="E817" s="9"/>
      <c r="J817" s="5"/>
    </row>
    <row r="818" ht="15.75" customHeight="1">
      <c r="E818" s="9"/>
      <c r="J818" s="5"/>
    </row>
    <row r="819" ht="15.75" customHeight="1">
      <c r="E819" s="9"/>
      <c r="J819" s="5"/>
    </row>
    <row r="820" ht="15.75" customHeight="1">
      <c r="E820" s="9"/>
      <c r="J820" s="5"/>
    </row>
    <row r="821" ht="15.75" customHeight="1">
      <c r="E821" s="9"/>
      <c r="J821" s="5"/>
    </row>
    <row r="822" ht="15.75" customHeight="1">
      <c r="E822" s="9"/>
      <c r="J822" s="5"/>
    </row>
    <row r="823" ht="15.75" customHeight="1">
      <c r="E823" s="9"/>
      <c r="J823" s="5"/>
    </row>
    <row r="824" ht="15.75" customHeight="1">
      <c r="E824" s="9"/>
      <c r="J824" s="5"/>
    </row>
    <row r="825" ht="15.75" customHeight="1">
      <c r="E825" s="9"/>
      <c r="J825" s="5"/>
    </row>
    <row r="826" ht="15.75" customHeight="1">
      <c r="E826" s="9"/>
      <c r="J826" s="5"/>
    </row>
    <row r="827" ht="15.75" customHeight="1">
      <c r="E827" s="9"/>
      <c r="J827" s="5"/>
    </row>
    <row r="828" ht="15.75" customHeight="1">
      <c r="E828" s="9"/>
      <c r="J828" s="5"/>
    </row>
    <row r="829" ht="15.75" customHeight="1">
      <c r="E829" s="9"/>
      <c r="J829" s="5"/>
    </row>
    <row r="830" ht="15.75" customHeight="1">
      <c r="E830" s="9"/>
      <c r="J830" s="5"/>
    </row>
    <row r="831" ht="15.75" customHeight="1">
      <c r="E831" s="9"/>
      <c r="J831" s="5"/>
    </row>
    <row r="832" ht="15.75" customHeight="1">
      <c r="E832" s="9"/>
      <c r="J832" s="5"/>
    </row>
    <row r="833" ht="15.75" customHeight="1">
      <c r="E833" s="9"/>
      <c r="J833" s="5"/>
    </row>
    <row r="834" ht="15.75" customHeight="1">
      <c r="E834" s="9"/>
      <c r="J834" s="5"/>
    </row>
    <row r="835" ht="15.75" customHeight="1">
      <c r="E835" s="9"/>
      <c r="J835" s="5"/>
    </row>
    <row r="836" ht="15.75" customHeight="1">
      <c r="E836" s="9"/>
      <c r="J836" s="5"/>
    </row>
    <row r="837" ht="15.75" customHeight="1">
      <c r="E837" s="9"/>
      <c r="J837" s="5"/>
    </row>
    <row r="838" ht="15.75" customHeight="1">
      <c r="E838" s="9"/>
      <c r="J838" s="5"/>
    </row>
    <row r="839" ht="15.75" customHeight="1">
      <c r="E839" s="9"/>
      <c r="J839" s="5"/>
    </row>
    <row r="840" ht="15.75" customHeight="1">
      <c r="E840" s="9"/>
      <c r="J840" s="5"/>
    </row>
    <row r="841" ht="15.75" customHeight="1">
      <c r="E841" s="9"/>
      <c r="J841" s="5"/>
    </row>
    <row r="842" ht="15.75" customHeight="1">
      <c r="E842" s="9"/>
      <c r="J842" s="5"/>
    </row>
    <row r="843" ht="15.75" customHeight="1">
      <c r="E843" s="9"/>
      <c r="J843" s="5"/>
    </row>
    <row r="844" ht="15.75" customHeight="1">
      <c r="E844" s="9"/>
      <c r="J844" s="5"/>
    </row>
    <row r="845" ht="15.75" customHeight="1">
      <c r="E845" s="9"/>
      <c r="J845" s="5"/>
    </row>
    <row r="846" ht="15.75" customHeight="1">
      <c r="E846" s="9"/>
      <c r="J846" s="5"/>
    </row>
    <row r="847" ht="15.75" customHeight="1">
      <c r="E847" s="9"/>
      <c r="J847" s="5"/>
    </row>
    <row r="848" ht="15.75" customHeight="1">
      <c r="E848" s="9"/>
      <c r="J848" s="5"/>
    </row>
    <row r="849" ht="15.75" customHeight="1">
      <c r="E849" s="9"/>
      <c r="J849" s="5"/>
    </row>
    <row r="850" ht="15.75" customHeight="1">
      <c r="E850" s="9"/>
      <c r="J850" s="5"/>
    </row>
    <row r="851" ht="15.75" customHeight="1">
      <c r="E851" s="9"/>
      <c r="J851" s="5"/>
    </row>
    <row r="852" ht="15.75" customHeight="1">
      <c r="E852" s="9"/>
      <c r="J852" s="5"/>
    </row>
    <row r="853" ht="15.75" customHeight="1">
      <c r="E853" s="9"/>
      <c r="J853" s="5"/>
    </row>
    <row r="854" ht="15.75" customHeight="1">
      <c r="E854" s="9"/>
      <c r="J854" s="5"/>
    </row>
    <row r="855" ht="15.75" customHeight="1">
      <c r="E855" s="9"/>
      <c r="J855" s="5"/>
    </row>
    <row r="856" ht="15.75" customHeight="1">
      <c r="E856" s="9"/>
      <c r="J856" s="5"/>
    </row>
    <row r="857" ht="15.75" customHeight="1">
      <c r="E857" s="9"/>
      <c r="J857" s="5"/>
    </row>
    <row r="858" ht="15.75" customHeight="1">
      <c r="E858" s="9"/>
      <c r="J858" s="5"/>
    </row>
    <row r="859" ht="15.75" customHeight="1">
      <c r="E859" s="9"/>
      <c r="J859" s="5"/>
    </row>
    <row r="860" ht="15.75" customHeight="1">
      <c r="E860" s="9"/>
      <c r="J860" s="5"/>
    </row>
    <row r="861" ht="15.75" customHeight="1">
      <c r="E861" s="9"/>
      <c r="J861" s="5"/>
    </row>
    <row r="862" ht="15.75" customHeight="1">
      <c r="E862" s="9"/>
      <c r="J862" s="5"/>
    </row>
    <row r="863" ht="15.75" customHeight="1">
      <c r="E863" s="9"/>
      <c r="J863" s="5"/>
    </row>
    <row r="864" ht="15.75" customHeight="1">
      <c r="E864" s="9"/>
      <c r="J864" s="5"/>
    </row>
    <row r="865" ht="15.75" customHeight="1">
      <c r="E865" s="9"/>
      <c r="J865" s="5"/>
    </row>
    <row r="866" ht="15.75" customHeight="1">
      <c r="E866" s="9"/>
      <c r="J866" s="5"/>
    </row>
    <row r="867" ht="15.75" customHeight="1">
      <c r="E867" s="9"/>
      <c r="J867" s="5"/>
    </row>
    <row r="868" ht="15.75" customHeight="1">
      <c r="E868" s="9"/>
      <c r="J868" s="5"/>
    </row>
    <row r="869" ht="15.75" customHeight="1">
      <c r="E869" s="9"/>
      <c r="J869" s="5"/>
    </row>
    <row r="870" ht="15.75" customHeight="1">
      <c r="E870" s="9"/>
      <c r="J870" s="5"/>
    </row>
    <row r="871" ht="15.75" customHeight="1">
      <c r="E871" s="9"/>
      <c r="J871" s="5"/>
    </row>
    <row r="872" ht="15.75" customHeight="1">
      <c r="E872" s="9"/>
      <c r="J872" s="5"/>
    </row>
    <row r="873" ht="15.75" customHeight="1">
      <c r="E873" s="9"/>
      <c r="J873" s="5"/>
    </row>
    <row r="874" ht="15.75" customHeight="1">
      <c r="E874" s="9"/>
      <c r="J874" s="5"/>
    </row>
    <row r="875" ht="15.75" customHeight="1">
      <c r="E875" s="9"/>
      <c r="J875" s="5"/>
    </row>
    <row r="876" ht="15.75" customHeight="1">
      <c r="E876" s="9"/>
      <c r="J876" s="5"/>
    </row>
    <row r="877" ht="15.75" customHeight="1">
      <c r="E877" s="9"/>
      <c r="J877" s="5"/>
    </row>
    <row r="878" ht="15.75" customHeight="1">
      <c r="E878" s="9"/>
      <c r="J878" s="5"/>
    </row>
    <row r="879" ht="15.75" customHeight="1">
      <c r="E879" s="9"/>
      <c r="J879" s="5"/>
    </row>
    <row r="880" ht="15.75" customHeight="1">
      <c r="E880" s="9"/>
      <c r="J880" s="5"/>
    </row>
    <row r="881" ht="15.75" customHeight="1">
      <c r="E881" s="9"/>
      <c r="J881" s="5"/>
    </row>
    <row r="882" ht="15.75" customHeight="1">
      <c r="E882" s="9"/>
      <c r="J882" s="5"/>
    </row>
    <row r="883" ht="15.75" customHeight="1">
      <c r="E883" s="9"/>
      <c r="J883" s="5"/>
    </row>
    <row r="884" ht="15.75" customHeight="1">
      <c r="E884" s="9"/>
      <c r="J884" s="5"/>
    </row>
    <row r="885" ht="15.75" customHeight="1">
      <c r="E885" s="9"/>
      <c r="J885" s="5"/>
    </row>
    <row r="886" ht="15.75" customHeight="1">
      <c r="E886" s="9"/>
      <c r="J886" s="5"/>
    </row>
    <row r="887" ht="15.75" customHeight="1">
      <c r="E887" s="9"/>
      <c r="J887" s="5"/>
    </row>
    <row r="888" ht="15.75" customHeight="1">
      <c r="E888" s="9"/>
      <c r="J888" s="5"/>
    </row>
    <row r="889" ht="15.75" customHeight="1">
      <c r="E889" s="9"/>
      <c r="J889" s="5"/>
    </row>
    <row r="890" ht="15.75" customHeight="1">
      <c r="E890" s="9"/>
      <c r="J890" s="5"/>
    </row>
    <row r="891" ht="15.75" customHeight="1">
      <c r="E891" s="9"/>
      <c r="J891" s="5"/>
    </row>
    <row r="892" ht="15.75" customHeight="1">
      <c r="E892" s="9"/>
      <c r="J892" s="5"/>
    </row>
    <row r="893" ht="15.75" customHeight="1">
      <c r="E893" s="9"/>
      <c r="J893" s="5"/>
    </row>
    <row r="894" ht="15.75" customHeight="1">
      <c r="E894" s="9"/>
      <c r="J894" s="5"/>
    </row>
    <row r="895" ht="15.75" customHeight="1">
      <c r="E895" s="9"/>
      <c r="J895" s="5"/>
    </row>
    <row r="896" ht="15.75" customHeight="1">
      <c r="E896" s="9"/>
      <c r="J896" s="5"/>
    </row>
    <row r="897" ht="15.75" customHeight="1">
      <c r="E897" s="9"/>
      <c r="J897" s="5"/>
    </row>
    <row r="898" ht="15.75" customHeight="1">
      <c r="E898" s="9"/>
      <c r="J898" s="5"/>
    </row>
    <row r="899" ht="15.75" customHeight="1">
      <c r="E899" s="9"/>
      <c r="J899" s="5"/>
    </row>
    <row r="900" ht="15.75" customHeight="1">
      <c r="E900" s="9"/>
      <c r="J900" s="5"/>
    </row>
    <row r="901" ht="15.75" customHeight="1">
      <c r="E901" s="9"/>
      <c r="J901" s="5"/>
    </row>
    <row r="902" ht="15.75" customHeight="1">
      <c r="E902" s="9"/>
      <c r="J902" s="5"/>
    </row>
    <row r="903" ht="15.75" customHeight="1">
      <c r="E903" s="9"/>
      <c r="J903" s="5"/>
    </row>
    <row r="904" ht="15.75" customHeight="1">
      <c r="E904" s="9"/>
      <c r="J904" s="5"/>
    </row>
    <row r="905" ht="15.75" customHeight="1">
      <c r="E905" s="9"/>
      <c r="J905" s="5"/>
    </row>
    <row r="906" ht="15.75" customHeight="1">
      <c r="E906" s="9"/>
      <c r="J906" s="5"/>
    </row>
    <row r="907" ht="15.75" customHeight="1">
      <c r="E907" s="9"/>
      <c r="J907" s="5"/>
    </row>
    <row r="908" ht="15.75" customHeight="1">
      <c r="E908" s="9"/>
      <c r="J908" s="5"/>
    </row>
    <row r="909" ht="15.75" customHeight="1">
      <c r="E909" s="9"/>
      <c r="J909" s="5"/>
    </row>
    <row r="910" ht="15.75" customHeight="1">
      <c r="E910" s="9"/>
      <c r="J910" s="5"/>
    </row>
    <row r="911" ht="15.75" customHeight="1">
      <c r="E911" s="9"/>
      <c r="J911" s="5"/>
    </row>
    <row r="912" ht="15.75" customHeight="1">
      <c r="E912" s="9"/>
      <c r="J912" s="5"/>
    </row>
    <row r="913" ht="15.75" customHeight="1">
      <c r="E913" s="9"/>
      <c r="J913" s="5"/>
    </row>
    <row r="914" ht="15.75" customHeight="1">
      <c r="E914" s="9"/>
      <c r="J914" s="5"/>
    </row>
    <row r="915" ht="15.75" customHeight="1">
      <c r="E915" s="9"/>
      <c r="J915" s="5"/>
    </row>
    <row r="916" ht="15.75" customHeight="1">
      <c r="E916" s="9"/>
      <c r="J916" s="5"/>
    </row>
    <row r="917" ht="15.75" customHeight="1">
      <c r="E917" s="9"/>
      <c r="J917" s="5"/>
    </row>
    <row r="918" ht="15.75" customHeight="1">
      <c r="E918" s="9"/>
      <c r="J918" s="5"/>
    </row>
    <row r="919" ht="15.75" customHeight="1">
      <c r="E919" s="9"/>
      <c r="J919" s="5"/>
    </row>
    <row r="920" ht="15.75" customHeight="1">
      <c r="E920" s="9"/>
      <c r="J920" s="5"/>
    </row>
    <row r="921" ht="15.75" customHeight="1">
      <c r="E921" s="9"/>
      <c r="J921" s="5"/>
    </row>
    <row r="922" ht="15.75" customHeight="1">
      <c r="E922" s="9"/>
      <c r="J922" s="5"/>
    </row>
    <row r="923" ht="15.75" customHeight="1">
      <c r="E923" s="9"/>
      <c r="J923" s="5"/>
    </row>
    <row r="924" ht="15.75" customHeight="1">
      <c r="E924" s="9"/>
      <c r="J924" s="5"/>
    </row>
    <row r="925" ht="15.75" customHeight="1">
      <c r="E925" s="9"/>
      <c r="J925" s="5"/>
    </row>
    <row r="926" ht="15.75" customHeight="1">
      <c r="E926" s="9"/>
      <c r="J926" s="5"/>
    </row>
    <row r="927" ht="15.75" customHeight="1">
      <c r="E927" s="9"/>
      <c r="J927" s="5"/>
    </row>
    <row r="928" ht="15.75" customHeight="1">
      <c r="E928" s="9"/>
      <c r="J928" s="5"/>
    </row>
    <row r="929" ht="15.75" customHeight="1">
      <c r="E929" s="9"/>
      <c r="J929" s="5"/>
    </row>
    <row r="930" ht="15.75" customHeight="1">
      <c r="E930" s="9"/>
      <c r="J930" s="5"/>
    </row>
    <row r="931" ht="15.75" customHeight="1">
      <c r="E931" s="9"/>
      <c r="J931" s="5"/>
    </row>
    <row r="932" ht="15.75" customHeight="1">
      <c r="E932" s="9"/>
      <c r="J932" s="5"/>
    </row>
    <row r="933" ht="15.75" customHeight="1">
      <c r="E933" s="9"/>
      <c r="J933" s="5"/>
    </row>
    <row r="934" ht="15.75" customHeight="1">
      <c r="E934" s="9"/>
      <c r="J934" s="5"/>
    </row>
    <row r="935" ht="15.75" customHeight="1">
      <c r="E935" s="9"/>
      <c r="J935" s="5"/>
    </row>
    <row r="936" ht="15.75" customHeight="1">
      <c r="E936" s="9"/>
      <c r="J936" s="5"/>
    </row>
    <row r="937" ht="15.75" customHeight="1">
      <c r="E937" s="9"/>
      <c r="J937" s="5"/>
    </row>
    <row r="938" ht="15.75" customHeight="1">
      <c r="E938" s="9"/>
      <c r="J938" s="5"/>
    </row>
    <row r="939" ht="15.75" customHeight="1">
      <c r="E939" s="9"/>
      <c r="J939" s="5"/>
    </row>
    <row r="940" ht="15.75" customHeight="1">
      <c r="E940" s="9"/>
      <c r="J940" s="5"/>
    </row>
    <row r="941" ht="15.75" customHeight="1">
      <c r="E941" s="9"/>
      <c r="J941" s="5"/>
    </row>
    <row r="942" ht="15.75" customHeight="1">
      <c r="E942" s="9"/>
      <c r="J942" s="5"/>
    </row>
    <row r="943" ht="15.75" customHeight="1">
      <c r="E943" s="9"/>
      <c r="J943" s="5"/>
    </row>
    <row r="944" ht="15.75" customHeight="1">
      <c r="E944" s="9"/>
      <c r="J944" s="5"/>
    </row>
    <row r="945" ht="15.75" customHeight="1">
      <c r="E945" s="9"/>
      <c r="J945" s="5"/>
    </row>
    <row r="946" ht="15.75" customHeight="1">
      <c r="E946" s="9"/>
      <c r="J946" s="5"/>
    </row>
    <row r="947" ht="15.75" customHeight="1">
      <c r="E947" s="9"/>
      <c r="J947" s="5"/>
    </row>
    <row r="948" ht="15.75" customHeight="1">
      <c r="E948" s="9"/>
      <c r="J948" s="5"/>
    </row>
    <row r="949" ht="15.75" customHeight="1">
      <c r="E949" s="9"/>
      <c r="J949" s="5"/>
    </row>
    <row r="950" ht="15.75" customHeight="1">
      <c r="E950" s="9"/>
      <c r="J950" s="5"/>
    </row>
    <row r="951" ht="15.75" customHeight="1">
      <c r="E951" s="9"/>
      <c r="J951" s="5"/>
    </row>
    <row r="952" ht="15.75" customHeight="1">
      <c r="E952" s="9"/>
      <c r="J952" s="5"/>
    </row>
    <row r="953" ht="15.75" customHeight="1">
      <c r="E953" s="9"/>
      <c r="J953" s="5"/>
    </row>
    <row r="954" ht="15.75" customHeight="1">
      <c r="E954" s="9"/>
      <c r="J954" s="5"/>
    </row>
    <row r="955" ht="15.75" customHeight="1">
      <c r="E955" s="9"/>
      <c r="J955" s="5"/>
    </row>
    <row r="956" ht="15.75" customHeight="1">
      <c r="E956" s="9"/>
      <c r="J956" s="5"/>
    </row>
    <row r="957" ht="15.75" customHeight="1">
      <c r="E957" s="9"/>
      <c r="J957" s="5"/>
    </row>
    <row r="958" ht="15.75" customHeight="1">
      <c r="E958" s="9"/>
      <c r="J958" s="5"/>
    </row>
    <row r="959" ht="15.75" customHeight="1">
      <c r="E959" s="9"/>
      <c r="J959" s="5"/>
    </row>
    <row r="960" ht="15.75" customHeight="1">
      <c r="E960" s="9"/>
      <c r="J960" s="5"/>
    </row>
    <row r="961" ht="15.75" customHeight="1">
      <c r="E961" s="9"/>
      <c r="J961" s="5"/>
    </row>
    <row r="962" ht="15.75" customHeight="1">
      <c r="E962" s="9"/>
      <c r="J962" s="5"/>
    </row>
    <row r="963" ht="15.75" customHeight="1">
      <c r="E963" s="9"/>
      <c r="J963" s="5"/>
    </row>
    <row r="964" ht="15.75" customHeight="1">
      <c r="E964" s="9"/>
      <c r="J964" s="5"/>
    </row>
    <row r="965" ht="15.75" customHeight="1">
      <c r="E965" s="9"/>
      <c r="J965" s="5"/>
    </row>
    <row r="966" ht="15.75" customHeight="1">
      <c r="E966" s="9"/>
      <c r="J966" s="5"/>
    </row>
    <row r="967" ht="15.75" customHeight="1">
      <c r="E967" s="9"/>
      <c r="J967" s="5"/>
    </row>
    <row r="968" ht="15.75" customHeight="1">
      <c r="E968" s="9"/>
      <c r="J968" s="5"/>
    </row>
    <row r="969" ht="15.75" customHeight="1">
      <c r="E969" s="9"/>
      <c r="J969" s="5"/>
    </row>
    <row r="970" ht="15.75" customHeight="1">
      <c r="E970" s="9"/>
      <c r="J970" s="5"/>
    </row>
    <row r="971" ht="15.75" customHeight="1">
      <c r="E971" s="9"/>
      <c r="J971" s="5"/>
    </row>
    <row r="972" ht="15.75" customHeight="1">
      <c r="E972" s="9"/>
      <c r="J972" s="5"/>
    </row>
    <row r="973" ht="15.75" customHeight="1">
      <c r="E973" s="9"/>
      <c r="J973" s="5"/>
    </row>
    <row r="974" ht="15.75" customHeight="1">
      <c r="E974" s="9"/>
      <c r="J974" s="5"/>
    </row>
    <row r="975" ht="15.75" customHeight="1">
      <c r="E975" s="9"/>
      <c r="J975" s="5"/>
    </row>
    <row r="976" ht="15.75" customHeight="1">
      <c r="E976" s="9"/>
      <c r="J976" s="5"/>
    </row>
    <row r="977" ht="15.75" customHeight="1">
      <c r="E977" s="9"/>
      <c r="J977" s="5"/>
    </row>
    <row r="978" ht="15.75" customHeight="1">
      <c r="E978" s="9"/>
      <c r="J978" s="5"/>
    </row>
    <row r="979" ht="15.75" customHeight="1">
      <c r="E979" s="9"/>
      <c r="J979" s="5"/>
    </row>
    <row r="980" ht="15.75" customHeight="1">
      <c r="E980" s="9"/>
      <c r="J980" s="5"/>
    </row>
    <row r="981" ht="15.75" customHeight="1">
      <c r="E981" s="9"/>
      <c r="J981" s="5"/>
    </row>
    <row r="982" ht="15.75" customHeight="1">
      <c r="E982" s="9"/>
      <c r="J982" s="5"/>
    </row>
    <row r="983" ht="15.75" customHeight="1">
      <c r="E983" s="9"/>
      <c r="J983" s="5"/>
    </row>
    <row r="984" ht="15.75" customHeight="1">
      <c r="E984" s="9"/>
      <c r="J984" s="5"/>
    </row>
    <row r="985" ht="15.75" customHeight="1">
      <c r="E985" s="9"/>
      <c r="J985" s="5"/>
    </row>
    <row r="986" ht="15.75" customHeight="1">
      <c r="E986" s="9"/>
      <c r="J986" s="5"/>
    </row>
    <row r="987" ht="15.75" customHeight="1">
      <c r="E987" s="9"/>
      <c r="J987" s="5"/>
    </row>
    <row r="988" ht="15.75" customHeight="1">
      <c r="E988" s="9"/>
      <c r="J988" s="5"/>
    </row>
    <row r="989" ht="15.75" customHeight="1">
      <c r="E989" s="9"/>
      <c r="J989" s="5"/>
    </row>
    <row r="990" ht="15.75" customHeight="1">
      <c r="E990" s="9"/>
      <c r="J990" s="5"/>
    </row>
    <row r="991" ht="15.75" customHeight="1">
      <c r="E991" s="9"/>
      <c r="J991" s="5"/>
    </row>
    <row r="992" ht="15.75" customHeight="1">
      <c r="E992" s="9"/>
      <c r="J992" s="5"/>
    </row>
    <row r="993" ht="15.75" customHeight="1">
      <c r="E993" s="9"/>
      <c r="J993" s="5"/>
    </row>
    <row r="994" ht="15.75" customHeight="1">
      <c r="E994" s="9"/>
      <c r="J994" s="5"/>
    </row>
    <row r="995" ht="15.75" customHeight="1">
      <c r="E995" s="9"/>
      <c r="J995" s="5"/>
    </row>
    <row r="996" ht="15.75" customHeight="1">
      <c r="E996" s="9"/>
      <c r="J996" s="5"/>
    </row>
    <row r="997" ht="15.75" customHeight="1">
      <c r="E997" s="9"/>
      <c r="J997" s="5"/>
    </row>
    <row r="998" ht="15.75" customHeight="1">
      <c r="E998" s="9"/>
      <c r="J998" s="5"/>
    </row>
    <row r="999" ht="15.75" customHeight="1">
      <c r="E999" s="9"/>
      <c r="J999" s="5"/>
    </row>
    <row r="1000" ht="15.75" customHeight="1">
      <c r="E1000" s="9"/>
      <c r="J1000" s="5"/>
    </row>
  </sheetData>
  <mergeCells count="3">
    <mergeCell ref="D1:E1"/>
    <mergeCell ref="D7:F7"/>
    <mergeCell ref="D8:F8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7.44"/>
    <col customWidth="1" min="5" max="5" width="23.22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C1" s="1" t="s">
        <v>0</v>
      </c>
      <c r="D1" s="3" t="s">
        <v>1</v>
      </c>
      <c r="E1" s="4"/>
      <c r="G1" s="1" t="s">
        <v>3</v>
      </c>
      <c r="J1" s="5"/>
    </row>
    <row r="2" ht="15.75" customHeight="1">
      <c r="C2" s="1" t="s">
        <v>6</v>
      </c>
      <c r="D2" s="6">
        <f>+A5*10%</f>
        <v>9711600</v>
      </c>
      <c r="E2" s="7"/>
      <c r="J2" s="5"/>
    </row>
    <row r="3" ht="15.75" customHeight="1">
      <c r="C3" s="1" t="s">
        <v>7</v>
      </c>
      <c r="D3" s="8">
        <f>+A5-D2</f>
        <v>87404400</v>
      </c>
      <c r="E3" s="9"/>
      <c r="H3" s="5"/>
      <c r="J3" s="5"/>
    </row>
    <row r="4" ht="15.75" customHeight="1">
      <c r="A4" s="10" t="s">
        <v>8</v>
      </c>
      <c r="C4" s="1" t="s">
        <v>9</v>
      </c>
      <c r="D4" s="11">
        <v>0.01</v>
      </c>
      <c r="E4" s="12"/>
      <c r="H4" s="5"/>
      <c r="J4" s="5"/>
    </row>
    <row r="5" ht="15.75" customHeight="1">
      <c r="A5" s="8">
        <v>9.7116E7</v>
      </c>
      <c r="C5" s="1" t="s">
        <v>10</v>
      </c>
      <c r="D5" s="13">
        <v>48.0</v>
      </c>
      <c r="E5" s="12"/>
      <c r="H5" s="5"/>
      <c r="J5" s="5"/>
    </row>
    <row r="6" ht="15.75" customHeight="1">
      <c r="C6" s="1" t="s">
        <v>11</v>
      </c>
      <c r="D6" s="8">
        <f>PMT(D4,D5,-D3)</f>
        <v>2301693.086</v>
      </c>
      <c r="E6" s="12"/>
      <c r="H6" s="5"/>
      <c r="J6" s="5"/>
    </row>
    <row r="7" ht="15.75" customHeight="1">
      <c r="C7" s="1" t="s">
        <v>12</v>
      </c>
      <c r="D7" s="15" t="s">
        <v>14</v>
      </c>
      <c r="H7" s="5"/>
      <c r="J7" s="5"/>
    </row>
    <row r="8" ht="15.75" customHeight="1">
      <c r="C8" s="1" t="s">
        <v>16</v>
      </c>
      <c r="D8" s="16">
        <v>7.9989847E7</v>
      </c>
      <c r="E8" s="12"/>
      <c r="H8" s="5"/>
      <c r="I8" s="17"/>
      <c r="J8" s="19"/>
      <c r="K8" s="17"/>
      <c r="L8" s="21" t="s">
        <v>21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1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C10" s="13"/>
      <c r="D10" s="8"/>
      <c r="E10" s="9"/>
      <c r="F10" s="8"/>
      <c r="G10" s="8"/>
      <c r="H10" s="8">
        <f>+D3</f>
        <v>87404400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1.20192868E8</v>
      </c>
      <c r="U10" s="25"/>
    </row>
    <row r="11" ht="15.75" customHeight="1">
      <c r="A11" s="31">
        <v>45748.0</v>
      </c>
      <c r="B11" s="2" t="s">
        <v>42</v>
      </c>
      <c r="C11" s="30">
        <v>45750.0</v>
      </c>
      <c r="D11" s="8">
        <f t="shared" ref="D11:D58" si="1">$D$6</f>
        <v>2301693.086</v>
      </c>
      <c r="E11" s="15"/>
      <c r="F11" s="8">
        <f t="shared" ref="F11:F58" si="2">+H10*$D$4</f>
        <v>874044</v>
      </c>
      <c r="G11" s="8">
        <f t="shared" ref="G11:G58" si="3">+D11+E11-F11</f>
        <v>1427649.086</v>
      </c>
      <c r="H11" s="8">
        <f t="shared" ref="H11:H58" si="4">+H10-G11</f>
        <v>85976750.91</v>
      </c>
      <c r="J11" s="5"/>
      <c r="L11" s="33">
        <v>45638.0</v>
      </c>
      <c r="M11" s="34" t="s">
        <v>44</v>
      </c>
      <c r="N11" s="35" t="s">
        <v>46</v>
      </c>
      <c r="O11" s="36">
        <v>1000000.0</v>
      </c>
      <c r="P11" s="36"/>
      <c r="Q11" s="36"/>
      <c r="R11" s="36"/>
      <c r="S11" s="36">
        <f t="shared" ref="S11:S30" si="5">SUM(O11:R11)</f>
        <v>1000000</v>
      </c>
      <c r="T11" s="36">
        <f t="shared" ref="T11:T30" si="6">T10-S11</f>
        <v>119192868</v>
      </c>
      <c r="U11" s="34"/>
    </row>
    <row r="12" ht="15.75" customHeight="1">
      <c r="A12" s="29">
        <v>45782.0</v>
      </c>
      <c r="B12" s="2" t="s">
        <v>48</v>
      </c>
      <c r="C12" s="30">
        <v>45780.0</v>
      </c>
      <c r="D12" s="8">
        <f t="shared" si="1"/>
        <v>2301693.086</v>
      </c>
      <c r="E12" s="15"/>
      <c r="F12" s="8">
        <f t="shared" si="2"/>
        <v>859767.5091</v>
      </c>
      <c r="G12" s="8">
        <f t="shared" si="3"/>
        <v>1441925.576</v>
      </c>
      <c r="H12" s="8">
        <f t="shared" si="4"/>
        <v>84534825.34</v>
      </c>
      <c r="J12" s="5"/>
      <c r="L12" s="33">
        <v>45660.0</v>
      </c>
      <c r="M12" s="34" t="s">
        <v>44</v>
      </c>
      <c r="N12" s="35" t="s">
        <v>51</v>
      </c>
      <c r="O12" s="36"/>
      <c r="P12" s="36">
        <v>2903866.0</v>
      </c>
      <c r="Q12" s="36"/>
      <c r="R12" s="36"/>
      <c r="S12" s="36">
        <f t="shared" si="5"/>
        <v>2903866</v>
      </c>
      <c r="T12" s="36">
        <f t="shared" si="6"/>
        <v>116289002</v>
      </c>
      <c r="U12" s="34"/>
    </row>
    <row r="13" ht="15.75" customHeight="1">
      <c r="A13" s="29">
        <v>45812.0</v>
      </c>
      <c r="B13" s="2" t="s">
        <v>54</v>
      </c>
      <c r="C13" s="30">
        <v>45811.0</v>
      </c>
      <c r="D13" s="8">
        <f t="shared" si="1"/>
        <v>2301693.086</v>
      </c>
      <c r="E13" s="15"/>
      <c r="F13" s="8">
        <f t="shared" si="2"/>
        <v>845348.2534</v>
      </c>
      <c r="G13" s="8">
        <f t="shared" si="3"/>
        <v>1456344.832</v>
      </c>
      <c r="H13" s="8">
        <f t="shared" si="4"/>
        <v>83078480.51</v>
      </c>
      <c r="J13" s="5" t="s">
        <v>56</v>
      </c>
      <c r="L13" s="33">
        <v>45691.0</v>
      </c>
      <c r="M13" s="34" t="s">
        <v>44</v>
      </c>
      <c r="N13" s="35" t="s">
        <v>58</v>
      </c>
      <c r="O13" s="36"/>
      <c r="P13" s="36">
        <v>2903866.0</v>
      </c>
      <c r="Q13" s="36"/>
      <c r="R13" s="36"/>
      <c r="S13" s="36">
        <f t="shared" si="5"/>
        <v>2903866</v>
      </c>
      <c r="T13" s="36">
        <f t="shared" si="6"/>
        <v>113385136</v>
      </c>
      <c r="U13" s="34"/>
    </row>
    <row r="14" ht="15.75" customHeight="1">
      <c r="A14" s="29">
        <v>45842.0</v>
      </c>
      <c r="B14" s="2" t="s">
        <v>61</v>
      </c>
      <c r="C14" s="30">
        <v>45841.0</v>
      </c>
      <c r="D14" s="8">
        <f t="shared" si="1"/>
        <v>2301693.086</v>
      </c>
      <c r="E14" s="15"/>
      <c r="F14" s="8">
        <f t="shared" si="2"/>
        <v>830784.8051</v>
      </c>
      <c r="G14" s="8">
        <f t="shared" si="3"/>
        <v>1470908.281</v>
      </c>
      <c r="H14" s="8">
        <f t="shared" si="4"/>
        <v>81607572.23</v>
      </c>
      <c r="J14" s="8">
        <f>+H10</f>
        <v>87404400</v>
      </c>
      <c r="L14" s="33">
        <v>45719.0</v>
      </c>
      <c r="M14" s="34" t="s">
        <v>44</v>
      </c>
      <c r="N14" s="35" t="s">
        <v>64</v>
      </c>
      <c r="O14" s="36"/>
      <c r="P14" s="36">
        <v>2903866.0</v>
      </c>
      <c r="Q14" s="36"/>
      <c r="R14" s="36"/>
      <c r="S14" s="36">
        <f t="shared" si="5"/>
        <v>2903866</v>
      </c>
      <c r="T14" s="36">
        <f t="shared" si="6"/>
        <v>110481270</v>
      </c>
      <c r="U14" s="34"/>
    </row>
    <row r="15" ht="15.75" customHeight="1">
      <c r="A15" s="29">
        <v>45873.0</v>
      </c>
      <c r="B15" s="2" t="s">
        <v>67</v>
      </c>
      <c r="C15" s="30">
        <v>45872.0</v>
      </c>
      <c r="D15" s="8">
        <f t="shared" si="1"/>
        <v>2301693.086</v>
      </c>
      <c r="E15" s="15"/>
      <c r="F15" s="8">
        <f t="shared" si="2"/>
        <v>816075.7223</v>
      </c>
      <c r="G15" s="8">
        <f t="shared" si="3"/>
        <v>1485617.363</v>
      </c>
      <c r="H15" s="8">
        <f t="shared" si="4"/>
        <v>80121954.86</v>
      </c>
      <c r="J15" s="5"/>
      <c r="L15" s="40">
        <v>45748.0</v>
      </c>
      <c r="M15" s="34" t="s">
        <v>73</v>
      </c>
      <c r="N15" s="35" t="s">
        <v>42</v>
      </c>
      <c r="O15" s="36"/>
      <c r="P15" s="36">
        <v>2301693.0</v>
      </c>
      <c r="Q15" s="36"/>
      <c r="R15" s="36"/>
      <c r="S15" s="36">
        <f t="shared" si="5"/>
        <v>2301693</v>
      </c>
      <c r="T15" s="36">
        <f t="shared" si="6"/>
        <v>108179577</v>
      </c>
      <c r="U15" s="34" t="s">
        <v>76</v>
      </c>
    </row>
    <row r="16" ht="15.75" customHeight="1">
      <c r="A16" s="29">
        <v>45903.0</v>
      </c>
      <c r="B16" s="2" t="s">
        <v>77</v>
      </c>
      <c r="C16" s="30">
        <v>45903.0</v>
      </c>
      <c r="D16" s="8">
        <f t="shared" si="1"/>
        <v>2301693.086</v>
      </c>
      <c r="E16" s="15"/>
      <c r="F16" s="8">
        <f t="shared" si="2"/>
        <v>801219.5486</v>
      </c>
      <c r="G16" s="8">
        <f t="shared" si="3"/>
        <v>1500473.537</v>
      </c>
      <c r="H16" s="8">
        <f t="shared" si="4"/>
        <v>78621481.32</v>
      </c>
      <c r="J16" s="5"/>
      <c r="L16" s="33">
        <v>45782.0</v>
      </c>
      <c r="M16" s="34" t="s">
        <v>78</v>
      </c>
      <c r="N16" s="35" t="s">
        <v>48</v>
      </c>
      <c r="O16" s="36"/>
      <c r="P16" s="36">
        <v>2301693.0</v>
      </c>
      <c r="Q16" s="36"/>
      <c r="R16" s="36"/>
      <c r="S16" s="36">
        <f t="shared" si="5"/>
        <v>2301693</v>
      </c>
      <c r="T16" s="36">
        <f t="shared" si="6"/>
        <v>105877884</v>
      </c>
      <c r="U16" s="34"/>
    </row>
    <row r="17" ht="15.75" customHeight="1">
      <c r="A17" s="29">
        <v>45936.0</v>
      </c>
      <c r="B17" s="2" t="s">
        <v>80</v>
      </c>
      <c r="C17" s="30">
        <v>45933.0</v>
      </c>
      <c r="D17" s="8">
        <f t="shared" si="1"/>
        <v>2301693.086</v>
      </c>
      <c r="E17" s="15"/>
      <c r="F17" s="8">
        <f t="shared" si="2"/>
        <v>786214.8132</v>
      </c>
      <c r="G17" s="8">
        <f t="shared" si="3"/>
        <v>1515478.272</v>
      </c>
      <c r="H17" s="8">
        <f t="shared" si="4"/>
        <v>77106003.05</v>
      </c>
      <c r="J17" s="5"/>
      <c r="L17" s="33">
        <v>45812.0</v>
      </c>
      <c r="M17" s="34" t="s">
        <v>83</v>
      </c>
      <c r="N17" s="35" t="s">
        <v>54</v>
      </c>
      <c r="O17" s="36"/>
      <c r="P17" s="36">
        <v>2301693.0</v>
      </c>
      <c r="Q17" s="36"/>
      <c r="R17" s="36"/>
      <c r="S17" s="36">
        <f t="shared" si="5"/>
        <v>2301693</v>
      </c>
      <c r="T17" s="36">
        <f t="shared" si="6"/>
        <v>103576191</v>
      </c>
      <c r="U17" s="34"/>
    </row>
    <row r="18" ht="15.75" customHeight="1">
      <c r="A18" s="29">
        <v>45969.0</v>
      </c>
      <c r="B18" s="2" t="s">
        <v>84</v>
      </c>
      <c r="C18" s="30">
        <v>45964.0</v>
      </c>
      <c r="D18" s="8">
        <f t="shared" si="1"/>
        <v>2301693.086</v>
      </c>
      <c r="E18" s="15"/>
      <c r="F18" s="8">
        <f t="shared" si="2"/>
        <v>771060.0305</v>
      </c>
      <c r="G18" s="8">
        <f t="shared" si="3"/>
        <v>1530633.055</v>
      </c>
      <c r="H18" s="8">
        <f t="shared" si="4"/>
        <v>75575370</v>
      </c>
      <c r="J18" s="5"/>
      <c r="L18" s="33">
        <v>45842.0</v>
      </c>
      <c r="M18" s="34" t="s">
        <v>85</v>
      </c>
      <c r="N18" s="35" t="s">
        <v>61</v>
      </c>
      <c r="O18" s="36"/>
      <c r="P18" s="36">
        <v>2301693.0</v>
      </c>
      <c r="Q18" s="36"/>
      <c r="R18" s="36"/>
      <c r="S18" s="36">
        <f t="shared" si="5"/>
        <v>2301693</v>
      </c>
      <c r="T18" s="36">
        <f t="shared" si="6"/>
        <v>101274498</v>
      </c>
      <c r="U18" s="34"/>
    </row>
    <row r="19" ht="15.75" customHeight="1">
      <c r="A19" s="29">
        <v>45997.0</v>
      </c>
      <c r="B19" s="2" t="s">
        <v>87</v>
      </c>
      <c r="C19" s="30">
        <v>45994.0</v>
      </c>
      <c r="D19" s="8">
        <f t="shared" si="1"/>
        <v>2301693.086</v>
      </c>
      <c r="E19" s="15"/>
      <c r="F19" s="8">
        <f t="shared" si="2"/>
        <v>755753.7</v>
      </c>
      <c r="G19" s="8">
        <f t="shared" si="3"/>
        <v>1545939.386</v>
      </c>
      <c r="H19" s="8">
        <f t="shared" si="4"/>
        <v>74029430.61</v>
      </c>
      <c r="I19" s="1"/>
      <c r="J19" s="41"/>
      <c r="K19" s="1"/>
      <c r="L19" s="42">
        <v>45873.0</v>
      </c>
      <c r="M19" s="43" t="s">
        <v>89</v>
      </c>
      <c r="N19" s="44" t="s">
        <v>67</v>
      </c>
      <c r="O19" s="45"/>
      <c r="P19" s="45">
        <v>2301693.0</v>
      </c>
      <c r="Q19" s="45"/>
      <c r="R19" s="45"/>
      <c r="S19" s="45">
        <f t="shared" si="5"/>
        <v>2301693</v>
      </c>
      <c r="T19" s="45">
        <f t="shared" si="6"/>
        <v>98972805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46030.0</v>
      </c>
      <c r="B20" s="2" t="s">
        <v>91</v>
      </c>
      <c r="C20" s="30">
        <v>46025.0</v>
      </c>
      <c r="D20" s="8">
        <f t="shared" si="1"/>
        <v>2301693.086</v>
      </c>
      <c r="E20" s="15"/>
      <c r="F20" s="8">
        <f t="shared" si="2"/>
        <v>740294.3061</v>
      </c>
      <c r="G20" s="8">
        <f t="shared" si="3"/>
        <v>1561398.78</v>
      </c>
      <c r="H20" s="8">
        <f t="shared" si="4"/>
        <v>72468031.83</v>
      </c>
      <c r="J20" s="5"/>
      <c r="L20" s="33">
        <v>45903.0</v>
      </c>
      <c r="M20" s="34" t="s">
        <v>93</v>
      </c>
      <c r="N20" s="35" t="s">
        <v>77</v>
      </c>
      <c r="O20" s="36"/>
      <c r="P20" s="36">
        <v>2301693.0</v>
      </c>
      <c r="Q20" s="36"/>
      <c r="R20" s="36"/>
      <c r="S20" s="36">
        <f t="shared" si="5"/>
        <v>2301693</v>
      </c>
      <c r="T20" s="36">
        <f t="shared" si="6"/>
        <v>96671112</v>
      </c>
      <c r="U20" s="34"/>
    </row>
    <row r="21" ht="15.75" customHeight="1">
      <c r="A21" s="29">
        <v>46058.0</v>
      </c>
      <c r="B21" s="2" t="s">
        <v>95</v>
      </c>
      <c r="C21" s="30">
        <v>46056.0</v>
      </c>
      <c r="D21" s="8">
        <f t="shared" si="1"/>
        <v>2301693.086</v>
      </c>
      <c r="E21" s="15"/>
      <c r="F21" s="8">
        <f t="shared" si="2"/>
        <v>724680.3183</v>
      </c>
      <c r="G21" s="8">
        <f t="shared" si="3"/>
        <v>1577012.767</v>
      </c>
      <c r="H21" s="8">
        <f t="shared" si="4"/>
        <v>70891019.06</v>
      </c>
      <c r="J21" s="5"/>
      <c r="L21" s="33">
        <v>45936.0</v>
      </c>
      <c r="M21" s="34" t="s">
        <v>96</v>
      </c>
      <c r="N21" s="35" t="s">
        <v>80</v>
      </c>
      <c r="O21" s="36"/>
      <c r="P21" s="36">
        <v>2301693.0</v>
      </c>
      <c r="Q21" s="36"/>
      <c r="R21" s="36"/>
      <c r="S21" s="36">
        <f t="shared" si="5"/>
        <v>2301693</v>
      </c>
      <c r="T21" s="36">
        <f t="shared" si="6"/>
        <v>94369419</v>
      </c>
      <c r="U21" s="34"/>
    </row>
    <row r="22" ht="15.75" customHeight="1">
      <c r="A22" s="29">
        <v>46092.0</v>
      </c>
      <c r="B22" s="2" t="s">
        <v>98</v>
      </c>
      <c r="C22" s="30">
        <v>46084.0</v>
      </c>
      <c r="D22" s="8">
        <f t="shared" si="1"/>
        <v>2301693.086</v>
      </c>
      <c r="E22" s="15"/>
      <c r="F22" s="8">
        <f t="shared" si="2"/>
        <v>708910.1906</v>
      </c>
      <c r="G22" s="8">
        <f t="shared" si="3"/>
        <v>1592782.895</v>
      </c>
      <c r="H22" s="8">
        <f t="shared" si="4"/>
        <v>69298236.17</v>
      </c>
      <c r="J22" s="5"/>
      <c r="L22" s="33">
        <v>45969.0</v>
      </c>
      <c r="M22" s="34" t="s">
        <v>100</v>
      </c>
      <c r="N22" s="35" t="s">
        <v>84</v>
      </c>
      <c r="O22" s="36"/>
      <c r="P22" s="36">
        <v>2301693.0</v>
      </c>
      <c r="Q22" s="36"/>
      <c r="R22" s="36"/>
      <c r="S22" s="36">
        <f t="shared" si="5"/>
        <v>2301693</v>
      </c>
      <c r="T22" s="36">
        <f t="shared" si="6"/>
        <v>92067726</v>
      </c>
      <c r="U22" s="34"/>
    </row>
    <row r="23" ht="15.75" customHeight="1">
      <c r="A23" s="29">
        <v>46134.0</v>
      </c>
      <c r="B23" s="2" t="s">
        <v>101</v>
      </c>
      <c r="C23" s="30">
        <v>46115.0</v>
      </c>
      <c r="D23" s="8">
        <f t="shared" si="1"/>
        <v>2301693.086</v>
      </c>
      <c r="E23" s="46"/>
      <c r="F23" s="8">
        <f t="shared" si="2"/>
        <v>692982.3617</v>
      </c>
      <c r="G23" s="8">
        <f t="shared" si="3"/>
        <v>1608710.724</v>
      </c>
      <c r="H23" s="8">
        <f t="shared" si="4"/>
        <v>67689525.45</v>
      </c>
      <c r="J23" s="5"/>
      <c r="L23" s="33">
        <v>45997.0</v>
      </c>
      <c r="M23" s="34" t="s">
        <v>103</v>
      </c>
      <c r="N23" s="35" t="s">
        <v>87</v>
      </c>
      <c r="O23" s="36"/>
      <c r="P23" s="36">
        <v>2301693.0</v>
      </c>
      <c r="Q23" s="36"/>
      <c r="R23" s="36"/>
      <c r="S23" s="36">
        <f t="shared" si="5"/>
        <v>2301693</v>
      </c>
      <c r="T23" s="36">
        <f t="shared" si="6"/>
        <v>89766033</v>
      </c>
      <c r="U23" s="34"/>
    </row>
    <row r="24" ht="15.75" customHeight="1">
      <c r="A24" s="29">
        <v>46170.0</v>
      </c>
      <c r="B24" s="2" t="s">
        <v>104</v>
      </c>
      <c r="C24" s="30">
        <v>46145.0</v>
      </c>
      <c r="D24" s="8">
        <f t="shared" si="1"/>
        <v>2301693.086</v>
      </c>
      <c r="E24" s="46"/>
      <c r="F24" s="8">
        <f t="shared" si="2"/>
        <v>676895.2545</v>
      </c>
      <c r="G24" s="8">
        <f t="shared" si="3"/>
        <v>1624797.831</v>
      </c>
      <c r="H24" s="8">
        <f t="shared" si="4"/>
        <v>66064727.61</v>
      </c>
      <c r="J24" s="5"/>
      <c r="L24" s="33">
        <v>46030.0</v>
      </c>
      <c r="M24" s="34" t="s">
        <v>107</v>
      </c>
      <c r="N24" s="35" t="s">
        <v>91</v>
      </c>
      <c r="O24" s="36"/>
      <c r="P24" s="36">
        <v>2301693.0</v>
      </c>
      <c r="Q24" s="36"/>
      <c r="R24" s="36"/>
      <c r="S24" s="36">
        <f t="shared" si="5"/>
        <v>2301693</v>
      </c>
      <c r="T24" s="36">
        <f t="shared" si="6"/>
        <v>87464340</v>
      </c>
      <c r="U24" s="34"/>
    </row>
    <row r="25" ht="15.75" customHeight="1">
      <c r="A25" s="29">
        <v>46203.0</v>
      </c>
      <c r="B25" s="2" t="s">
        <v>108</v>
      </c>
      <c r="C25" s="30">
        <v>46176.0</v>
      </c>
      <c r="D25" s="8">
        <f t="shared" si="1"/>
        <v>2301693.086</v>
      </c>
      <c r="E25" s="46"/>
      <c r="F25" s="8">
        <f t="shared" si="2"/>
        <v>660647.2761</v>
      </c>
      <c r="G25" s="8">
        <f t="shared" si="3"/>
        <v>1641045.809</v>
      </c>
      <c r="H25" s="8">
        <f t="shared" si="4"/>
        <v>64423681.81</v>
      </c>
      <c r="J25" s="5"/>
      <c r="L25" s="33">
        <v>46058.0</v>
      </c>
      <c r="M25" s="34" t="s">
        <v>112</v>
      </c>
      <c r="N25" s="35" t="s">
        <v>95</v>
      </c>
      <c r="O25" s="36"/>
      <c r="P25" s="36">
        <v>2301693.0</v>
      </c>
      <c r="Q25" s="36"/>
      <c r="R25" s="36"/>
      <c r="S25" s="36">
        <f t="shared" si="5"/>
        <v>2301693</v>
      </c>
      <c r="T25" s="36">
        <f t="shared" si="6"/>
        <v>85162647</v>
      </c>
      <c r="U25" s="34"/>
    </row>
    <row r="26" ht="15.75" customHeight="1">
      <c r="A26" s="29">
        <v>46231.0</v>
      </c>
      <c r="B26" s="2" t="s">
        <v>113</v>
      </c>
      <c r="C26" s="30">
        <v>46206.0</v>
      </c>
      <c r="D26" s="8">
        <f t="shared" si="1"/>
        <v>2301693.086</v>
      </c>
      <c r="E26" s="46"/>
      <c r="F26" s="8">
        <f t="shared" si="2"/>
        <v>644236.8181</v>
      </c>
      <c r="G26" s="8">
        <f t="shared" si="3"/>
        <v>1657456.268</v>
      </c>
      <c r="H26" s="8">
        <f t="shared" si="4"/>
        <v>62766225.54</v>
      </c>
      <c r="J26" s="5"/>
      <c r="L26" s="33">
        <v>46092.0</v>
      </c>
      <c r="M26" s="34" t="s">
        <v>115</v>
      </c>
      <c r="N26" s="35" t="s">
        <v>98</v>
      </c>
      <c r="O26" s="36"/>
      <c r="P26" s="36">
        <v>2301693.0</v>
      </c>
      <c r="Q26" s="36"/>
      <c r="R26" s="36"/>
      <c r="S26" s="36">
        <f t="shared" si="5"/>
        <v>2301693</v>
      </c>
      <c r="T26" s="36">
        <f t="shared" si="6"/>
        <v>82860954</v>
      </c>
      <c r="U26" s="34"/>
    </row>
    <row r="27" ht="15.75" customHeight="1">
      <c r="B27" s="2"/>
      <c r="C27" s="30">
        <v>46237.0</v>
      </c>
      <c r="D27" s="8">
        <f t="shared" si="1"/>
        <v>2301693.086</v>
      </c>
      <c r="E27" s="46"/>
      <c r="F27" s="8">
        <f t="shared" si="2"/>
        <v>627662.2554</v>
      </c>
      <c r="G27" s="8">
        <f t="shared" si="3"/>
        <v>1674030.83</v>
      </c>
      <c r="H27" s="8">
        <f t="shared" si="4"/>
        <v>61092194.71</v>
      </c>
      <c r="J27" s="5"/>
      <c r="L27" s="33">
        <v>46134.0</v>
      </c>
      <c r="M27" s="34" t="s">
        <v>116</v>
      </c>
      <c r="N27" s="35" t="s">
        <v>101</v>
      </c>
      <c r="O27" s="36"/>
      <c r="P27" s="36">
        <v>2301693.0</v>
      </c>
      <c r="Q27" s="36"/>
      <c r="R27" s="36"/>
      <c r="S27" s="36">
        <f t="shared" si="5"/>
        <v>2301693</v>
      </c>
      <c r="T27" s="36">
        <f t="shared" si="6"/>
        <v>80559261</v>
      </c>
      <c r="U27" s="34"/>
    </row>
    <row r="28" ht="15.75" customHeight="1">
      <c r="B28" s="2"/>
      <c r="C28" s="30">
        <v>46268.0</v>
      </c>
      <c r="D28" s="8">
        <f t="shared" si="1"/>
        <v>2301693.086</v>
      </c>
      <c r="E28" s="46"/>
      <c r="F28" s="8">
        <f t="shared" si="2"/>
        <v>610921.9471</v>
      </c>
      <c r="G28" s="8">
        <f t="shared" si="3"/>
        <v>1690771.139</v>
      </c>
      <c r="H28" s="8">
        <f t="shared" si="4"/>
        <v>59401423.57</v>
      </c>
      <c r="J28" s="5"/>
      <c r="L28" s="33">
        <v>46170.0</v>
      </c>
      <c r="M28" s="34" t="s">
        <v>118</v>
      </c>
      <c r="N28" s="35" t="s">
        <v>104</v>
      </c>
      <c r="O28" s="36"/>
      <c r="P28" s="36">
        <v>2301693.0</v>
      </c>
      <c r="Q28" s="36"/>
      <c r="R28" s="36"/>
      <c r="S28" s="36">
        <f t="shared" si="5"/>
        <v>2301693</v>
      </c>
      <c r="T28" s="36">
        <f t="shared" si="6"/>
        <v>78257568</v>
      </c>
      <c r="U28" s="34"/>
    </row>
    <row r="29" ht="15.75" customHeight="1">
      <c r="B29" s="2"/>
      <c r="C29" s="30">
        <v>46298.0</v>
      </c>
      <c r="D29" s="8">
        <f t="shared" si="1"/>
        <v>2301693.086</v>
      </c>
      <c r="E29" s="46"/>
      <c r="F29" s="8">
        <f t="shared" si="2"/>
        <v>594014.2357</v>
      </c>
      <c r="G29" s="8">
        <f t="shared" si="3"/>
        <v>1707678.85</v>
      </c>
      <c r="H29" s="8">
        <f t="shared" si="4"/>
        <v>57693744.72</v>
      </c>
      <c r="J29" s="5"/>
      <c r="L29" s="33">
        <v>46203.0</v>
      </c>
      <c r="M29" s="34" t="s">
        <v>120</v>
      </c>
      <c r="N29" s="35" t="s">
        <v>108</v>
      </c>
      <c r="O29" s="36"/>
      <c r="P29" s="36">
        <v>2301693.0</v>
      </c>
      <c r="Q29" s="36"/>
      <c r="R29" s="36"/>
      <c r="S29" s="36">
        <f t="shared" si="5"/>
        <v>2301693</v>
      </c>
      <c r="T29" s="36">
        <f t="shared" si="6"/>
        <v>75955875</v>
      </c>
      <c r="U29" s="34"/>
    </row>
    <row r="30" ht="15.75" customHeight="1">
      <c r="B30" s="2"/>
      <c r="C30" s="30">
        <v>46329.0</v>
      </c>
      <c r="D30" s="8">
        <f t="shared" si="1"/>
        <v>2301693.086</v>
      </c>
      <c r="E30" s="46"/>
      <c r="F30" s="8">
        <f t="shared" si="2"/>
        <v>576937.4472</v>
      </c>
      <c r="G30" s="8">
        <f t="shared" si="3"/>
        <v>1724755.638</v>
      </c>
      <c r="H30" s="8">
        <f t="shared" si="4"/>
        <v>55968989.08</v>
      </c>
      <c r="J30" s="5"/>
      <c r="L30" s="33">
        <v>46231.0</v>
      </c>
      <c r="M30" s="34" t="s">
        <v>122</v>
      </c>
      <c r="N30" s="35" t="s">
        <v>113</v>
      </c>
      <c r="O30" s="36"/>
      <c r="P30" s="36">
        <v>2301693.0</v>
      </c>
      <c r="Q30" s="36"/>
      <c r="R30" s="36"/>
      <c r="S30" s="36">
        <f t="shared" si="5"/>
        <v>2301693</v>
      </c>
      <c r="T30" s="36">
        <f t="shared" si="6"/>
        <v>73654182</v>
      </c>
      <c r="U30" s="34"/>
    </row>
    <row r="31" ht="15.75" customHeight="1">
      <c r="B31" s="2"/>
      <c r="C31" s="30">
        <v>46359.0</v>
      </c>
      <c r="D31" s="8">
        <f t="shared" si="1"/>
        <v>2301693.086</v>
      </c>
      <c r="E31" s="46"/>
      <c r="F31" s="8">
        <f t="shared" si="2"/>
        <v>559689.8908</v>
      </c>
      <c r="G31" s="8">
        <f t="shared" si="3"/>
        <v>1742003.195</v>
      </c>
      <c r="H31" s="8">
        <f t="shared" si="4"/>
        <v>54226985.89</v>
      </c>
      <c r="J31" s="5"/>
      <c r="L31" s="25"/>
      <c r="M31" s="38" t="s">
        <v>69</v>
      </c>
      <c r="N31" s="39"/>
      <c r="O31" s="27">
        <f t="shared" ref="O31:S31" si="7">SUM(O11:O30)</f>
        <v>1000000</v>
      </c>
      <c r="P31" s="27">
        <f t="shared" si="7"/>
        <v>45538686</v>
      </c>
      <c r="Q31" s="27">
        <f t="shared" si="7"/>
        <v>0</v>
      </c>
      <c r="R31" s="27">
        <f t="shared" si="7"/>
        <v>0</v>
      </c>
      <c r="S31" s="27">
        <f t="shared" si="7"/>
        <v>46538686</v>
      </c>
      <c r="T31" s="27">
        <f>T30</f>
        <v>73654182</v>
      </c>
      <c r="U31" s="25"/>
    </row>
    <row r="32" ht="15.75" customHeight="1">
      <c r="B32" s="2"/>
      <c r="C32" s="30">
        <v>46390.0</v>
      </c>
      <c r="D32" s="8">
        <f t="shared" si="1"/>
        <v>2301693.086</v>
      </c>
      <c r="E32" s="46"/>
      <c r="F32" s="8">
        <f t="shared" si="2"/>
        <v>542269.8589</v>
      </c>
      <c r="G32" s="8">
        <f t="shared" si="3"/>
        <v>1759423.227</v>
      </c>
      <c r="H32" s="8">
        <f t="shared" si="4"/>
        <v>52467562.66</v>
      </c>
      <c r="J32" s="5"/>
    </row>
    <row r="33" ht="15.75" customHeight="1">
      <c r="B33" s="2"/>
      <c r="C33" s="30">
        <v>46421.0</v>
      </c>
      <c r="D33" s="8">
        <f t="shared" si="1"/>
        <v>2301693.086</v>
      </c>
      <c r="E33" s="46"/>
      <c r="F33" s="8">
        <f t="shared" si="2"/>
        <v>524675.6266</v>
      </c>
      <c r="G33" s="8">
        <f t="shared" si="3"/>
        <v>1777017.459</v>
      </c>
      <c r="H33" s="8">
        <f t="shared" si="4"/>
        <v>50690545.2</v>
      </c>
      <c r="J33" s="5"/>
    </row>
    <row r="34" ht="15.75" customHeight="1">
      <c r="B34" s="2"/>
      <c r="C34" s="30">
        <v>46449.0</v>
      </c>
      <c r="D34" s="8">
        <f t="shared" si="1"/>
        <v>2301693.086</v>
      </c>
      <c r="E34" s="46"/>
      <c r="F34" s="8">
        <f t="shared" si="2"/>
        <v>506905.452</v>
      </c>
      <c r="G34" s="8">
        <f t="shared" si="3"/>
        <v>1794787.634</v>
      </c>
      <c r="H34" s="8">
        <f t="shared" si="4"/>
        <v>48895757.57</v>
      </c>
      <c r="J34" s="5"/>
    </row>
    <row r="35" ht="15.75" customHeight="1">
      <c r="B35" s="2"/>
      <c r="C35" s="30">
        <v>46480.0</v>
      </c>
      <c r="D35" s="8">
        <f t="shared" si="1"/>
        <v>2301693.086</v>
      </c>
      <c r="E35" s="46"/>
      <c r="F35" s="8">
        <f t="shared" si="2"/>
        <v>488957.5757</v>
      </c>
      <c r="G35" s="8">
        <f t="shared" si="3"/>
        <v>1812735.51</v>
      </c>
      <c r="H35" s="8">
        <f t="shared" si="4"/>
        <v>47083022.06</v>
      </c>
      <c r="J35" s="5"/>
    </row>
    <row r="36" ht="15.75" customHeight="1">
      <c r="B36" s="2"/>
      <c r="C36" s="30">
        <v>46510.0</v>
      </c>
      <c r="D36" s="8">
        <f t="shared" si="1"/>
        <v>2301693.086</v>
      </c>
      <c r="E36" s="46"/>
      <c r="F36" s="8">
        <f t="shared" si="2"/>
        <v>470830.2206</v>
      </c>
      <c r="G36" s="8">
        <f t="shared" si="3"/>
        <v>1830862.865</v>
      </c>
      <c r="H36" s="8">
        <f t="shared" si="4"/>
        <v>45252159.19</v>
      </c>
      <c r="J36" s="5"/>
    </row>
    <row r="37" ht="15.75" customHeight="1">
      <c r="B37" s="2"/>
      <c r="C37" s="30">
        <v>46541.0</v>
      </c>
      <c r="D37" s="8">
        <f t="shared" si="1"/>
        <v>2301693.086</v>
      </c>
      <c r="E37" s="46"/>
      <c r="F37" s="8">
        <f t="shared" si="2"/>
        <v>452521.5919</v>
      </c>
      <c r="G37" s="8">
        <f t="shared" si="3"/>
        <v>1849171.494</v>
      </c>
      <c r="H37" s="8">
        <f t="shared" si="4"/>
        <v>43402987.7</v>
      </c>
      <c r="J37" s="5"/>
    </row>
    <row r="38" ht="15.75" customHeight="1">
      <c r="B38" s="2"/>
      <c r="C38" s="30">
        <v>46571.0</v>
      </c>
      <c r="D38" s="8">
        <f t="shared" si="1"/>
        <v>2301693.086</v>
      </c>
      <c r="E38" s="46"/>
      <c r="F38" s="8">
        <f t="shared" si="2"/>
        <v>434029.877</v>
      </c>
      <c r="G38" s="8">
        <f t="shared" si="3"/>
        <v>1867663.209</v>
      </c>
      <c r="H38" s="8">
        <f t="shared" si="4"/>
        <v>41535324.49</v>
      </c>
      <c r="J38" s="5"/>
    </row>
    <row r="39" ht="15.75" customHeight="1">
      <c r="B39" s="2"/>
      <c r="C39" s="30">
        <v>46602.0</v>
      </c>
      <c r="D39" s="8">
        <f t="shared" si="1"/>
        <v>2301693.086</v>
      </c>
      <c r="E39" s="46"/>
      <c r="F39" s="8">
        <f t="shared" si="2"/>
        <v>415353.2449</v>
      </c>
      <c r="G39" s="8">
        <f t="shared" si="3"/>
        <v>1886339.841</v>
      </c>
      <c r="H39" s="8">
        <f t="shared" si="4"/>
        <v>39648984.65</v>
      </c>
      <c r="J39" s="5"/>
    </row>
    <row r="40" ht="15.75" customHeight="1">
      <c r="B40" s="2"/>
      <c r="C40" s="30">
        <v>46633.0</v>
      </c>
      <c r="D40" s="8">
        <f t="shared" si="1"/>
        <v>2301693.086</v>
      </c>
      <c r="E40" s="46"/>
      <c r="F40" s="8">
        <f t="shared" si="2"/>
        <v>396489.8465</v>
      </c>
      <c r="G40" s="8">
        <f t="shared" si="3"/>
        <v>1905203.239</v>
      </c>
      <c r="H40" s="8">
        <f t="shared" si="4"/>
        <v>37743781.41</v>
      </c>
      <c r="J40" s="5"/>
    </row>
    <row r="41" ht="15.75" customHeight="1">
      <c r="B41" s="2"/>
      <c r="C41" s="30">
        <v>46663.0</v>
      </c>
      <c r="D41" s="8">
        <f t="shared" si="1"/>
        <v>2301693.086</v>
      </c>
      <c r="E41" s="46"/>
      <c r="F41" s="8">
        <f t="shared" si="2"/>
        <v>377437.8141</v>
      </c>
      <c r="G41" s="8">
        <f t="shared" si="3"/>
        <v>1924255.272</v>
      </c>
      <c r="H41" s="8">
        <f t="shared" si="4"/>
        <v>35819526.14</v>
      </c>
      <c r="J41" s="5"/>
    </row>
    <row r="42" ht="15.75" customHeight="1">
      <c r="B42" s="2"/>
      <c r="C42" s="30">
        <v>46694.0</v>
      </c>
      <c r="D42" s="8">
        <f t="shared" si="1"/>
        <v>2301693.086</v>
      </c>
      <c r="E42" s="46"/>
      <c r="F42" s="8">
        <f t="shared" si="2"/>
        <v>358195.2614</v>
      </c>
      <c r="G42" s="8">
        <f t="shared" si="3"/>
        <v>1943497.824</v>
      </c>
      <c r="H42" s="8">
        <f t="shared" si="4"/>
        <v>33876028.31</v>
      </c>
      <c r="J42" s="5"/>
    </row>
    <row r="43" ht="15.75" customHeight="1">
      <c r="B43" s="2"/>
      <c r="C43" s="30">
        <v>46724.0</v>
      </c>
      <c r="D43" s="8">
        <f t="shared" si="1"/>
        <v>2301693.086</v>
      </c>
      <c r="E43" s="46"/>
      <c r="F43" s="8">
        <f t="shared" si="2"/>
        <v>338760.2831</v>
      </c>
      <c r="G43" s="8">
        <f t="shared" si="3"/>
        <v>1962932.802</v>
      </c>
      <c r="H43" s="8">
        <f t="shared" si="4"/>
        <v>31913095.51</v>
      </c>
      <c r="J43" s="5"/>
    </row>
    <row r="44" ht="15.75" customHeight="1">
      <c r="B44" s="2"/>
      <c r="C44" s="30">
        <v>46755.0</v>
      </c>
      <c r="D44" s="8">
        <f t="shared" si="1"/>
        <v>2301693.086</v>
      </c>
      <c r="E44" s="46"/>
      <c r="F44" s="8">
        <f t="shared" si="2"/>
        <v>319130.9551</v>
      </c>
      <c r="G44" s="8">
        <f t="shared" si="3"/>
        <v>1982562.131</v>
      </c>
      <c r="H44" s="8">
        <f t="shared" si="4"/>
        <v>29930533.38</v>
      </c>
      <c r="J44" s="5"/>
    </row>
    <row r="45" ht="15.75" customHeight="1">
      <c r="B45" s="2"/>
      <c r="C45" s="30">
        <v>46786.0</v>
      </c>
      <c r="D45" s="8">
        <f t="shared" si="1"/>
        <v>2301693.086</v>
      </c>
      <c r="E45" s="46"/>
      <c r="F45" s="8">
        <f t="shared" si="2"/>
        <v>299305.3338</v>
      </c>
      <c r="G45" s="8">
        <f t="shared" si="3"/>
        <v>2002387.752</v>
      </c>
      <c r="H45" s="8">
        <f t="shared" si="4"/>
        <v>27928145.63</v>
      </c>
      <c r="J45" s="5"/>
    </row>
    <row r="46" ht="15.75" customHeight="1">
      <c r="B46" s="2"/>
      <c r="C46" s="30">
        <v>46815.0</v>
      </c>
      <c r="D46" s="8">
        <f t="shared" si="1"/>
        <v>2301693.086</v>
      </c>
      <c r="E46" s="46"/>
      <c r="F46" s="8">
        <f t="shared" si="2"/>
        <v>279281.4563</v>
      </c>
      <c r="G46" s="8">
        <f t="shared" si="3"/>
        <v>2022411.629</v>
      </c>
      <c r="H46" s="8">
        <f t="shared" si="4"/>
        <v>25905734</v>
      </c>
      <c r="J46" s="5"/>
    </row>
    <row r="47" ht="15.75" customHeight="1">
      <c r="B47" s="2"/>
      <c r="C47" s="30">
        <v>46846.0</v>
      </c>
      <c r="D47" s="8">
        <f t="shared" si="1"/>
        <v>2301693.086</v>
      </c>
      <c r="E47" s="46"/>
      <c r="F47" s="8">
        <f t="shared" si="2"/>
        <v>259057.34</v>
      </c>
      <c r="G47" s="8">
        <f t="shared" si="3"/>
        <v>2042635.746</v>
      </c>
      <c r="H47" s="8">
        <f t="shared" si="4"/>
        <v>23863098.25</v>
      </c>
      <c r="J47" s="5"/>
    </row>
    <row r="48" ht="15.75" customHeight="1">
      <c r="B48" s="2"/>
      <c r="C48" s="30">
        <v>46876.0</v>
      </c>
      <c r="D48" s="8">
        <f t="shared" si="1"/>
        <v>2301693.086</v>
      </c>
      <c r="E48" s="46"/>
      <c r="F48" s="8">
        <f t="shared" si="2"/>
        <v>238630.9825</v>
      </c>
      <c r="G48" s="8">
        <f t="shared" si="3"/>
        <v>2063062.103</v>
      </c>
      <c r="H48" s="8">
        <f t="shared" si="4"/>
        <v>21800036.15</v>
      </c>
      <c r="J48" s="5"/>
    </row>
    <row r="49" ht="15.75" customHeight="1">
      <c r="B49" s="2"/>
      <c r="C49" s="30">
        <v>46907.0</v>
      </c>
      <c r="D49" s="8">
        <f t="shared" si="1"/>
        <v>2301693.086</v>
      </c>
      <c r="E49" s="46"/>
      <c r="F49" s="8">
        <f t="shared" si="2"/>
        <v>218000.3615</v>
      </c>
      <c r="G49" s="8">
        <f t="shared" si="3"/>
        <v>2083692.724</v>
      </c>
      <c r="H49" s="8">
        <f t="shared" si="4"/>
        <v>19716343.43</v>
      </c>
      <c r="J49" s="5"/>
    </row>
    <row r="50" ht="15.75" customHeight="1">
      <c r="B50" s="2"/>
      <c r="C50" s="30">
        <v>46937.0</v>
      </c>
      <c r="D50" s="8">
        <f t="shared" si="1"/>
        <v>2301693.086</v>
      </c>
      <c r="E50" s="46"/>
      <c r="F50" s="8">
        <f t="shared" si="2"/>
        <v>197163.4343</v>
      </c>
      <c r="G50" s="8">
        <f t="shared" si="3"/>
        <v>2104529.651</v>
      </c>
      <c r="H50" s="8">
        <f t="shared" si="4"/>
        <v>17611813.77</v>
      </c>
      <c r="J50" s="5"/>
    </row>
    <row r="51" ht="15.75" customHeight="1">
      <c r="B51" s="2"/>
      <c r="C51" s="30">
        <v>46968.0</v>
      </c>
      <c r="D51" s="8">
        <f t="shared" si="1"/>
        <v>2301693.086</v>
      </c>
      <c r="E51" s="46"/>
      <c r="F51" s="8">
        <f t="shared" si="2"/>
        <v>176118.1377</v>
      </c>
      <c r="G51" s="8">
        <f t="shared" si="3"/>
        <v>2125574.948</v>
      </c>
      <c r="H51" s="8">
        <f t="shared" si="4"/>
        <v>15486238.83</v>
      </c>
      <c r="J51" s="5"/>
    </row>
    <row r="52" ht="15.75" customHeight="1">
      <c r="B52" s="2"/>
      <c r="C52" s="30">
        <v>46999.0</v>
      </c>
      <c r="D52" s="8">
        <f t="shared" si="1"/>
        <v>2301693.086</v>
      </c>
      <c r="E52" s="46"/>
      <c r="F52" s="8">
        <f t="shared" si="2"/>
        <v>154862.3883</v>
      </c>
      <c r="G52" s="8">
        <f t="shared" si="3"/>
        <v>2146830.697</v>
      </c>
      <c r="H52" s="8">
        <f t="shared" si="4"/>
        <v>13339408.13</v>
      </c>
      <c r="J52" s="5"/>
    </row>
    <row r="53" ht="15.75" customHeight="1">
      <c r="B53" s="2"/>
      <c r="C53" s="30">
        <v>47029.0</v>
      </c>
      <c r="D53" s="8">
        <f t="shared" si="1"/>
        <v>2301693.086</v>
      </c>
      <c r="E53" s="46"/>
      <c r="F53" s="8">
        <f t="shared" si="2"/>
        <v>133394.0813</v>
      </c>
      <c r="G53" s="8">
        <f t="shared" si="3"/>
        <v>2168299.004</v>
      </c>
      <c r="H53" s="8">
        <f t="shared" si="4"/>
        <v>11171109.13</v>
      </c>
      <c r="J53" s="5"/>
    </row>
    <row r="54" ht="15.75" customHeight="1">
      <c r="B54" s="2"/>
      <c r="C54" s="30">
        <v>47060.0</v>
      </c>
      <c r="D54" s="8">
        <f t="shared" si="1"/>
        <v>2301693.086</v>
      </c>
      <c r="E54" s="46"/>
      <c r="F54" s="8">
        <f t="shared" si="2"/>
        <v>111711.0913</v>
      </c>
      <c r="G54" s="8">
        <f t="shared" si="3"/>
        <v>2189981.994</v>
      </c>
      <c r="H54" s="8">
        <f t="shared" si="4"/>
        <v>8981127.131</v>
      </c>
      <c r="J54" s="5"/>
    </row>
    <row r="55" ht="15.75" customHeight="1">
      <c r="B55" s="2"/>
      <c r="C55" s="30">
        <v>47090.0</v>
      </c>
      <c r="D55" s="8">
        <f t="shared" si="1"/>
        <v>2301693.086</v>
      </c>
      <c r="E55" s="46"/>
      <c r="F55" s="8">
        <f t="shared" si="2"/>
        <v>89811.27131</v>
      </c>
      <c r="G55" s="8">
        <f t="shared" si="3"/>
        <v>2211881.814</v>
      </c>
      <c r="H55" s="8">
        <f t="shared" si="4"/>
        <v>6769245.316</v>
      </c>
      <c r="J55" s="5"/>
    </row>
    <row r="56" ht="15.75" customHeight="1">
      <c r="B56" s="2"/>
      <c r="C56" s="30">
        <v>47121.0</v>
      </c>
      <c r="D56" s="8">
        <f t="shared" si="1"/>
        <v>2301693.086</v>
      </c>
      <c r="E56" s="46"/>
      <c r="F56" s="8">
        <f t="shared" si="2"/>
        <v>67692.45316</v>
      </c>
      <c r="G56" s="8">
        <f t="shared" si="3"/>
        <v>2234000.632</v>
      </c>
      <c r="H56" s="8">
        <f t="shared" si="4"/>
        <v>4535244.684</v>
      </c>
      <c r="J56" s="5"/>
    </row>
    <row r="57" ht="15.75" customHeight="1">
      <c r="B57" s="2"/>
      <c r="C57" s="30">
        <v>47152.0</v>
      </c>
      <c r="D57" s="8">
        <f t="shared" si="1"/>
        <v>2301693.086</v>
      </c>
      <c r="E57" s="46"/>
      <c r="F57" s="8">
        <f t="shared" si="2"/>
        <v>45352.44684</v>
      </c>
      <c r="G57" s="8">
        <f t="shared" si="3"/>
        <v>2256340.639</v>
      </c>
      <c r="H57" s="8">
        <f t="shared" si="4"/>
        <v>2278904.045</v>
      </c>
      <c r="J57" s="5"/>
    </row>
    <row r="58" ht="15.75" customHeight="1">
      <c r="B58" s="2"/>
      <c r="C58" s="30">
        <v>47180.0</v>
      </c>
      <c r="D58" s="8">
        <f t="shared" si="1"/>
        <v>2301693.086</v>
      </c>
      <c r="E58" s="46"/>
      <c r="F58" s="8">
        <f t="shared" si="2"/>
        <v>22789.04045</v>
      </c>
      <c r="G58" s="8">
        <f t="shared" si="3"/>
        <v>2278904.045</v>
      </c>
      <c r="H58" s="8">
        <f t="shared" si="4"/>
        <v>0.00000002980232239</v>
      </c>
      <c r="J58" s="5"/>
    </row>
    <row r="59" ht="15.75" customHeight="1">
      <c r="C59" s="13"/>
      <c r="E59" s="9"/>
      <c r="J59" s="5"/>
    </row>
    <row r="60" ht="15.75" customHeight="1">
      <c r="C60" s="13"/>
      <c r="E60" s="9"/>
      <c r="J60" s="5"/>
    </row>
    <row r="61" ht="15.75" customHeight="1">
      <c r="C61" s="13"/>
      <c r="E61" s="9"/>
      <c r="J61" s="5"/>
    </row>
    <row r="62" ht="15.75" customHeight="1">
      <c r="C62" s="13"/>
      <c r="E62" s="9"/>
      <c r="J62" s="5"/>
    </row>
    <row r="63" ht="15.75" customHeight="1">
      <c r="C63" s="13"/>
      <c r="E63" s="9"/>
      <c r="J63" s="5"/>
    </row>
    <row r="64" ht="15.75" customHeight="1">
      <c r="C64" s="13"/>
      <c r="E64" s="9"/>
      <c r="J64" s="5"/>
    </row>
    <row r="65" ht="15.75" customHeight="1">
      <c r="E65" s="9"/>
      <c r="J65" s="5"/>
    </row>
    <row r="66" ht="15.75" customHeight="1">
      <c r="E66" s="9"/>
      <c r="J66" s="5"/>
    </row>
    <row r="67" ht="15.75" customHeight="1">
      <c r="E67" s="9"/>
      <c r="J67" s="5"/>
    </row>
    <row r="68" ht="15.75" customHeight="1">
      <c r="E68" s="9"/>
      <c r="J68" s="5"/>
    </row>
    <row r="69" ht="15.75" customHeight="1">
      <c r="E69" s="9"/>
      <c r="J69" s="5"/>
    </row>
    <row r="70" ht="15.75" customHeight="1">
      <c r="E70" s="9"/>
      <c r="J70" s="5"/>
    </row>
    <row r="71" ht="15.75" customHeight="1">
      <c r="E71" s="9"/>
      <c r="J71" s="5"/>
    </row>
    <row r="72" ht="15.75" customHeight="1">
      <c r="E72" s="9"/>
      <c r="J72" s="5"/>
    </row>
    <row r="73" ht="15.75" customHeight="1">
      <c r="E73" s="9"/>
      <c r="J73" s="5"/>
    </row>
    <row r="74" ht="15.75" customHeight="1">
      <c r="E74" s="9"/>
      <c r="J74" s="5"/>
    </row>
    <row r="75" ht="15.75" customHeight="1">
      <c r="E75" s="9"/>
      <c r="J75" s="5"/>
    </row>
    <row r="76" ht="15.75" customHeight="1">
      <c r="E76" s="9"/>
      <c r="J76" s="5"/>
    </row>
    <row r="77" ht="15.75" customHeight="1">
      <c r="E77" s="9"/>
      <c r="J77" s="5"/>
    </row>
    <row r="78" ht="15.75" customHeight="1">
      <c r="E78" s="9"/>
      <c r="J78" s="5"/>
    </row>
    <row r="79" ht="15.75" customHeight="1">
      <c r="E79" s="9"/>
      <c r="J79" s="5"/>
    </row>
    <row r="80" ht="15.75" customHeight="1">
      <c r="E80" s="9"/>
      <c r="J80" s="5"/>
    </row>
    <row r="81" ht="15.75" customHeight="1">
      <c r="E81" s="9"/>
      <c r="J81" s="5"/>
    </row>
    <row r="82" ht="15.75" customHeight="1">
      <c r="E82" s="9"/>
      <c r="J82" s="5"/>
    </row>
    <row r="83" ht="15.75" customHeight="1">
      <c r="E83" s="9"/>
      <c r="J83" s="5"/>
    </row>
    <row r="84" ht="15.75" customHeight="1">
      <c r="E84" s="9"/>
      <c r="J84" s="5"/>
    </row>
    <row r="85" ht="15.75" customHeight="1">
      <c r="E85" s="9"/>
      <c r="J85" s="5"/>
    </row>
    <row r="86" ht="15.75" customHeight="1">
      <c r="E86" s="9"/>
      <c r="J86" s="5"/>
    </row>
    <row r="87" ht="15.75" customHeight="1">
      <c r="E87" s="9"/>
      <c r="J87" s="5"/>
    </row>
    <row r="88" ht="15.75" customHeight="1">
      <c r="E88" s="9"/>
      <c r="J88" s="5"/>
    </row>
    <row r="89" ht="15.75" customHeight="1">
      <c r="E89" s="9"/>
      <c r="J89" s="5"/>
    </row>
    <row r="90" ht="15.75" customHeight="1">
      <c r="E90" s="9"/>
      <c r="J90" s="5"/>
    </row>
    <row r="91" ht="15.75" customHeight="1">
      <c r="E91" s="9"/>
      <c r="J91" s="5"/>
    </row>
    <row r="92" ht="15.75" customHeight="1">
      <c r="E92" s="9"/>
      <c r="J92" s="5"/>
    </row>
    <row r="93" ht="15.75" customHeight="1">
      <c r="E93" s="9"/>
      <c r="J93" s="5"/>
    </row>
    <row r="94" ht="15.75" customHeight="1">
      <c r="E94" s="9"/>
      <c r="J94" s="5"/>
    </row>
    <row r="95" ht="15.75" customHeight="1">
      <c r="E95" s="9"/>
      <c r="J95" s="5"/>
    </row>
    <row r="96" ht="15.75" customHeight="1">
      <c r="E96" s="9"/>
      <c r="J96" s="5"/>
    </row>
    <row r="97" ht="15.75" customHeight="1">
      <c r="E97" s="9"/>
      <c r="J97" s="5"/>
    </row>
    <row r="98" ht="15.75" customHeight="1">
      <c r="E98" s="9"/>
      <c r="J98" s="5"/>
    </row>
    <row r="99" ht="15.75" customHeight="1">
      <c r="E99" s="9"/>
      <c r="J99" s="5"/>
    </row>
    <row r="100" ht="15.75" customHeight="1">
      <c r="E100" s="9"/>
      <c r="J100" s="5"/>
    </row>
    <row r="101" ht="15.75" customHeight="1">
      <c r="E101" s="9"/>
      <c r="J101" s="5"/>
    </row>
    <row r="102" ht="15.75" customHeight="1">
      <c r="E102" s="9"/>
      <c r="J102" s="5"/>
    </row>
    <row r="103" ht="15.75" customHeight="1">
      <c r="E103" s="9"/>
      <c r="J103" s="5"/>
    </row>
    <row r="104" ht="15.75" customHeight="1">
      <c r="E104" s="9"/>
      <c r="J104" s="5"/>
    </row>
    <row r="105" ht="15.75" customHeight="1">
      <c r="E105" s="9"/>
      <c r="J105" s="5"/>
    </row>
    <row r="106" ht="15.75" customHeight="1">
      <c r="E106" s="9"/>
      <c r="J106" s="5"/>
    </row>
    <row r="107" ht="15.75" customHeight="1">
      <c r="E107" s="9"/>
      <c r="J107" s="5"/>
    </row>
    <row r="108" ht="15.75" customHeight="1">
      <c r="E108" s="9"/>
      <c r="J108" s="5"/>
    </row>
    <row r="109" ht="15.75" customHeight="1">
      <c r="E109" s="9"/>
      <c r="J109" s="5"/>
    </row>
    <row r="110" ht="15.75" customHeight="1">
      <c r="E110" s="9"/>
      <c r="J110" s="5"/>
    </row>
    <row r="111" ht="15.75" customHeight="1">
      <c r="E111" s="9"/>
      <c r="J111" s="5"/>
    </row>
    <row r="112" ht="15.75" customHeight="1">
      <c r="E112" s="9"/>
      <c r="J112" s="5"/>
    </row>
    <row r="113" ht="15.75" customHeight="1">
      <c r="E113" s="9"/>
      <c r="J113" s="5"/>
    </row>
    <row r="114" ht="15.75" customHeight="1">
      <c r="E114" s="9"/>
      <c r="J114" s="5"/>
    </row>
    <row r="115" ht="15.75" customHeight="1">
      <c r="E115" s="9"/>
      <c r="J115" s="5"/>
    </row>
    <row r="116" ht="15.75" customHeight="1">
      <c r="E116" s="9"/>
      <c r="J116" s="5"/>
    </row>
    <row r="117" ht="15.75" customHeight="1">
      <c r="E117" s="9"/>
      <c r="J117" s="5"/>
    </row>
    <row r="118" ht="15.75" customHeight="1">
      <c r="E118" s="9"/>
      <c r="J118" s="5"/>
    </row>
    <row r="119" ht="15.75" customHeight="1">
      <c r="E119" s="9"/>
      <c r="J119" s="5"/>
    </row>
    <row r="120" ht="15.75" customHeight="1">
      <c r="E120" s="9"/>
      <c r="J120" s="5"/>
    </row>
    <row r="121" ht="15.75" customHeight="1">
      <c r="E121" s="9"/>
      <c r="J121" s="5"/>
    </row>
    <row r="122" ht="15.75" customHeight="1">
      <c r="E122" s="9"/>
      <c r="J122" s="5"/>
    </row>
    <row r="123" ht="15.75" customHeight="1">
      <c r="E123" s="9"/>
      <c r="J123" s="5"/>
    </row>
    <row r="124" ht="15.75" customHeight="1">
      <c r="E124" s="9"/>
      <c r="J124" s="5"/>
    </row>
    <row r="125" ht="15.75" customHeight="1">
      <c r="E125" s="9"/>
      <c r="J125" s="5"/>
    </row>
    <row r="126" ht="15.75" customHeight="1">
      <c r="E126" s="9"/>
      <c r="J126" s="5"/>
    </row>
    <row r="127" ht="15.75" customHeight="1">
      <c r="E127" s="9"/>
      <c r="J127" s="5"/>
    </row>
    <row r="128" ht="15.75" customHeight="1">
      <c r="E128" s="9"/>
      <c r="J128" s="5"/>
    </row>
    <row r="129" ht="15.75" customHeight="1">
      <c r="E129" s="9"/>
      <c r="J129" s="5"/>
    </row>
    <row r="130" ht="15.75" customHeight="1">
      <c r="E130" s="9"/>
      <c r="J130" s="5"/>
    </row>
    <row r="131" ht="15.75" customHeight="1">
      <c r="E131" s="9"/>
      <c r="J131" s="5"/>
    </row>
    <row r="132" ht="15.75" customHeight="1">
      <c r="E132" s="9"/>
      <c r="J132" s="5"/>
    </row>
    <row r="133" ht="15.75" customHeight="1">
      <c r="E133" s="9"/>
      <c r="J133" s="5"/>
    </row>
    <row r="134" ht="15.75" customHeight="1">
      <c r="E134" s="9"/>
      <c r="J134" s="5"/>
    </row>
    <row r="135" ht="15.75" customHeight="1">
      <c r="E135" s="9"/>
      <c r="J135" s="5"/>
    </row>
    <row r="136" ht="15.75" customHeight="1">
      <c r="E136" s="9"/>
      <c r="J136" s="5"/>
    </row>
    <row r="137" ht="15.75" customHeight="1">
      <c r="E137" s="9"/>
      <c r="J137" s="5"/>
    </row>
    <row r="138" ht="15.75" customHeight="1">
      <c r="E138" s="9"/>
      <c r="J138" s="5"/>
    </row>
    <row r="139" ht="15.75" customHeight="1">
      <c r="E139" s="9"/>
      <c r="J139" s="5"/>
    </row>
    <row r="140" ht="15.75" customHeight="1">
      <c r="E140" s="9"/>
      <c r="J140" s="5"/>
    </row>
    <row r="141" ht="15.75" customHeight="1">
      <c r="E141" s="9"/>
      <c r="J141" s="5"/>
    </row>
    <row r="142" ht="15.75" customHeight="1">
      <c r="E142" s="9"/>
      <c r="J142" s="5"/>
    </row>
    <row r="143" ht="15.75" customHeight="1">
      <c r="E143" s="9"/>
      <c r="J143" s="5"/>
    </row>
    <row r="144" ht="15.75" customHeight="1">
      <c r="E144" s="9"/>
      <c r="J144" s="5"/>
    </row>
    <row r="145" ht="15.75" customHeight="1">
      <c r="E145" s="9"/>
      <c r="J145" s="5"/>
    </row>
    <row r="146" ht="15.75" customHeight="1">
      <c r="E146" s="9"/>
      <c r="J146" s="5"/>
    </row>
    <row r="147" ht="15.75" customHeight="1">
      <c r="E147" s="9"/>
      <c r="J147" s="5"/>
    </row>
    <row r="148" ht="15.75" customHeight="1">
      <c r="E148" s="9"/>
      <c r="J148" s="5"/>
    </row>
    <row r="149" ht="15.75" customHeight="1">
      <c r="E149" s="9"/>
      <c r="J149" s="5"/>
    </row>
    <row r="150" ht="15.75" customHeight="1">
      <c r="E150" s="9"/>
      <c r="J150" s="5"/>
    </row>
    <row r="151" ht="15.75" customHeight="1">
      <c r="E151" s="9"/>
      <c r="J151" s="5"/>
    </row>
    <row r="152" ht="15.75" customHeight="1">
      <c r="E152" s="9"/>
      <c r="J152" s="5"/>
    </row>
    <row r="153" ht="15.75" customHeight="1">
      <c r="E153" s="9"/>
      <c r="J153" s="5"/>
    </row>
    <row r="154" ht="15.75" customHeight="1">
      <c r="E154" s="9"/>
      <c r="J154" s="5"/>
    </row>
    <row r="155" ht="15.75" customHeight="1">
      <c r="E155" s="9"/>
      <c r="J155" s="5"/>
    </row>
    <row r="156" ht="15.75" customHeight="1">
      <c r="E156" s="9"/>
      <c r="J156" s="5"/>
    </row>
    <row r="157" ht="15.75" customHeight="1">
      <c r="E157" s="9"/>
      <c r="J157" s="5"/>
    </row>
    <row r="158" ht="15.75" customHeight="1">
      <c r="E158" s="9"/>
      <c r="J158" s="5"/>
    </row>
    <row r="159" ht="15.75" customHeight="1">
      <c r="E159" s="9"/>
      <c r="J159" s="5"/>
    </row>
    <row r="160" ht="15.75" customHeight="1">
      <c r="E160" s="9"/>
      <c r="J160" s="5"/>
    </row>
    <row r="161" ht="15.75" customHeight="1">
      <c r="E161" s="9"/>
      <c r="J161" s="5"/>
    </row>
    <row r="162" ht="15.75" customHeight="1">
      <c r="E162" s="9"/>
      <c r="J162" s="5"/>
    </row>
    <row r="163" ht="15.75" customHeight="1">
      <c r="E163" s="9"/>
      <c r="J163" s="5"/>
    </row>
    <row r="164" ht="15.75" customHeight="1">
      <c r="E164" s="9"/>
      <c r="J164" s="5"/>
    </row>
    <row r="165" ht="15.75" customHeight="1">
      <c r="E165" s="9"/>
      <c r="J165" s="5"/>
    </row>
    <row r="166" ht="15.75" customHeight="1">
      <c r="E166" s="9"/>
      <c r="J166" s="5"/>
    </row>
    <row r="167" ht="15.75" customHeight="1">
      <c r="E167" s="9"/>
      <c r="J167" s="5"/>
    </row>
    <row r="168" ht="15.75" customHeight="1">
      <c r="E168" s="9"/>
      <c r="J168" s="5"/>
    </row>
    <row r="169" ht="15.75" customHeight="1">
      <c r="E169" s="9"/>
      <c r="J169" s="5"/>
    </row>
    <row r="170" ht="15.75" customHeight="1">
      <c r="E170" s="9"/>
      <c r="J170" s="5"/>
    </row>
    <row r="171" ht="15.75" customHeight="1">
      <c r="E171" s="9"/>
      <c r="J171" s="5"/>
    </row>
    <row r="172" ht="15.75" customHeight="1">
      <c r="E172" s="9"/>
      <c r="J172" s="5"/>
    </row>
    <row r="173" ht="15.75" customHeight="1">
      <c r="E173" s="9"/>
      <c r="J173" s="5"/>
    </row>
    <row r="174" ht="15.75" customHeight="1">
      <c r="E174" s="9"/>
      <c r="J174" s="5"/>
    </row>
    <row r="175" ht="15.75" customHeight="1">
      <c r="E175" s="9"/>
      <c r="J175" s="5"/>
    </row>
    <row r="176" ht="15.75" customHeight="1">
      <c r="E176" s="9"/>
      <c r="J176" s="5"/>
    </row>
    <row r="177" ht="15.75" customHeight="1">
      <c r="E177" s="9"/>
      <c r="J177" s="5"/>
    </row>
    <row r="178" ht="15.75" customHeight="1">
      <c r="E178" s="9"/>
      <c r="J178" s="5"/>
    </row>
    <row r="179" ht="15.75" customHeight="1">
      <c r="E179" s="9"/>
      <c r="J179" s="5"/>
    </row>
    <row r="180" ht="15.75" customHeight="1">
      <c r="E180" s="9"/>
      <c r="J180" s="5"/>
    </row>
    <row r="181" ht="15.75" customHeight="1">
      <c r="E181" s="9"/>
      <c r="J181" s="5"/>
    </row>
    <row r="182" ht="15.75" customHeight="1">
      <c r="E182" s="9"/>
      <c r="J182" s="5"/>
    </row>
    <row r="183" ht="15.75" customHeight="1">
      <c r="E183" s="9"/>
      <c r="J183" s="5"/>
    </row>
    <row r="184" ht="15.75" customHeight="1">
      <c r="E184" s="9"/>
      <c r="J184" s="5"/>
    </row>
    <row r="185" ht="15.75" customHeight="1">
      <c r="E185" s="9"/>
      <c r="J185" s="5"/>
    </row>
    <row r="186" ht="15.75" customHeight="1">
      <c r="E186" s="9"/>
      <c r="J186" s="5"/>
    </row>
    <row r="187" ht="15.75" customHeight="1">
      <c r="E187" s="9"/>
      <c r="J187" s="5"/>
    </row>
    <row r="188" ht="15.75" customHeight="1">
      <c r="E188" s="9"/>
      <c r="J188" s="5"/>
    </row>
    <row r="189" ht="15.75" customHeight="1">
      <c r="E189" s="9"/>
      <c r="J189" s="5"/>
    </row>
    <row r="190" ht="15.75" customHeight="1">
      <c r="E190" s="9"/>
      <c r="J190" s="5"/>
    </row>
    <row r="191" ht="15.75" customHeight="1">
      <c r="E191" s="9"/>
      <c r="J191" s="5"/>
    </row>
    <row r="192" ht="15.75" customHeight="1">
      <c r="E192" s="9"/>
      <c r="J192" s="5"/>
    </row>
    <row r="193" ht="15.75" customHeight="1">
      <c r="E193" s="9"/>
      <c r="J193" s="5"/>
    </row>
    <row r="194" ht="15.75" customHeight="1">
      <c r="E194" s="9"/>
      <c r="J194" s="5"/>
    </row>
    <row r="195" ht="15.75" customHeight="1">
      <c r="E195" s="9"/>
      <c r="J195" s="5"/>
    </row>
    <row r="196" ht="15.75" customHeight="1">
      <c r="E196" s="9"/>
      <c r="J196" s="5"/>
    </row>
    <row r="197" ht="15.75" customHeight="1">
      <c r="E197" s="9"/>
      <c r="J197" s="5"/>
    </row>
    <row r="198" ht="15.75" customHeight="1">
      <c r="E198" s="9"/>
      <c r="J198" s="5"/>
    </row>
    <row r="199" ht="15.75" customHeight="1">
      <c r="E199" s="9"/>
      <c r="J199" s="5"/>
    </row>
    <row r="200" ht="15.75" customHeight="1">
      <c r="E200" s="9"/>
      <c r="J200" s="5"/>
    </row>
    <row r="201" ht="15.75" customHeight="1">
      <c r="E201" s="9"/>
      <c r="J201" s="5"/>
    </row>
    <row r="202" ht="15.75" customHeight="1">
      <c r="E202" s="9"/>
      <c r="J202" s="5"/>
    </row>
    <row r="203" ht="15.75" customHeight="1">
      <c r="E203" s="9"/>
      <c r="J203" s="5"/>
    </row>
    <row r="204" ht="15.75" customHeight="1">
      <c r="E204" s="9"/>
      <c r="J204" s="5"/>
    </row>
    <row r="205" ht="15.75" customHeight="1">
      <c r="E205" s="9"/>
      <c r="J205" s="5"/>
    </row>
    <row r="206" ht="15.75" customHeight="1">
      <c r="E206" s="9"/>
      <c r="J206" s="5"/>
    </row>
    <row r="207" ht="15.75" customHeight="1">
      <c r="E207" s="9"/>
      <c r="J207" s="5"/>
    </row>
    <row r="208" ht="15.75" customHeight="1">
      <c r="E208" s="9"/>
      <c r="J208" s="5"/>
    </row>
    <row r="209" ht="15.75" customHeight="1">
      <c r="E209" s="9"/>
      <c r="J209" s="5"/>
    </row>
    <row r="210" ht="15.75" customHeight="1">
      <c r="E210" s="9"/>
      <c r="J210" s="5"/>
    </row>
    <row r="211" ht="15.75" customHeight="1">
      <c r="E211" s="9"/>
      <c r="J211" s="5"/>
    </row>
    <row r="212" ht="15.75" customHeight="1">
      <c r="E212" s="9"/>
      <c r="J212" s="5"/>
    </row>
    <row r="213" ht="15.75" customHeight="1">
      <c r="E213" s="9"/>
      <c r="J213" s="5"/>
    </row>
    <row r="214" ht="15.75" customHeight="1">
      <c r="E214" s="9"/>
      <c r="J214" s="5"/>
    </row>
    <row r="215" ht="15.75" customHeight="1">
      <c r="E215" s="9"/>
      <c r="J215" s="5"/>
    </row>
    <row r="216" ht="15.75" customHeight="1">
      <c r="E216" s="9"/>
      <c r="J216" s="5"/>
    </row>
    <row r="217" ht="15.75" customHeight="1">
      <c r="E217" s="9"/>
      <c r="J217" s="5"/>
    </row>
    <row r="218" ht="15.75" customHeight="1">
      <c r="E218" s="9"/>
      <c r="J218" s="5"/>
    </row>
    <row r="219" ht="15.75" customHeight="1">
      <c r="E219" s="9"/>
      <c r="J219" s="5"/>
    </row>
    <row r="220" ht="15.75" customHeight="1">
      <c r="E220" s="9"/>
      <c r="J220" s="5"/>
    </row>
    <row r="221" ht="15.75" customHeight="1">
      <c r="E221" s="9"/>
      <c r="J221" s="5"/>
    </row>
    <row r="222" ht="15.75" customHeight="1">
      <c r="E222" s="9"/>
      <c r="J222" s="5"/>
    </row>
    <row r="223" ht="15.75" customHeight="1">
      <c r="E223" s="9"/>
      <c r="J223" s="5"/>
    </row>
    <row r="224" ht="15.75" customHeight="1">
      <c r="E224" s="9"/>
      <c r="J224" s="5"/>
    </row>
    <row r="225" ht="15.75" customHeight="1">
      <c r="E225" s="9"/>
      <c r="J225" s="5"/>
    </row>
    <row r="226" ht="15.75" customHeight="1">
      <c r="E226" s="9"/>
      <c r="J226" s="5"/>
    </row>
    <row r="227" ht="15.75" customHeight="1">
      <c r="E227" s="9"/>
      <c r="J227" s="5"/>
    </row>
    <row r="228" ht="15.75" customHeight="1">
      <c r="E228" s="9"/>
      <c r="J228" s="5"/>
    </row>
    <row r="229" ht="15.75" customHeight="1">
      <c r="E229" s="9"/>
      <c r="J229" s="5"/>
    </row>
    <row r="230" ht="15.75" customHeight="1">
      <c r="E230" s="9"/>
      <c r="J230" s="5"/>
    </row>
    <row r="231" ht="15.75" customHeight="1">
      <c r="E231" s="9"/>
      <c r="J231" s="5"/>
    </row>
    <row r="232" ht="15.75" customHeight="1">
      <c r="E232" s="9"/>
      <c r="J232" s="5"/>
    </row>
    <row r="233" ht="15.75" customHeight="1">
      <c r="E233" s="9"/>
      <c r="J233" s="5"/>
    </row>
    <row r="234" ht="15.75" customHeight="1">
      <c r="E234" s="9"/>
      <c r="J234" s="5"/>
    </row>
    <row r="235" ht="15.75" customHeight="1">
      <c r="E235" s="9"/>
      <c r="J235" s="5"/>
    </row>
    <row r="236" ht="15.75" customHeight="1">
      <c r="E236" s="9"/>
      <c r="J236" s="5"/>
    </row>
    <row r="237" ht="15.75" customHeight="1">
      <c r="E237" s="9"/>
      <c r="J237" s="5"/>
    </row>
    <row r="238" ht="15.75" customHeight="1">
      <c r="E238" s="9"/>
      <c r="J238" s="5"/>
    </row>
    <row r="239" ht="15.75" customHeight="1">
      <c r="E239" s="9"/>
      <c r="J239" s="5"/>
    </row>
    <row r="240" ht="15.75" customHeight="1">
      <c r="E240" s="9"/>
      <c r="J240" s="5"/>
    </row>
    <row r="241" ht="15.75" customHeight="1">
      <c r="E241" s="9"/>
      <c r="J241" s="5"/>
    </row>
    <row r="242" ht="15.75" customHeight="1">
      <c r="E242" s="9"/>
      <c r="J242" s="5"/>
    </row>
    <row r="243" ht="15.75" customHeight="1">
      <c r="E243" s="9"/>
      <c r="J243" s="5"/>
    </row>
    <row r="244" ht="15.75" customHeight="1">
      <c r="E244" s="9"/>
      <c r="J244" s="5"/>
    </row>
    <row r="245" ht="15.75" customHeight="1">
      <c r="E245" s="9"/>
      <c r="J245" s="5"/>
    </row>
    <row r="246" ht="15.75" customHeight="1">
      <c r="E246" s="9"/>
      <c r="J246" s="5"/>
    </row>
    <row r="247" ht="15.75" customHeight="1">
      <c r="E247" s="9"/>
      <c r="J247" s="5"/>
    </row>
    <row r="248" ht="15.75" customHeight="1">
      <c r="E248" s="9"/>
      <c r="J248" s="5"/>
    </row>
    <row r="249" ht="15.75" customHeight="1">
      <c r="E249" s="9"/>
      <c r="J249" s="5"/>
    </row>
    <row r="250" ht="15.75" customHeight="1">
      <c r="E250" s="9"/>
      <c r="J250" s="5"/>
    </row>
    <row r="251" ht="15.75" customHeight="1">
      <c r="E251" s="9"/>
      <c r="J251" s="5"/>
    </row>
    <row r="252" ht="15.75" customHeight="1">
      <c r="E252" s="9"/>
      <c r="J252" s="5"/>
    </row>
    <row r="253" ht="15.75" customHeight="1">
      <c r="E253" s="9"/>
      <c r="J253" s="5"/>
    </row>
    <row r="254" ht="15.75" customHeight="1">
      <c r="E254" s="9"/>
      <c r="J254" s="5"/>
    </row>
    <row r="255" ht="15.75" customHeight="1">
      <c r="E255" s="9"/>
      <c r="J255" s="5"/>
    </row>
    <row r="256" ht="15.75" customHeight="1">
      <c r="E256" s="9"/>
      <c r="J256" s="5"/>
    </row>
    <row r="257" ht="15.75" customHeight="1">
      <c r="E257" s="9"/>
      <c r="J257" s="5"/>
    </row>
    <row r="258" ht="15.75" customHeight="1">
      <c r="E258" s="9"/>
      <c r="J258" s="5"/>
    </row>
    <row r="259" ht="15.75" customHeight="1">
      <c r="E259" s="9"/>
      <c r="J259" s="5"/>
    </row>
    <row r="260" ht="15.75" customHeight="1">
      <c r="E260" s="9"/>
      <c r="J260" s="5"/>
    </row>
    <row r="261" ht="15.75" customHeight="1">
      <c r="E261" s="9"/>
      <c r="J261" s="5"/>
    </row>
    <row r="262" ht="15.75" customHeight="1">
      <c r="E262" s="9"/>
      <c r="J262" s="5"/>
    </row>
    <row r="263" ht="15.75" customHeight="1">
      <c r="E263" s="9"/>
      <c r="J263" s="5"/>
    </row>
    <row r="264" ht="15.75" customHeight="1">
      <c r="E264" s="9"/>
      <c r="J264" s="5"/>
    </row>
    <row r="265" ht="15.75" customHeight="1">
      <c r="E265" s="9"/>
      <c r="J265" s="5"/>
    </row>
    <row r="266" ht="15.75" customHeight="1">
      <c r="E266" s="9"/>
      <c r="J266" s="5"/>
    </row>
    <row r="267" ht="15.75" customHeight="1">
      <c r="E267" s="9"/>
      <c r="J267" s="5"/>
    </row>
    <row r="268" ht="15.75" customHeight="1">
      <c r="E268" s="9"/>
      <c r="J268" s="5"/>
    </row>
    <row r="269" ht="15.75" customHeight="1">
      <c r="E269" s="9"/>
      <c r="J269" s="5"/>
    </row>
    <row r="270" ht="15.75" customHeight="1">
      <c r="E270" s="9"/>
      <c r="J270" s="5"/>
    </row>
    <row r="271" ht="15.75" customHeight="1">
      <c r="E271" s="9"/>
      <c r="J271" s="5"/>
    </row>
    <row r="272" ht="15.75" customHeight="1">
      <c r="E272" s="9"/>
      <c r="J272" s="5"/>
    </row>
    <row r="273" ht="15.75" customHeight="1">
      <c r="E273" s="9"/>
      <c r="J273" s="5"/>
    </row>
    <row r="274" ht="15.75" customHeight="1">
      <c r="E274" s="9"/>
      <c r="J274" s="5"/>
    </row>
    <row r="275" ht="15.75" customHeight="1">
      <c r="E275" s="9"/>
      <c r="J275" s="5"/>
    </row>
    <row r="276" ht="15.75" customHeight="1">
      <c r="E276" s="9"/>
      <c r="J276" s="5"/>
    </row>
    <row r="277" ht="15.75" customHeight="1">
      <c r="E277" s="9"/>
      <c r="J277" s="5"/>
    </row>
    <row r="278" ht="15.75" customHeight="1">
      <c r="E278" s="9"/>
      <c r="J278" s="5"/>
    </row>
    <row r="279" ht="15.75" customHeight="1">
      <c r="E279" s="9"/>
      <c r="J279" s="5"/>
    </row>
    <row r="280" ht="15.75" customHeight="1">
      <c r="E280" s="9"/>
      <c r="J280" s="5"/>
    </row>
    <row r="281" ht="15.75" customHeight="1">
      <c r="E281" s="9"/>
      <c r="J281" s="5"/>
    </row>
    <row r="282" ht="15.75" customHeight="1">
      <c r="E282" s="9"/>
      <c r="J282" s="5"/>
    </row>
    <row r="283" ht="15.75" customHeight="1">
      <c r="E283" s="9"/>
      <c r="J283" s="5"/>
    </row>
    <row r="284" ht="15.75" customHeight="1">
      <c r="E284" s="9"/>
      <c r="J284" s="5"/>
    </row>
    <row r="285" ht="15.75" customHeight="1">
      <c r="E285" s="9"/>
      <c r="J285" s="5"/>
    </row>
    <row r="286" ht="15.75" customHeight="1">
      <c r="E286" s="9"/>
      <c r="J286" s="5"/>
    </row>
    <row r="287" ht="15.75" customHeight="1">
      <c r="E287" s="9"/>
      <c r="J287" s="5"/>
    </row>
    <row r="288" ht="15.75" customHeight="1">
      <c r="E288" s="9"/>
      <c r="J288" s="5"/>
    </row>
    <row r="289" ht="15.75" customHeight="1">
      <c r="E289" s="9"/>
      <c r="J289" s="5"/>
    </row>
    <row r="290" ht="15.75" customHeight="1">
      <c r="E290" s="9"/>
      <c r="J290" s="5"/>
    </row>
    <row r="291" ht="15.75" customHeight="1">
      <c r="E291" s="9"/>
      <c r="J291" s="5"/>
    </row>
    <row r="292" ht="15.75" customHeight="1">
      <c r="E292" s="9"/>
      <c r="J292" s="5"/>
    </row>
    <row r="293" ht="15.75" customHeight="1">
      <c r="E293" s="9"/>
      <c r="J293" s="5"/>
    </row>
    <row r="294" ht="15.75" customHeight="1">
      <c r="E294" s="9"/>
      <c r="J294" s="5"/>
    </row>
    <row r="295" ht="15.75" customHeight="1">
      <c r="E295" s="9"/>
      <c r="J295" s="5"/>
    </row>
    <row r="296" ht="15.75" customHeight="1">
      <c r="E296" s="9"/>
      <c r="J296" s="5"/>
    </row>
    <row r="297" ht="15.75" customHeight="1">
      <c r="E297" s="9"/>
      <c r="J297" s="5"/>
    </row>
    <row r="298" ht="15.75" customHeight="1">
      <c r="E298" s="9"/>
      <c r="J298" s="5"/>
    </row>
    <row r="299" ht="15.75" customHeight="1">
      <c r="E299" s="9"/>
      <c r="J299" s="5"/>
    </row>
    <row r="300" ht="15.75" customHeight="1">
      <c r="E300" s="9"/>
      <c r="J300" s="5"/>
    </row>
    <row r="301" ht="15.75" customHeight="1">
      <c r="E301" s="9"/>
      <c r="J301" s="5"/>
    </row>
    <row r="302" ht="15.75" customHeight="1">
      <c r="E302" s="9"/>
      <c r="J302" s="5"/>
    </row>
    <row r="303" ht="15.75" customHeight="1">
      <c r="E303" s="9"/>
      <c r="J303" s="5"/>
    </row>
    <row r="304" ht="15.75" customHeight="1">
      <c r="E304" s="9"/>
      <c r="J304" s="5"/>
    </row>
    <row r="305" ht="15.75" customHeight="1">
      <c r="E305" s="9"/>
      <c r="J305" s="5"/>
    </row>
    <row r="306" ht="15.75" customHeight="1">
      <c r="E306" s="9"/>
      <c r="J306" s="5"/>
    </row>
    <row r="307" ht="15.75" customHeight="1">
      <c r="E307" s="9"/>
      <c r="J307" s="5"/>
    </row>
    <row r="308" ht="15.75" customHeight="1">
      <c r="E308" s="9"/>
      <c r="J308" s="5"/>
    </row>
    <row r="309" ht="15.75" customHeight="1">
      <c r="E309" s="9"/>
      <c r="J309" s="5"/>
    </row>
    <row r="310" ht="15.75" customHeight="1">
      <c r="E310" s="9"/>
      <c r="J310" s="5"/>
    </row>
    <row r="311" ht="15.75" customHeight="1">
      <c r="E311" s="9"/>
      <c r="J311" s="5"/>
    </row>
    <row r="312" ht="15.75" customHeight="1">
      <c r="E312" s="9"/>
      <c r="J312" s="5"/>
    </row>
    <row r="313" ht="15.75" customHeight="1">
      <c r="E313" s="9"/>
      <c r="J313" s="5"/>
    </row>
    <row r="314" ht="15.75" customHeight="1">
      <c r="E314" s="9"/>
      <c r="J314" s="5"/>
    </row>
    <row r="315" ht="15.75" customHeight="1">
      <c r="E315" s="9"/>
      <c r="J315" s="5"/>
    </row>
    <row r="316" ht="15.75" customHeight="1">
      <c r="E316" s="9"/>
      <c r="J316" s="5"/>
    </row>
    <row r="317" ht="15.75" customHeight="1">
      <c r="E317" s="9"/>
      <c r="J317" s="5"/>
    </row>
    <row r="318" ht="15.75" customHeight="1">
      <c r="E318" s="9"/>
      <c r="J318" s="5"/>
    </row>
    <row r="319" ht="15.75" customHeight="1">
      <c r="E319" s="9"/>
      <c r="J319" s="5"/>
    </row>
    <row r="320" ht="15.75" customHeight="1">
      <c r="E320" s="9"/>
      <c r="J320" s="5"/>
    </row>
    <row r="321" ht="15.75" customHeight="1">
      <c r="E321" s="9"/>
      <c r="J321" s="5"/>
    </row>
    <row r="322" ht="15.75" customHeight="1">
      <c r="E322" s="9"/>
      <c r="J322" s="5"/>
    </row>
    <row r="323" ht="15.75" customHeight="1">
      <c r="E323" s="9"/>
      <c r="J323" s="5"/>
    </row>
    <row r="324" ht="15.75" customHeight="1">
      <c r="E324" s="9"/>
      <c r="J324" s="5"/>
    </row>
    <row r="325" ht="15.75" customHeight="1">
      <c r="E325" s="9"/>
      <c r="J325" s="5"/>
    </row>
    <row r="326" ht="15.75" customHeight="1">
      <c r="E326" s="9"/>
      <c r="J326" s="5"/>
    </row>
    <row r="327" ht="15.75" customHeight="1">
      <c r="E327" s="9"/>
      <c r="J327" s="5"/>
    </row>
    <row r="328" ht="15.75" customHeight="1">
      <c r="E328" s="9"/>
      <c r="J328" s="5"/>
    </row>
    <row r="329" ht="15.75" customHeight="1">
      <c r="E329" s="9"/>
      <c r="J329" s="5"/>
    </row>
    <row r="330" ht="15.75" customHeight="1">
      <c r="E330" s="9"/>
      <c r="J330" s="5"/>
    </row>
    <row r="331" ht="15.75" customHeight="1">
      <c r="E331" s="9"/>
      <c r="J331" s="5"/>
    </row>
    <row r="332" ht="15.75" customHeight="1">
      <c r="E332" s="9"/>
      <c r="J332" s="5"/>
    </row>
    <row r="333" ht="15.75" customHeight="1">
      <c r="E333" s="9"/>
      <c r="J333" s="5"/>
    </row>
    <row r="334" ht="15.75" customHeight="1">
      <c r="E334" s="9"/>
      <c r="J334" s="5"/>
    </row>
    <row r="335" ht="15.75" customHeight="1">
      <c r="E335" s="9"/>
      <c r="J335" s="5"/>
    </row>
    <row r="336" ht="15.75" customHeight="1">
      <c r="E336" s="9"/>
      <c r="J336" s="5"/>
    </row>
    <row r="337" ht="15.75" customHeight="1">
      <c r="E337" s="9"/>
      <c r="J337" s="5"/>
    </row>
    <row r="338" ht="15.75" customHeight="1">
      <c r="E338" s="9"/>
      <c r="J338" s="5"/>
    </row>
    <row r="339" ht="15.75" customHeight="1">
      <c r="E339" s="9"/>
      <c r="J339" s="5"/>
    </row>
    <row r="340" ht="15.75" customHeight="1">
      <c r="E340" s="9"/>
      <c r="J340" s="5"/>
    </row>
    <row r="341" ht="15.75" customHeight="1">
      <c r="E341" s="9"/>
      <c r="J341" s="5"/>
    </row>
    <row r="342" ht="15.75" customHeight="1">
      <c r="E342" s="9"/>
      <c r="J342" s="5"/>
    </row>
    <row r="343" ht="15.75" customHeight="1">
      <c r="E343" s="9"/>
      <c r="J343" s="5"/>
    </row>
    <row r="344" ht="15.75" customHeight="1">
      <c r="E344" s="9"/>
      <c r="J344" s="5"/>
    </row>
    <row r="345" ht="15.75" customHeight="1">
      <c r="E345" s="9"/>
      <c r="J345" s="5"/>
    </row>
    <row r="346" ht="15.75" customHeight="1">
      <c r="E346" s="9"/>
      <c r="J346" s="5"/>
    </row>
    <row r="347" ht="15.75" customHeight="1">
      <c r="E347" s="9"/>
      <c r="J347" s="5"/>
    </row>
    <row r="348" ht="15.75" customHeight="1">
      <c r="E348" s="9"/>
      <c r="J348" s="5"/>
    </row>
    <row r="349" ht="15.75" customHeight="1">
      <c r="E349" s="9"/>
      <c r="J349" s="5"/>
    </row>
    <row r="350" ht="15.75" customHeight="1">
      <c r="E350" s="9"/>
      <c r="J350" s="5"/>
    </row>
    <row r="351" ht="15.75" customHeight="1">
      <c r="E351" s="9"/>
      <c r="J351" s="5"/>
    </row>
    <row r="352" ht="15.75" customHeight="1">
      <c r="E352" s="9"/>
      <c r="J352" s="5"/>
    </row>
    <row r="353" ht="15.75" customHeight="1">
      <c r="E353" s="9"/>
      <c r="J353" s="5"/>
    </row>
    <row r="354" ht="15.75" customHeight="1">
      <c r="E354" s="9"/>
      <c r="J354" s="5"/>
    </row>
    <row r="355" ht="15.75" customHeight="1">
      <c r="E355" s="9"/>
      <c r="J355" s="5"/>
    </row>
    <row r="356" ht="15.75" customHeight="1">
      <c r="E356" s="9"/>
      <c r="J356" s="5"/>
    </row>
    <row r="357" ht="15.75" customHeight="1">
      <c r="E357" s="9"/>
      <c r="J357" s="5"/>
    </row>
    <row r="358" ht="15.75" customHeight="1">
      <c r="E358" s="9"/>
      <c r="J358" s="5"/>
    </row>
    <row r="359" ht="15.75" customHeight="1">
      <c r="E359" s="9"/>
      <c r="J359" s="5"/>
    </row>
    <row r="360" ht="15.75" customHeight="1">
      <c r="E360" s="9"/>
      <c r="J360" s="5"/>
    </row>
    <row r="361" ht="15.75" customHeight="1">
      <c r="E361" s="9"/>
      <c r="J361" s="5"/>
    </row>
    <row r="362" ht="15.75" customHeight="1">
      <c r="E362" s="9"/>
      <c r="J362" s="5"/>
    </row>
    <row r="363" ht="15.75" customHeight="1">
      <c r="E363" s="9"/>
      <c r="J363" s="5"/>
    </row>
    <row r="364" ht="15.75" customHeight="1">
      <c r="E364" s="9"/>
      <c r="J364" s="5"/>
    </row>
    <row r="365" ht="15.75" customHeight="1">
      <c r="E365" s="9"/>
      <c r="J365" s="5"/>
    </row>
    <row r="366" ht="15.75" customHeight="1">
      <c r="E366" s="9"/>
      <c r="J366" s="5"/>
    </row>
    <row r="367" ht="15.75" customHeight="1">
      <c r="E367" s="9"/>
      <c r="J367" s="5"/>
    </row>
    <row r="368" ht="15.75" customHeight="1">
      <c r="E368" s="9"/>
      <c r="J368" s="5"/>
    </row>
    <row r="369" ht="15.75" customHeight="1">
      <c r="E369" s="9"/>
      <c r="J369" s="5"/>
    </row>
    <row r="370" ht="15.75" customHeight="1">
      <c r="E370" s="9"/>
      <c r="J370" s="5"/>
    </row>
    <row r="371" ht="15.75" customHeight="1">
      <c r="E371" s="9"/>
      <c r="J371" s="5"/>
    </row>
    <row r="372" ht="15.75" customHeight="1">
      <c r="E372" s="9"/>
      <c r="J372" s="5"/>
    </row>
    <row r="373" ht="15.75" customHeight="1">
      <c r="E373" s="9"/>
      <c r="J373" s="5"/>
    </row>
    <row r="374" ht="15.75" customHeight="1">
      <c r="E374" s="9"/>
      <c r="J374" s="5"/>
    </row>
    <row r="375" ht="15.75" customHeight="1">
      <c r="E375" s="9"/>
      <c r="J375" s="5"/>
    </row>
    <row r="376" ht="15.75" customHeight="1">
      <c r="E376" s="9"/>
      <c r="J376" s="5"/>
    </row>
    <row r="377" ht="15.75" customHeight="1">
      <c r="E377" s="9"/>
      <c r="J377" s="5"/>
    </row>
    <row r="378" ht="15.75" customHeight="1">
      <c r="E378" s="9"/>
      <c r="J378" s="5"/>
    </row>
    <row r="379" ht="15.75" customHeight="1">
      <c r="E379" s="9"/>
      <c r="J379" s="5"/>
    </row>
    <row r="380" ht="15.75" customHeight="1">
      <c r="E380" s="9"/>
      <c r="J380" s="5"/>
    </row>
    <row r="381" ht="15.75" customHeight="1">
      <c r="E381" s="9"/>
      <c r="J381" s="5"/>
    </row>
    <row r="382" ht="15.75" customHeight="1">
      <c r="E382" s="9"/>
      <c r="J382" s="5"/>
    </row>
    <row r="383" ht="15.75" customHeight="1">
      <c r="E383" s="9"/>
      <c r="J383" s="5"/>
    </row>
    <row r="384" ht="15.75" customHeight="1">
      <c r="E384" s="9"/>
      <c r="J384" s="5"/>
    </row>
    <row r="385" ht="15.75" customHeight="1">
      <c r="E385" s="9"/>
      <c r="J385" s="5"/>
    </row>
    <row r="386" ht="15.75" customHeight="1">
      <c r="E386" s="9"/>
      <c r="J386" s="5"/>
    </row>
    <row r="387" ht="15.75" customHeight="1">
      <c r="E387" s="9"/>
      <c r="J387" s="5"/>
    </row>
    <row r="388" ht="15.75" customHeight="1">
      <c r="E388" s="9"/>
      <c r="J388" s="5"/>
    </row>
    <row r="389" ht="15.75" customHeight="1">
      <c r="E389" s="9"/>
      <c r="J389" s="5"/>
    </row>
    <row r="390" ht="15.75" customHeight="1">
      <c r="E390" s="9"/>
      <c r="J390" s="5"/>
    </row>
    <row r="391" ht="15.75" customHeight="1">
      <c r="E391" s="9"/>
      <c r="J391" s="5"/>
    </row>
    <row r="392" ht="15.75" customHeight="1">
      <c r="E392" s="9"/>
      <c r="J392" s="5"/>
    </row>
    <row r="393" ht="15.75" customHeight="1">
      <c r="E393" s="9"/>
      <c r="J393" s="5"/>
    </row>
    <row r="394" ht="15.75" customHeight="1">
      <c r="E394" s="9"/>
      <c r="J394" s="5"/>
    </row>
    <row r="395" ht="15.75" customHeight="1">
      <c r="E395" s="9"/>
      <c r="J395" s="5"/>
    </row>
    <row r="396" ht="15.75" customHeight="1">
      <c r="E396" s="9"/>
      <c r="J396" s="5"/>
    </row>
    <row r="397" ht="15.75" customHeight="1">
      <c r="E397" s="9"/>
      <c r="J397" s="5"/>
    </row>
    <row r="398" ht="15.75" customHeight="1">
      <c r="E398" s="9"/>
      <c r="J398" s="5"/>
    </row>
    <row r="399" ht="15.75" customHeight="1">
      <c r="E399" s="9"/>
      <c r="J399" s="5"/>
    </row>
    <row r="400" ht="15.75" customHeight="1">
      <c r="E400" s="9"/>
      <c r="J400" s="5"/>
    </row>
    <row r="401" ht="15.75" customHeight="1">
      <c r="E401" s="9"/>
      <c r="J401" s="5"/>
    </row>
    <row r="402" ht="15.75" customHeight="1">
      <c r="E402" s="9"/>
      <c r="J402" s="5"/>
    </row>
    <row r="403" ht="15.75" customHeight="1">
      <c r="E403" s="9"/>
      <c r="J403" s="5"/>
    </row>
    <row r="404" ht="15.75" customHeight="1">
      <c r="E404" s="9"/>
      <c r="J404" s="5"/>
    </row>
    <row r="405" ht="15.75" customHeight="1">
      <c r="E405" s="9"/>
      <c r="J405" s="5"/>
    </row>
    <row r="406" ht="15.75" customHeight="1">
      <c r="E406" s="9"/>
      <c r="J406" s="5"/>
    </row>
    <row r="407" ht="15.75" customHeight="1">
      <c r="E407" s="9"/>
      <c r="J407" s="5"/>
    </row>
    <row r="408" ht="15.75" customHeight="1">
      <c r="E408" s="9"/>
      <c r="J408" s="5"/>
    </row>
    <row r="409" ht="15.75" customHeight="1">
      <c r="E409" s="9"/>
      <c r="J409" s="5"/>
    </row>
    <row r="410" ht="15.75" customHeight="1">
      <c r="E410" s="9"/>
      <c r="J410" s="5"/>
    </row>
    <row r="411" ht="15.75" customHeight="1">
      <c r="E411" s="9"/>
      <c r="J411" s="5"/>
    </row>
    <row r="412" ht="15.75" customHeight="1">
      <c r="E412" s="9"/>
      <c r="J412" s="5"/>
    </row>
    <row r="413" ht="15.75" customHeight="1">
      <c r="E413" s="9"/>
      <c r="J413" s="5"/>
    </row>
    <row r="414" ht="15.75" customHeight="1">
      <c r="E414" s="9"/>
      <c r="J414" s="5"/>
    </row>
    <row r="415" ht="15.75" customHeight="1">
      <c r="E415" s="9"/>
      <c r="J415" s="5"/>
    </row>
    <row r="416" ht="15.75" customHeight="1">
      <c r="E416" s="9"/>
      <c r="J416" s="5"/>
    </row>
    <row r="417" ht="15.75" customHeight="1">
      <c r="E417" s="9"/>
      <c r="J417" s="5"/>
    </row>
    <row r="418" ht="15.75" customHeight="1">
      <c r="E418" s="9"/>
      <c r="J418" s="5"/>
    </row>
    <row r="419" ht="15.75" customHeight="1">
      <c r="E419" s="9"/>
      <c r="J419" s="5"/>
    </row>
    <row r="420" ht="15.75" customHeight="1">
      <c r="E420" s="9"/>
      <c r="J420" s="5"/>
    </row>
    <row r="421" ht="15.75" customHeight="1">
      <c r="E421" s="9"/>
      <c r="J421" s="5"/>
    </row>
    <row r="422" ht="15.75" customHeight="1">
      <c r="E422" s="9"/>
      <c r="J422" s="5"/>
    </row>
    <row r="423" ht="15.75" customHeight="1">
      <c r="E423" s="9"/>
      <c r="J423" s="5"/>
    </row>
    <row r="424" ht="15.75" customHeight="1">
      <c r="E424" s="9"/>
      <c r="J424" s="5"/>
    </row>
    <row r="425" ht="15.75" customHeight="1">
      <c r="E425" s="9"/>
      <c r="J425" s="5"/>
    </row>
    <row r="426" ht="15.75" customHeight="1">
      <c r="E426" s="9"/>
      <c r="J426" s="5"/>
    </row>
    <row r="427" ht="15.75" customHeight="1">
      <c r="E427" s="9"/>
      <c r="J427" s="5"/>
    </row>
    <row r="428" ht="15.75" customHeight="1">
      <c r="E428" s="9"/>
      <c r="J428" s="5"/>
    </row>
    <row r="429" ht="15.75" customHeight="1">
      <c r="E429" s="9"/>
      <c r="J429" s="5"/>
    </row>
    <row r="430" ht="15.75" customHeight="1">
      <c r="E430" s="9"/>
      <c r="J430" s="5"/>
    </row>
    <row r="431" ht="15.75" customHeight="1">
      <c r="E431" s="9"/>
      <c r="J431" s="5"/>
    </row>
    <row r="432" ht="15.75" customHeight="1">
      <c r="E432" s="9"/>
      <c r="J432" s="5"/>
    </row>
    <row r="433" ht="15.75" customHeight="1">
      <c r="E433" s="9"/>
      <c r="J433" s="5"/>
    </row>
    <row r="434" ht="15.75" customHeight="1">
      <c r="E434" s="9"/>
      <c r="J434" s="5"/>
    </row>
    <row r="435" ht="15.75" customHeight="1">
      <c r="E435" s="9"/>
      <c r="J435" s="5"/>
    </row>
    <row r="436" ht="15.75" customHeight="1">
      <c r="E436" s="9"/>
      <c r="J436" s="5"/>
    </row>
    <row r="437" ht="15.75" customHeight="1">
      <c r="E437" s="9"/>
      <c r="J437" s="5"/>
    </row>
    <row r="438" ht="15.75" customHeight="1">
      <c r="E438" s="9"/>
      <c r="J438" s="5"/>
    </row>
    <row r="439" ht="15.75" customHeight="1">
      <c r="E439" s="9"/>
      <c r="J439" s="5"/>
    </row>
    <row r="440" ht="15.75" customHeight="1">
      <c r="E440" s="9"/>
      <c r="J440" s="5"/>
    </row>
    <row r="441" ht="15.75" customHeight="1">
      <c r="E441" s="9"/>
      <c r="J441" s="5"/>
    </row>
    <row r="442" ht="15.75" customHeight="1">
      <c r="E442" s="9"/>
      <c r="J442" s="5"/>
    </row>
    <row r="443" ht="15.75" customHeight="1">
      <c r="E443" s="9"/>
      <c r="J443" s="5"/>
    </row>
    <row r="444" ht="15.75" customHeight="1">
      <c r="E444" s="9"/>
      <c r="J444" s="5"/>
    </row>
    <row r="445" ht="15.75" customHeight="1">
      <c r="E445" s="9"/>
      <c r="J445" s="5"/>
    </row>
    <row r="446" ht="15.75" customHeight="1">
      <c r="E446" s="9"/>
      <c r="J446" s="5"/>
    </row>
    <row r="447" ht="15.75" customHeight="1">
      <c r="E447" s="9"/>
      <c r="J447" s="5"/>
    </row>
    <row r="448" ht="15.75" customHeight="1">
      <c r="E448" s="9"/>
      <c r="J448" s="5"/>
    </row>
    <row r="449" ht="15.75" customHeight="1">
      <c r="E449" s="9"/>
      <c r="J449" s="5"/>
    </row>
    <row r="450" ht="15.75" customHeight="1">
      <c r="E450" s="9"/>
      <c r="J450" s="5"/>
    </row>
    <row r="451" ht="15.75" customHeight="1">
      <c r="E451" s="9"/>
      <c r="J451" s="5"/>
    </row>
    <row r="452" ht="15.75" customHeight="1">
      <c r="E452" s="9"/>
      <c r="J452" s="5"/>
    </row>
    <row r="453" ht="15.75" customHeight="1">
      <c r="E453" s="9"/>
      <c r="J453" s="5"/>
    </row>
    <row r="454" ht="15.75" customHeight="1">
      <c r="E454" s="9"/>
      <c r="J454" s="5"/>
    </row>
    <row r="455" ht="15.75" customHeight="1">
      <c r="E455" s="9"/>
      <c r="J455" s="5"/>
    </row>
    <row r="456" ht="15.75" customHeight="1">
      <c r="E456" s="9"/>
      <c r="J456" s="5"/>
    </row>
    <row r="457" ht="15.75" customHeight="1">
      <c r="E457" s="9"/>
      <c r="J457" s="5"/>
    </row>
    <row r="458" ht="15.75" customHeight="1">
      <c r="E458" s="9"/>
      <c r="J458" s="5"/>
    </row>
    <row r="459" ht="15.75" customHeight="1">
      <c r="E459" s="9"/>
      <c r="J459" s="5"/>
    </row>
    <row r="460" ht="15.75" customHeight="1">
      <c r="E460" s="9"/>
      <c r="J460" s="5"/>
    </row>
    <row r="461" ht="15.75" customHeight="1">
      <c r="E461" s="9"/>
      <c r="J461" s="5"/>
    </row>
    <row r="462" ht="15.75" customHeight="1">
      <c r="E462" s="9"/>
      <c r="J462" s="5"/>
    </row>
    <row r="463" ht="15.75" customHeight="1">
      <c r="E463" s="9"/>
      <c r="J463" s="5"/>
    </row>
    <row r="464" ht="15.75" customHeight="1">
      <c r="E464" s="9"/>
      <c r="J464" s="5"/>
    </row>
    <row r="465" ht="15.75" customHeight="1">
      <c r="E465" s="9"/>
      <c r="J465" s="5"/>
    </row>
    <row r="466" ht="15.75" customHeight="1">
      <c r="E466" s="9"/>
      <c r="J466" s="5"/>
    </row>
    <row r="467" ht="15.75" customHeight="1">
      <c r="E467" s="9"/>
      <c r="J467" s="5"/>
    </row>
    <row r="468" ht="15.75" customHeight="1">
      <c r="E468" s="9"/>
      <c r="J468" s="5"/>
    </row>
    <row r="469" ht="15.75" customHeight="1">
      <c r="E469" s="9"/>
      <c r="J469" s="5"/>
    </row>
    <row r="470" ht="15.75" customHeight="1">
      <c r="E470" s="9"/>
      <c r="J470" s="5"/>
    </row>
    <row r="471" ht="15.75" customHeight="1">
      <c r="E471" s="9"/>
      <c r="J471" s="5"/>
    </row>
    <row r="472" ht="15.75" customHeight="1">
      <c r="E472" s="9"/>
      <c r="J472" s="5"/>
    </row>
    <row r="473" ht="15.75" customHeight="1">
      <c r="E473" s="9"/>
      <c r="J473" s="5"/>
    </row>
    <row r="474" ht="15.75" customHeight="1">
      <c r="E474" s="9"/>
      <c r="J474" s="5"/>
    </row>
    <row r="475" ht="15.75" customHeight="1">
      <c r="E475" s="9"/>
      <c r="J475" s="5"/>
    </row>
    <row r="476" ht="15.75" customHeight="1">
      <c r="E476" s="9"/>
      <c r="J476" s="5"/>
    </row>
    <row r="477" ht="15.75" customHeight="1">
      <c r="E477" s="9"/>
      <c r="J477" s="5"/>
    </row>
    <row r="478" ht="15.75" customHeight="1">
      <c r="E478" s="9"/>
      <c r="J478" s="5"/>
    </row>
    <row r="479" ht="15.75" customHeight="1">
      <c r="E479" s="9"/>
      <c r="J479" s="5"/>
    </row>
    <row r="480" ht="15.75" customHeight="1">
      <c r="E480" s="9"/>
      <c r="J480" s="5"/>
    </row>
    <row r="481" ht="15.75" customHeight="1">
      <c r="E481" s="9"/>
      <c r="J481" s="5"/>
    </row>
    <row r="482" ht="15.75" customHeight="1">
      <c r="E482" s="9"/>
      <c r="J482" s="5"/>
    </row>
    <row r="483" ht="15.75" customHeight="1">
      <c r="E483" s="9"/>
      <c r="J483" s="5"/>
    </row>
    <row r="484" ht="15.75" customHeight="1">
      <c r="E484" s="9"/>
      <c r="J484" s="5"/>
    </row>
    <row r="485" ht="15.75" customHeight="1">
      <c r="E485" s="9"/>
      <c r="J485" s="5"/>
    </row>
    <row r="486" ht="15.75" customHeight="1">
      <c r="E486" s="9"/>
      <c r="J486" s="5"/>
    </row>
    <row r="487" ht="15.75" customHeight="1">
      <c r="E487" s="9"/>
      <c r="J487" s="5"/>
    </row>
    <row r="488" ht="15.75" customHeight="1">
      <c r="E488" s="9"/>
      <c r="J488" s="5"/>
    </row>
    <row r="489" ht="15.75" customHeight="1">
      <c r="E489" s="9"/>
      <c r="J489" s="5"/>
    </row>
    <row r="490" ht="15.75" customHeight="1">
      <c r="E490" s="9"/>
      <c r="J490" s="5"/>
    </row>
    <row r="491" ht="15.75" customHeight="1">
      <c r="E491" s="9"/>
      <c r="J491" s="5"/>
    </row>
    <row r="492" ht="15.75" customHeight="1">
      <c r="E492" s="9"/>
      <c r="J492" s="5"/>
    </row>
    <row r="493" ht="15.75" customHeight="1">
      <c r="E493" s="9"/>
      <c r="J493" s="5"/>
    </row>
    <row r="494" ht="15.75" customHeight="1">
      <c r="E494" s="9"/>
      <c r="J494" s="5"/>
    </row>
    <row r="495" ht="15.75" customHeight="1">
      <c r="E495" s="9"/>
      <c r="J495" s="5"/>
    </row>
    <row r="496" ht="15.75" customHeight="1">
      <c r="E496" s="9"/>
      <c r="J496" s="5"/>
    </row>
    <row r="497" ht="15.75" customHeight="1">
      <c r="E497" s="9"/>
      <c r="J497" s="5"/>
    </row>
    <row r="498" ht="15.75" customHeight="1">
      <c r="E498" s="9"/>
      <c r="J498" s="5"/>
    </row>
    <row r="499" ht="15.75" customHeight="1">
      <c r="E499" s="9"/>
      <c r="J499" s="5"/>
    </row>
    <row r="500" ht="15.75" customHeight="1">
      <c r="E500" s="9"/>
      <c r="J500" s="5"/>
    </row>
    <row r="501" ht="15.75" customHeight="1">
      <c r="E501" s="9"/>
      <c r="J501" s="5"/>
    </row>
    <row r="502" ht="15.75" customHeight="1">
      <c r="E502" s="9"/>
      <c r="J502" s="5"/>
    </row>
    <row r="503" ht="15.75" customHeight="1">
      <c r="E503" s="9"/>
      <c r="J503" s="5"/>
    </row>
    <row r="504" ht="15.75" customHeight="1">
      <c r="E504" s="9"/>
      <c r="J504" s="5"/>
    </row>
    <row r="505" ht="15.75" customHeight="1">
      <c r="E505" s="9"/>
      <c r="J505" s="5"/>
    </row>
    <row r="506" ht="15.75" customHeight="1">
      <c r="E506" s="9"/>
      <c r="J506" s="5"/>
    </row>
    <row r="507" ht="15.75" customHeight="1">
      <c r="E507" s="9"/>
      <c r="J507" s="5"/>
    </row>
    <row r="508" ht="15.75" customHeight="1">
      <c r="E508" s="9"/>
      <c r="J508" s="5"/>
    </row>
    <row r="509" ht="15.75" customHeight="1">
      <c r="E509" s="9"/>
      <c r="J509" s="5"/>
    </row>
    <row r="510" ht="15.75" customHeight="1">
      <c r="E510" s="9"/>
      <c r="J510" s="5"/>
    </row>
    <row r="511" ht="15.75" customHeight="1">
      <c r="E511" s="9"/>
      <c r="J511" s="5"/>
    </row>
    <row r="512" ht="15.75" customHeight="1">
      <c r="E512" s="9"/>
      <c r="J512" s="5"/>
    </row>
    <row r="513" ht="15.75" customHeight="1">
      <c r="E513" s="9"/>
      <c r="J513" s="5"/>
    </row>
    <row r="514" ht="15.75" customHeight="1">
      <c r="E514" s="9"/>
      <c r="J514" s="5"/>
    </row>
    <row r="515" ht="15.75" customHeight="1">
      <c r="E515" s="9"/>
      <c r="J515" s="5"/>
    </row>
    <row r="516" ht="15.75" customHeight="1">
      <c r="E516" s="9"/>
      <c r="J516" s="5"/>
    </row>
    <row r="517" ht="15.75" customHeight="1">
      <c r="E517" s="9"/>
      <c r="J517" s="5"/>
    </row>
    <row r="518" ht="15.75" customHeight="1">
      <c r="E518" s="9"/>
      <c r="J518" s="5"/>
    </row>
    <row r="519" ht="15.75" customHeight="1">
      <c r="E519" s="9"/>
      <c r="J519" s="5"/>
    </row>
    <row r="520" ht="15.75" customHeight="1">
      <c r="E520" s="9"/>
      <c r="J520" s="5"/>
    </row>
    <row r="521" ht="15.75" customHeight="1">
      <c r="E521" s="9"/>
      <c r="J521" s="5"/>
    </row>
    <row r="522" ht="15.75" customHeight="1">
      <c r="E522" s="9"/>
      <c r="J522" s="5"/>
    </row>
    <row r="523" ht="15.75" customHeight="1">
      <c r="E523" s="9"/>
      <c r="J523" s="5"/>
    </row>
    <row r="524" ht="15.75" customHeight="1">
      <c r="E524" s="9"/>
      <c r="J524" s="5"/>
    </row>
    <row r="525" ht="15.75" customHeight="1">
      <c r="E525" s="9"/>
      <c r="J525" s="5"/>
    </row>
    <row r="526" ht="15.75" customHeight="1">
      <c r="E526" s="9"/>
      <c r="J526" s="5"/>
    </row>
    <row r="527" ht="15.75" customHeight="1">
      <c r="E527" s="9"/>
      <c r="J527" s="5"/>
    </row>
    <row r="528" ht="15.75" customHeight="1">
      <c r="E528" s="9"/>
      <c r="J528" s="5"/>
    </row>
    <row r="529" ht="15.75" customHeight="1">
      <c r="E529" s="9"/>
      <c r="J529" s="5"/>
    </row>
    <row r="530" ht="15.75" customHeight="1">
      <c r="E530" s="9"/>
      <c r="J530" s="5"/>
    </row>
    <row r="531" ht="15.75" customHeight="1">
      <c r="E531" s="9"/>
      <c r="J531" s="5"/>
    </row>
    <row r="532" ht="15.75" customHeight="1">
      <c r="E532" s="9"/>
      <c r="J532" s="5"/>
    </row>
    <row r="533" ht="15.75" customHeight="1">
      <c r="E533" s="9"/>
      <c r="J533" s="5"/>
    </row>
    <row r="534" ht="15.75" customHeight="1">
      <c r="E534" s="9"/>
      <c r="J534" s="5"/>
    </row>
    <row r="535" ht="15.75" customHeight="1">
      <c r="E535" s="9"/>
      <c r="J535" s="5"/>
    </row>
    <row r="536" ht="15.75" customHeight="1">
      <c r="E536" s="9"/>
      <c r="J536" s="5"/>
    </row>
    <row r="537" ht="15.75" customHeight="1">
      <c r="E537" s="9"/>
      <c r="J537" s="5"/>
    </row>
    <row r="538" ht="15.75" customHeight="1">
      <c r="E538" s="9"/>
      <c r="J538" s="5"/>
    </row>
    <row r="539" ht="15.75" customHeight="1">
      <c r="E539" s="9"/>
      <c r="J539" s="5"/>
    </row>
    <row r="540" ht="15.75" customHeight="1">
      <c r="E540" s="9"/>
      <c r="J540" s="5"/>
    </row>
    <row r="541" ht="15.75" customHeight="1">
      <c r="E541" s="9"/>
      <c r="J541" s="5"/>
    </row>
    <row r="542" ht="15.75" customHeight="1">
      <c r="E542" s="9"/>
      <c r="J542" s="5"/>
    </row>
    <row r="543" ht="15.75" customHeight="1">
      <c r="E543" s="9"/>
      <c r="J543" s="5"/>
    </row>
    <row r="544" ht="15.75" customHeight="1">
      <c r="E544" s="9"/>
      <c r="J544" s="5"/>
    </row>
    <row r="545" ht="15.75" customHeight="1">
      <c r="E545" s="9"/>
      <c r="J545" s="5"/>
    </row>
    <row r="546" ht="15.75" customHeight="1">
      <c r="E546" s="9"/>
      <c r="J546" s="5"/>
    </row>
    <row r="547" ht="15.75" customHeight="1">
      <c r="E547" s="9"/>
      <c r="J547" s="5"/>
    </row>
    <row r="548" ht="15.75" customHeight="1">
      <c r="E548" s="9"/>
      <c r="J548" s="5"/>
    </row>
    <row r="549" ht="15.75" customHeight="1">
      <c r="E549" s="9"/>
      <c r="J549" s="5"/>
    </row>
    <row r="550" ht="15.75" customHeight="1">
      <c r="E550" s="9"/>
      <c r="J550" s="5"/>
    </row>
    <row r="551" ht="15.75" customHeight="1">
      <c r="E551" s="9"/>
      <c r="J551" s="5"/>
    </row>
    <row r="552" ht="15.75" customHeight="1">
      <c r="E552" s="9"/>
      <c r="J552" s="5"/>
    </row>
    <row r="553" ht="15.75" customHeight="1">
      <c r="E553" s="9"/>
      <c r="J553" s="5"/>
    </row>
    <row r="554" ht="15.75" customHeight="1">
      <c r="E554" s="9"/>
      <c r="J554" s="5"/>
    </row>
    <row r="555" ht="15.75" customHeight="1">
      <c r="E555" s="9"/>
      <c r="J555" s="5"/>
    </row>
    <row r="556" ht="15.75" customHeight="1">
      <c r="E556" s="9"/>
      <c r="J556" s="5"/>
    </row>
    <row r="557" ht="15.75" customHeight="1">
      <c r="E557" s="9"/>
      <c r="J557" s="5"/>
    </row>
    <row r="558" ht="15.75" customHeight="1">
      <c r="E558" s="9"/>
      <c r="J558" s="5"/>
    </row>
    <row r="559" ht="15.75" customHeight="1">
      <c r="E559" s="9"/>
      <c r="J559" s="5"/>
    </row>
    <row r="560" ht="15.75" customHeight="1">
      <c r="E560" s="9"/>
      <c r="J560" s="5"/>
    </row>
    <row r="561" ht="15.75" customHeight="1">
      <c r="E561" s="9"/>
      <c r="J561" s="5"/>
    </row>
    <row r="562" ht="15.75" customHeight="1">
      <c r="E562" s="9"/>
      <c r="J562" s="5"/>
    </row>
    <row r="563" ht="15.75" customHeight="1">
      <c r="E563" s="9"/>
      <c r="J563" s="5"/>
    </row>
    <row r="564" ht="15.75" customHeight="1">
      <c r="E564" s="9"/>
      <c r="J564" s="5"/>
    </row>
    <row r="565" ht="15.75" customHeight="1">
      <c r="E565" s="9"/>
      <c r="J565" s="5"/>
    </row>
    <row r="566" ht="15.75" customHeight="1">
      <c r="E566" s="9"/>
      <c r="J566" s="5"/>
    </row>
    <row r="567" ht="15.75" customHeight="1">
      <c r="E567" s="9"/>
      <c r="J567" s="5"/>
    </row>
    <row r="568" ht="15.75" customHeight="1">
      <c r="E568" s="9"/>
      <c r="J568" s="5"/>
    </row>
    <row r="569" ht="15.75" customHeight="1">
      <c r="E569" s="9"/>
      <c r="J569" s="5"/>
    </row>
    <row r="570" ht="15.75" customHeight="1">
      <c r="E570" s="9"/>
      <c r="J570" s="5"/>
    </row>
    <row r="571" ht="15.75" customHeight="1">
      <c r="E571" s="9"/>
      <c r="J571" s="5"/>
    </row>
    <row r="572" ht="15.75" customHeight="1">
      <c r="E572" s="9"/>
      <c r="J572" s="5"/>
    </row>
    <row r="573" ht="15.75" customHeight="1">
      <c r="E573" s="9"/>
      <c r="J573" s="5"/>
    </row>
    <row r="574" ht="15.75" customHeight="1">
      <c r="E574" s="9"/>
      <c r="J574" s="5"/>
    </row>
    <row r="575" ht="15.75" customHeight="1">
      <c r="E575" s="9"/>
      <c r="J575" s="5"/>
    </row>
    <row r="576" ht="15.75" customHeight="1">
      <c r="E576" s="9"/>
      <c r="J576" s="5"/>
    </row>
    <row r="577" ht="15.75" customHeight="1">
      <c r="E577" s="9"/>
      <c r="J577" s="5"/>
    </row>
    <row r="578" ht="15.75" customHeight="1">
      <c r="E578" s="9"/>
      <c r="J578" s="5"/>
    </row>
    <row r="579" ht="15.75" customHeight="1">
      <c r="E579" s="9"/>
      <c r="J579" s="5"/>
    </row>
    <row r="580" ht="15.75" customHeight="1">
      <c r="E580" s="9"/>
      <c r="J580" s="5"/>
    </row>
    <row r="581" ht="15.75" customHeight="1">
      <c r="E581" s="9"/>
      <c r="J581" s="5"/>
    </row>
    <row r="582" ht="15.75" customHeight="1">
      <c r="E582" s="9"/>
      <c r="J582" s="5"/>
    </row>
    <row r="583" ht="15.75" customHeight="1">
      <c r="E583" s="9"/>
      <c r="J583" s="5"/>
    </row>
    <row r="584" ht="15.75" customHeight="1">
      <c r="E584" s="9"/>
      <c r="J584" s="5"/>
    </row>
    <row r="585" ht="15.75" customHeight="1">
      <c r="E585" s="9"/>
      <c r="J585" s="5"/>
    </row>
    <row r="586" ht="15.75" customHeight="1">
      <c r="E586" s="9"/>
      <c r="J586" s="5"/>
    </row>
    <row r="587" ht="15.75" customHeight="1">
      <c r="E587" s="9"/>
      <c r="J587" s="5"/>
    </row>
    <row r="588" ht="15.75" customHeight="1">
      <c r="E588" s="9"/>
      <c r="J588" s="5"/>
    </row>
    <row r="589" ht="15.75" customHeight="1">
      <c r="E589" s="9"/>
      <c r="J589" s="5"/>
    </row>
    <row r="590" ht="15.75" customHeight="1">
      <c r="E590" s="9"/>
      <c r="J590" s="5"/>
    </row>
    <row r="591" ht="15.75" customHeight="1">
      <c r="E591" s="9"/>
      <c r="J591" s="5"/>
    </row>
    <row r="592" ht="15.75" customHeight="1">
      <c r="E592" s="9"/>
      <c r="J592" s="5"/>
    </row>
    <row r="593" ht="15.75" customHeight="1">
      <c r="E593" s="9"/>
      <c r="J593" s="5"/>
    </row>
    <row r="594" ht="15.75" customHeight="1">
      <c r="E594" s="9"/>
      <c r="J594" s="5"/>
    </row>
    <row r="595" ht="15.75" customHeight="1">
      <c r="E595" s="9"/>
      <c r="J595" s="5"/>
    </row>
    <row r="596" ht="15.75" customHeight="1">
      <c r="E596" s="9"/>
      <c r="J596" s="5"/>
    </row>
    <row r="597" ht="15.75" customHeight="1">
      <c r="E597" s="9"/>
      <c r="J597" s="5"/>
    </row>
    <row r="598" ht="15.75" customHeight="1">
      <c r="E598" s="9"/>
      <c r="J598" s="5"/>
    </row>
    <row r="599" ht="15.75" customHeight="1">
      <c r="E599" s="9"/>
      <c r="J599" s="5"/>
    </row>
    <row r="600" ht="15.75" customHeight="1">
      <c r="E600" s="9"/>
      <c r="J600" s="5"/>
    </row>
    <row r="601" ht="15.75" customHeight="1">
      <c r="E601" s="9"/>
      <c r="J601" s="5"/>
    </row>
    <row r="602" ht="15.75" customHeight="1">
      <c r="E602" s="9"/>
      <c r="J602" s="5"/>
    </row>
    <row r="603" ht="15.75" customHeight="1">
      <c r="E603" s="9"/>
      <c r="J603" s="5"/>
    </row>
    <row r="604" ht="15.75" customHeight="1">
      <c r="E604" s="9"/>
      <c r="J604" s="5"/>
    </row>
    <row r="605" ht="15.75" customHeight="1">
      <c r="E605" s="9"/>
      <c r="J605" s="5"/>
    </row>
    <row r="606" ht="15.75" customHeight="1">
      <c r="E606" s="9"/>
      <c r="J606" s="5"/>
    </row>
    <row r="607" ht="15.75" customHeight="1">
      <c r="E607" s="9"/>
      <c r="J607" s="5"/>
    </row>
    <row r="608" ht="15.75" customHeight="1">
      <c r="E608" s="9"/>
      <c r="J608" s="5"/>
    </row>
    <row r="609" ht="15.75" customHeight="1">
      <c r="E609" s="9"/>
      <c r="J609" s="5"/>
    </row>
    <row r="610" ht="15.75" customHeight="1">
      <c r="E610" s="9"/>
      <c r="J610" s="5"/>
    </row>
    <row r="611" ht="15.75" customHeight="1">
      <c r="E611" s="9"/>
      <c r="J611" s="5"/>
    </row>
    <row r="612" ht="15.75" customHeight="1">
      <c r="E612" s="9"/>
      <c r="J612" s="5"/>
    </row>
    <row r="613" ht="15.75" customHeight="1">
      <c r="E613" s="9"/>
      <c r="J613" s="5"/>
    </row>
    <row r="614" ht="15.75" customHeight="1">
      <c r="E614" s="9"/>
      <c r="J614" s="5"/>
    </row>
    <row r="615" ht="15.75" customHeight="1">
      <c r="E615" s="9"/>
      <c r="J615" s="5"/>
    </row>
    <row r="616" ht="15.75" customHeight="1">
      <c r="E616" s="9"/>
      <c r="J616" s="5"/>
    </row>
    <row r="617" ht="15.75" customHeight="1">
      <c r="E617" s="9"/>
      <c r="J617" s="5"/>
    </row>
    <row r="618" ht="15.75" customHeight="1">
      <c r="E618" s="9"/>
      <c r="J618" s="5"/>
    </row>
    <row r="619" ht="15.75" customHeight="1">
      <c r="E619" s="9"/>
      <c r="J619" s="5"/>
    </row>
    <row r="620" ht="15.75" customHeight="1">
      <c r="E620" s="9"/>
      <c r="J620" s="5"/>
    </row>
    <row r="621" ht="15.75" customHeight="1">
      <c r="E621" s="9"/>
      <c r="J621" s="5"/>
    </row>
    <row r="622" ht="15.75" customHeight="1">
      <c r="E622" s="9"/>
      <c r="J622" s="5"/>
    </row>
    <row r="623" ht="15.75" customHeight="1">
      <c r="E623" s="9"/>
      <c r="J623" s="5"/>
    </row>
    <row r="624" ht="15.75" customHeight="1">
      <c r="E624" s="9"/>
      <c r="J624" s="5"/>
    </row>
    <row r="625" ht="15.75" customHeight="1">
      <c r="E625" s="9"/>
      <c r="J625" s="5"/>
    </row>
    <row r="626" ht="15.75" customHeight="1">
      <c r="E626" s="9"/>
      <c r="J626" s="5"/>
    </row>
    <row r="627" ht="15.75" customHeight="1">
      <c r="E627" s="9"/>
      <c r="J627" s="5"/>
    </row>
    <row r="628" ht="15.75" customHeight="1">
      <c r="E628" s="9"/>
      <c r="J628" s="5"/>
    </row>
    <row r="629" ht="15.75" customHeight="1">
      <c r="E629" s="9"/>
      <c r="J629" s="5"/>
    </row>
    <row r="630" ht="15.75" customHeight="1">
      <c r="E630" s="9"/>
      <c r="J630" s="5"/>
    </row>
    <row r="631" ht="15.75" customHeight="1">
      <c r="E631" s="9"/>
      <c r="J631" s="5"/>
    </row>
    <row r="632" ht="15.75" customHeight="1">
      <c r="E632" s="9"/>
      <c r="J632" s="5"/>
    </row>
    <row r="633" ht="15.75" customHeight="1">
      <c r="E633" s="9"/>
      <c r="J633" s="5"/>
    </row>
    <row r="634" ht="15.75" customHeight="1">
      <c r="E634" s="9"/>
      <c r="J634" s="5"/>
    </row>
    <row r="635" ht="15.75" customHeight="1">
      <c r="E635" s="9"/>
      <c r="J635" s="5"/>
    </row>
    <row r="636" ht="15.75" customHeight="1">
      <c r="E636" s="9"/>
      <c r="J636" s="5"/>
    </row>
    <row r="637" ht="15.75" customHeight="1">
      <c r="E637" s="9"/>
      <c r="J637" s="5"/>
    </row>
    <row r="638" ht="15.75" customHeight="1">
      <c r="E638" s="9"/>
      <c r="J638" s="5"/>
    </row>
    <row r="639" ht="15.75" customHeight="1">
      <c r="E639" s="9"/>
      <c r="J639" s="5"/>
    </row>
    <row r="640" ht="15.75" customHeight="1">
      <c r="E640" s="9"/>
      <c r="J640" s="5"/>
    </row>
    <row r="641" ht="15.75" customHeight="1">
      <c r="E641" s="9"/>
      <c r="J641" s="5"/>
    </row>
    <row r="642" ht="15.75" customHeight="1">
      <c r="E642" s="9"/>
      <c r="J642" s="5"/>
    </row>
    <row r="643" ht="15.75" customHeight="1">
      <c r="E643" s="9"/>
      <c r="J643" s="5"/>
    </row>
    <row r="644" ht="15.75" customHeight="1">
      <c r="E644" s="9"/>
      <c r="J644" s="5"/>
    </row>
    <row r="645" ht="15.75" customHeight="1">
      <c r="E645" s="9"/>
      <c r="J645" s="5"/>
    </row>
    <row r="646" ht="15.75" customHeight="1">
      <c r="E646" s="9"/>
      <c r="J646" s="5"/>
    </row>
    <row r="647" ht="15.75" customHeight="1">
      <c r="E647" s="9"/>
      <c r="J647" s="5"/>
    </row>
    <row r="648" ht="15.75" customHeight="1">
      <c r="E648" s="9"/>
      <c r="J648" s="5"/>
    </row>
    <row r="649" ht="15.75" customHeight="1">
      <c r="E649" s="9"/>
      <c r="J649" s="5"/>
    </row>
    <row r="650" ht="15.75" customHeight="1">
      <c r="E650" s="9"/>
      <c r="J650" s="5"/>
    </row>
    <row r="651" ht="15.75" customHeight="1">
      <c r="E651" s="9"/>
      <c r="J651" s="5"/>
    </row>
    <row r="652" ht="15.75" customHeight="1">
      <c r="E652" s="9"/>
      <c r="J652" s="5"/>
    </row>
    <row r="653" ht="15.75" customHeight="1">
      <c r="E653" s="9"/>
      <c r="J653" s="5"/>
    </row>
    <row r="654" ht="15.75" customHeight="1">
      <c r="E654" s="9"/>
      <c r="J654" s="5"/>
    </row>
    <row r="655" ht="15.75" customHeight="1">
      <c r="E655" s="9"/>
      <c r="J655" s="5"/>
    </row>
    <row r="656" ht="15.75" customHeight="1">
      <c r="E656" s="9"/>
      <c r="J656" s="5"/>
    </row>
    <row r="657" ht="15.75" customHeight="1">
      <c r="E657" s="9"/>
      <c r="J657" s="5"/>
    </row>
    <row r="658" ht="15.75" customHeight="1">
      <c r="E658" s="9"/>
      <c r="J658" s="5"/>
    </row>
    <row r="659" ht="15.75" customHeight="1">
      <c r="E659" s="9"/>
      <c r="J659" s="5"/>
    </row>
    <row r="660" ht="15.75" customHeight="1">
      <c r="E660" s="9"/>
      <c r="J660" s="5"/>
    </row>
    <row r="661" ht="15.75" customHeight="1">
      <c r="E661" s="9"/>
      <c r="J661" s="5"/>
    </row>
    <row r="662" ht="15.75" customHeight="1">
      <c r="E662" s="9"/>
      <c r="J662" s="5"/>
    </row>
    <row r="663" ht="15.75" customHeight="1">
      <c r="E663" s="9"/>
      <c r="J663" s="5"/>
    </row>
    <row r="664" ht="15.75" customHeight="1">
      <c r="E664" s="9"/>
      <c r="J664" s="5"/>
    </row>
    <row r="665" ht="15.75" customHeight="1">
      <c r="E665" s="9"/>
      <c r="J665" s="5"/>
    </row>
    <row r="666" ht="15.75" customHeight="1">
      <c r="E666" s="9"/>
      <c r="J666" s="5"/>
    </row>
    <row r="667" ht="15.75" customHeight="1">
      <c r="E667" s="9"/>
      <c r="J667" s="5"/>
    </row>
    <row r="668" ht="15.75" customHeight="1">
      <c r="E668" s="9"/>
      <c r="J668" s="5"/>
    </row>
    <row r="669" ht="15.75" customHeight="1">
      <c r="E669" s="9"/>
      <c r="J669" s="5"/>
    </row>
    <row r="670" ht="15.75" customHeight="1">
      <c r="E670" s="9"/>
      <c r="J670" s="5"/>
    </row>
    <row r="671" ht="15.75" customHeight="1">
      <c r="E671" s="9"/>
      <c r="J671" s="5"/>
    </row>
    <row r="672" ht="15.75" customHeight="1">
      <c r="E672" s="9"/>
      <c r="J672" s="5"/>
    </row>
    <row r="673" ht="15.75" customHeight="1">
      <c r="E673" s="9"/>
      <c r="J673" s="5"/>
    </row>
    <row r="674" ht="15.75" customHeight="1">
      <c r="E674" s="9"/>
      <c r="J674" s="5"/>
    </row>
    <row r="675" ht="15.75" customHeight="1">
      <c r="E675" s="9"/>
      <c r="J675" s="5"/>
    </row>
    <row r="676" ht="15.75" customHeight="1">
      <c r="E676" s="9"/>
      <c r="J676" s="5"/>
    </row>
    <row r="677" ht="15.75" customHeight="1">
      <c r="E677" s="9"/>
      <c r="J677" s="5"/>
    </row>
    <row r="678" ht="15.75" customHeight="1">
      <c r="E678" s="9"/>
      <c r="J678" s="5"/>
    </row>
    <row r="679" ht="15.75" customHeight="1">
      <c r="E679" s="9"/>
      <c r="J679" s="5"/>
    </row>
    <row r="680" ht="15.75" customHeight="1">
      <c r="E680" s="9"/>
      <c r="J680" s="5"/>
    </row>
    <row r="681" ht="15.75" customHeight="1">
      <c r="E681" s="9"/>
      <c r="J681" s="5"/>
    </row>
    <row r="682" ht="15.75" customHeight="1">
      <c r="E682" s="9"/>
      <c r="J682" s="5"/>
    </row>
    <row r="683" ht="15.75" customHeight="1">
      <c r="E683" s="9"/>
      <c r="J683" s="5"/>
    </row>
    <row r="684" ht="15.75" customHeight="1">
      <c r="E684" s="9"/>
      <c r="J684" s="5"/>
    </row>
    <row r="685" ht="15.75" customHeight="1">
      <c r="E685" s="9"/>
      <c r="J685" s="5"/>
    </row>
    <row r="686" ht="15.75" customHeight="1">
      <c r="E686" s="9"/>
      <c r="J686" s="5"/>
    </row>
    <row r="687" ht="15.75" customHeight="1">
      <c r="E687" s="9"/>
      <c r="J687" s="5"/>
    </row>
    <row r="688" ht="15.75" customHeight="1">
      <c r="E688" s="9"/>
      <c r="J688" s="5"/>
    </row>
    <row r="689" ht="15.75" customHeight="1">
      <c r="E689" s="9"/>
      <c r="J689" s="5"/>
    </row>
    <row r="690" ht="15.75" customHeight="1">
      <c r="E690" s="9"/>
      <c r="J690" s="5"/>
    </row>
    <row r="691" ht="15.75" customHeight="1">
      <c r="E691" s="9"/>
      <c r="J691" s="5"/>
    </row>
    <row r="692" ht="15.75" customHeight="1">
      <c r="E692" s="9"/>
      <c r="J692" s="5"/>
    </row>
    <row r="693" ht="15.75" customHeight="1">
      <c r="E693" s="9"/>
      <c r="J693" s="5"/>
    </row>
    <row r="694" ht="15.75" customHeight="1">
      <c r="E694" s="9"/>
      <c r="J694" s="5"/>
    </row>
    <row r="695" ht="15.75" customHeight="1">
      <c r="E695" s="9"/>
      <c r="J695" s="5"/>
    </row>
    <row r="696" ht="15.75" customHeight="1">
      <c r="E696" s="9"/>
      <c r="J696" s="5"/>
    </row>
    <row r="697" ht="15.75" customHeight="1">
      <c r="E697" s="9"/>
      <c r="J697" s="5"/>
    </row>
    <row r="698" ht="15.75" customHeight="1">
      <c r="E698" s="9"/>
      <c r="J698" s="5"/>
    </row>
    <row r="699" ht="15.75" customHeight="1">
      <c r="E699" s="9"/>
      <c r="J699" s="5"/>
    </row>
    <row r="700" ht="15.75" customHeight="1">
      <c r="E700" s="9"/>
      <c r="J700" s="5"/>
    </row>
    <row r="701" ht="15.75" customHeight="1">
      <c r="E701" s="9"/>
      <c r="J701" s="5"/>
    </row>
    <row r="702" ht="15.75" customHeight="1">
      <c r="E702" s="9"/>
      <c r="J702" s="5"/>
    </row>
    <row r="703" ht="15.75" customHeight="1">
      <c r="E703" s="9"/>
      <c r="J703" s="5"/>
    </row>
    <row r="704" ht="15.75" customHeight="1">
      <c r="E704" s="9"/>
      <c r="J704" s="5"/>
    </row>
    <row r="705" ht="15.75" customHeight="1">
      <c r="E705" s="9"/>
      <c r="J705" s="5"/>
    </row>
    <row r="706" ht="15.75" customHeight="1">
      <c r="E706" s="9"/>
      <c r="J706" s="5"/>
    </row>
    <row r="707" ht="15.75" customHeight="1">
      <c r="E707" s="9"/>
      <c r="J707" s="5"/>
    </row>
    <row r="708" ht="15.75" customHeight="1">
      <c r="E708" s="9"/>
      <c r="J708" s="5"/>
    </row>
    <row r="709" ht="15.75" customHeight="1">
      <c r="E709" s="9"/>
      <c r="J709" s="5"/>
    </row>
    <row r="710" ht="15.75" customHeight="1">
      <c r="E710" s="9"/>
      <c r="J710" s="5"/>
    </row>
    <row r="711" ht="15.75" customHeight="1">
      <c r="E711" s="9"/>
      <c r="J711" s="5"/>
    </row>
    <row r="712" ht="15.75" customHeight="1">
      <c r="E712" s="9"/>
      <c r="J712" s="5"/>
    </row>
    <row r="713" ht="15.75" customHeight="1">
      <c r="E713" s="9"/>
      <c r="J713" s="5"/>
    </row>
    <row r="714" ht="15.75" customHeight="1">
      <c r="E714" s="9"/>
      <c r="J714" s="5"/>
    </row>
    <row r="715" ht="15.75" customHeight="1">
      <c r="E715" s="9"/>
      <c r="J715" s="5"/>
    </row>
    <row r="716" ht="15.75" customHeight="1">
      <c r="E716" s="9"/>
      <c r="J716" s="5"/>
    </row>
    <row r="717" ht="15.75" customHeight="1">
      <c r="E717" s="9"/>
      <c r="J717" s="5"/>
    </row>
    <row r="718" ht="15.75" customHeight="1">
      <c r="E718" s="9"/>
      <c r="J718" s="5"/>
    </row>
    <row r="719" ht="15.75" customHeight="1">
      <c r="E719" s="9"/>
      <c r="J719" s="5"/>
    </row>
    <row r="720" ht="15.75" customHeight="1">
      <c r="E720" s="9"/>
      <c r="J720" s="5"/>
    </row>
    <row r="721" ht="15.75" customHeight="1">
      <c r="E721" s="9"/>
      <c r="J721" s="5"/>
    </row>
    <row r="722" ht="15.75" customHeight="1">
      <c r="E722" s="9"/>
      <c r="J722" s="5"/>
    </row>
    <row r="723" ht="15.75" customHeight="1">
      <c r="E723" s="9"/>
      <c r="J723" s="5"/>
    </row>
    <row r="724" ht="15.75" customHeight="1">
      <c r="E724" s="9"/>
      <c r="J724" s="5"/>
    </row>
    <row r="725" ht="15.75" customHeight="1">
      <c r="E725" s="9"/>
      <c r="J725" s="5"/>
    </row>
    <row r="726" ht="15.75" customHeight="1">
      <c r="E726" s="9"/>
      <c r="J726" s="5"/>
    </row>
    <row r="727" ht="15.75" customHeight="1">
      <c r="E727" s="9"/>
      <c r="J727" s="5"/>
    </row>
    <row r="728" ht="15.75" customHeight="1">
      <c r="E728" s="9"/>
      <c r="J728" s="5"/>
    </row>
    <row r="729" ht="15.75" customHeight="1">
      <c r="E729" s="9"/>
      <c r="J729" s="5"/>
    </row>
    <row r="730" ht="15.75" customHeight="1">
      <c r="E730" s="9"/>
      <c r="J730" s="5"/>
    </row>
    <row r="731" ht="15.75" customHeight="1">
      <c r="E731" s="9"/>
      <c r="J731" s="5"/>
    </row>
    <row r="732" ht="15.75" customHeight="1">
      <c r="E732" s="9"/>
      <c r="J732" s="5"/>
    </row>
    <row r="733" ht="15.75" customHeight="1">
      <c r="E733" s="9"/>
      <c r="J733" s="5"/>
    </row>
    <row r="734" ht="15.75" customHeight="1">
      <c r="E734" s="9"/>
      <c r="J734" s="5"/>
    </row>
    <row r="735" ht="15.75" customHeight="1">
      <c r="E735" s="9"/>
      <c r="J735" s="5"/>
    </row>
    <row r="736" ht="15.75" customHeight="1">
      <c r="E736" s="9"/>
      <c r="J736" s="5"/>
    </row>
    <row r="737" ht="15.75" customHeight="1">
      <c r="E737" s="9"/>
      <c r="J737" s="5"/>
    </row>
    <row r="738" ht="15.75" customHeight="1">
      <c r="E738" s="9"/>
      <c r="J738" s="5"/>
    </row>
    <row r="739" ht="15.75" customHeight="1">
      <c r="E739" s="9"/>
      <c r="J739" s="5"/>
    </row>
    <row r="740" ht="15.75" customHeight="1">
      <c r="E740" s="9"/>
      <c r="J740" s="5"/>
    </row>
    <row r="741" ht="15.75" customHeight="1">
      <c r="E741" s="9"/>
      <c r="J741" s="5"/>
    </row>
    <row r="742" ht="15.75" customHeight="1">
      <c r="E742" s="9"/>
      <c r="J742" s="5"/>
    </row>
    <row r="743" ht="15.75" customHeight="1">
      <c r="E743" s="9"/>
      <c r="J743" s="5"/>
    </row>
    <row r="744" ht="15.75" customHeight="1">
      <c r="E744" s="9"/>
      <c r="J744" s="5"/>
    </row>
    <row r="745" ht="15.75" customHeight="1">
      <c r="E745" s="9"/>
      <c r="J745" s="5"/>
    </row>
    <row r="746" ht="15.75" customHeight="1">
      <c r="E746" s="9"/>
      <c r="J746" s="5"/>
    </row>
    <row r="747" ht="15.75" customHeight="1">
      <c r="E747" s="9"/>
      <c r="J747" s="5"/>
    </row>
    <row r="748" ht="15.75" customHeight="1">
      <c r="E748" s="9"/>
      <c r="J748" s="5"/>
    </row>
    <row r="749" ht="15.75" customHeight="1">
      <c r="E749" s="9"/>
      <c r="J749" s="5"/>
    </row>
    <row r="750" ht="15.75" customHeight="1">
      <c r="E750" s="9"/>
      <c r="J750" s="5"/>
    </row>
    <row r="751" ht="15.75" customHeight="1">
      <c r="E751" s="9"/>
      <c r="J751" s="5"/>
    </row>
    <row r="752" ht="15.75" customHeight="1">
      <c r="E752" s="9"/>
      <c r="J752" s="5"/>
    </row>
    <row r="753" ht="15.75" customHeight="1">
      <c r="E753" s="9"/>
      <c r="J753" s="5"/>
    </row>
    <row r="754" ht="15.75" customHeight="1">
      <c r="E754" s="9"/>
      <c r="J754" s="5"/>
    </row>
    <row r="755" ht="15.75" customHeight="1">
      <c r="E755" s="9"/>
      <c r="J755" s="5"/>
    </row>
    <row r="756" ht="15.75" customHeight="1">
      <c r="E756" s="9"/>
      <c r="J756" s="5"/>
    </row>
    <row r="757" ht="15.75" customHeight="1">
      <c r="E757" s="9"/>
      <c r="J757" s="5"/>
    </row>
    <row r="758" ht="15.75" customHeight="1">
      <c r="E758" s="9"/>
      <c r="J758" s="5"/>
    </row>
    <row r="759" ht="15.75" customHeight="1">
      <c r="E759" s="9"/>
      <c r="J759" s="5"/>
    </row>
    <row r="760" ht="15.75" customHeight="1">
      <c r="E760" s="9"/>
      <c r="J760" s="5"/>
    </row>
    <row r="761" ht="15.75" customHeight="1">
      <c r="E761" s="9"/>
      <c r="J761" s="5"/>
    </row>
    <row r="762" ht="15.75" customHeight="1">
      <c r="E762" s="9"/>
      <c r="J762" s="5"/>
    </row>
    <row r="763" ht="15.75" customHeight="1">
      <c r="E763" s="9"/>
      <c r="J763" s="5"/>
    </row>
    <row r="764" ht="15.75" customHeight="1">
      <c r="E764" s="9"/>
      <c r="J764" s="5"/>
    </row>
    <row r="765" ht="15.75" customHeight="1">
      <c r="E765" s="9"/>
      <c r="J765" s="5"/>
    </row>
    <row r="766" ht="15.75" customHeight="1">
      <c r="E766" s="9"/>
      <c r="J766" s="5"/>
    </row>
    <row r="767" ht="15.75" customHeight="1">
      <c r="E767" s="9"/>
      <c r="J767" s="5"/>
    </row>
    <row r="768" ht="15.75" customHeight="1">
      <c r="E768" s="9"/>
      <c r="J768" s="5"/>
    </row>
    <row r="769" ht="15.75" customHeight="1">
      <c r="E769" s="9"/>
      <c r="J769" s="5"/>
    </row>
    <row r="770" ht="15.75" customHeight="1">
      <c r="E770" s="9"/>
      <c r="J770" s="5"/>
    </row>
    <row r="771" ht="15.75" customHeight="1">
      <c r="E771" s="9"/>
      <c r="J771" s="5"/>
    </row>
    <row r="772" ht="15.75" customHeight="1">
      <c r="E772" s="9"/>
      <c r="J772" s="5"/>
    </row>
    <row r="773" ht="15.75" customHeight="1">
      <c r="E773" s="9"/>
      <c r="J773" s="5"/>
    </row>
    <row r="774" ht="15.75" customHeight="1">
      <c r="E774" s="9"/>
      <c r="J774" s="5"/>
    </row>
    <row r="775" ht="15.75" customHeight="1">
      <c r="E775" s="9"/>
      <c r="J775" s="5"/>
    </row>
    <row r="776" ht="15.75" customHeight="1">
      <c r="E776" s="9"/>
      <c r="J776" s="5"/>
    </row>
    <row r="777" ht="15.75" customHeight="1">
      <c r="E777" s="9"/>
      <c r="J777" s="5"/>
    </row>
    <row r="778" ht="15.75" customHeight="1">
      <c r="E778" s="9"/>
      <c r="J778" s="5"/>
    </row>
    <row r="779" ht="15.75" customHeight="1">
      <c r="E779" s="9"/>
      <c r="J779" s="5"/>
    </row>
    <row r="780" ht="15.75" customHeight="1">
      <c r="E780" s="9"/>
      <c r="J780" s="5"/>
    </row>
    <row r="781" ht="15.75" customHeight="1">
      <c r="E781" s="9"/>
      <c r="J781" s="5"/>
    </row>
    <row r="782" ht="15.75" customHeight="1">
      <c r="E782" s="9"/>
      <c r="J782" s="5"/>
    </row>
    <row r="783" ht="15.75" customHeight="1">
      <c r="E783" s="9"/>
      <c r="J783" s="5"/>
    </row>
    <row r="784" ht="15.75" customHeight="1">
      <c r="E784" s="9"/>
      <c r="J784" s="5"/>
    </row>
    <row r="785" ht="15.75" customHeight="1">
      <c r="E785" s="9"/>
      <c r="J785" s="5"/>
    </row>
    <row r="786" ht="15.75" customHeight="1">
      <c r="E786" s="9"/>
      <c r="J786" s="5"/>
    </row>
    <row r="787" ht="15.75" customHeight="1">
      <c r="E787" s="9"/>
      <c r="J787" s="5"/>
    </row>
    <row r="788" ht="15.75" customHeight="1">
      <c r="E788" s="9"/>
      <c r="J788" s="5"/>
    </row>
    <row r="789" ht="15.75" customHeight="1">
      <c r="E789" s="9"/>
      <c r="J789" s="5"/>
    </row>
    <row r="790" ht="15.75" customHeight="1">
      <c r="E790" s="9"/>
      <c r="J790" s="5"/>
    </row>
    <row r="791" ht="15.75" customHeight="1">
      <c r="E791" s="9"/>
      <c r="J791" s="5"/>
    </row>
    <row r="792" ht="15.75" customHeight="1">
      <c r="E792" s="9"/>
      <c r="J792" s="5"/>
    </row>
    <row r="793" ht="15.75" customHeight="1">
      <c r="E793" s="9"/>
      <c r="J793" s="5"/>
    </row>
    <row r="794" ht="15.75" customHeight="1">
      <c r="E794" s="9"/>
      <c r="J794" s="5"/>
    </row>
    <row r="795" ht="15.75" customHeight="1">
      <c r="E795" s="9"/>
      <c r="J795" s="5"/>
    </row>
    <row r="796" ht="15.75" customHeight="1">
      <c r="E796" s="9"/>
      <c r="J796" s="5"/>
    </row>
    <row r="797" ht="15.75" customHeight="1">
      <c r="E797" s="9"/>
      <c r="J797" s="5"/>
    </row>
    <row r="798" ht="15.75" customHeight="1">
      <c r="E798" s="9"/>
      <c r="J798" s="5"/>
    </row>
    <row r="799" ht="15.75" customHeight="1">
      <c r="E799" s="9"/>
      <c r="J799" s="5"/>
    </row>
    <row r="800" ht="15.75" customHeight="1">
      <c r="E800" s="9"/>
      <c r="J800" s="5"/>
    </row>
    <row r="801" ht="15.75" customHeight="1">
      <c r="E801" s="9"/>
      <c r="J801" s="5"/>
    </row>
    <row r="802" ht="15.75" customHeight="1">
      <c r="E802" s="9"/>
      <c r="J802" s="5"/>
    </row>
    <row r="803" ht="15.75" customHeight="1">
      <c r="E803" s="9"/>
      <c r="J803" s="5"/>
    </row>
    <row r="804" ht="15.75" customHeight="1">
      <c r="E804" s="9"/>
      <c r="J804" s="5"/>
    </row>
    <row r="805" ht="15.75" customHeight="1">
      <c r="E805" s="9"/>
      <c r="J805" s="5"/>
    </row>
    <row r="806" ht="15.75" customHeight="1">
      <c r="E806" s="9"/>
      <c r="J806" s="5"/>
    </row>
    <row r="807" ht="15.75" customHeight="1">
      <c r="E807" s="9"/>
      <c r="J807" s="5"/>
    </row>
    <row r="808" ht="15.75" customHeight="1">
      <c r="E808" s="9"/>
      <c r="J808" s="5"/>
    </row>
    <row r="809" ht="15.75" customHeight="1">
      <c r="E809" s="9"/>
      <c r="J809" s="5"/>
    </row>
    <row r="810" ht="15.75" customHeight="1">
      <c r="E810" s="9"/>
      <c r="J810" s="5"/>
    </row>
    <row r="811" ht="15.75" customHeight="1">
      <c r="E811" s="9"/>
      <c r="J811" s="5"/>
    </row>
    <row r="812" ht="15.75" customHeight="1">
      <c r="E812" s="9"/>
      <c r="J812" s="5"/>
    </row>
    <row r="813" ht="15.75" customHeight="1">
      <c r="E813" s="9"/>
      <c r="J813" s="5"/>
    </row>
    <row r="814" ht="15.75" customHeight="1">
      <c r="E814" s="9"/>
      <c r="J814" s="5"/>
    </row>
    <row r="815" ht="15.75" customHeight="1">
      <c r="E815" s="9"/>
      <c r="J815" s="5"/>
    </row>
    <row r="816" ht="15.75" customHeight="1">
      <c r="E816" s="9"/>
      <c r="J816" s="5"/>
    </row>
    <row r="817" ht="15.75" customHeight="1">
      <c r="E817" s="9"/>
      <c r="J817" s="5"/>
    </row>
    <row r="818" ht="15.75" customHeight="1">
      <c r="E818" s="9"/>
      <c r="J818" s="5"/>
    </row>
    <row r="819" ht="15.75" customHeight="1">
      <c r="E819" s="9"/>
      <c r="J819" s="5"/>
    </row>
    <row r="820" ht="15.75" customHeight="1">
      <c r="E820" s="9"/>
      <c r="J820" s="5"/>
    </row>
    <row r="821" ht="15.75" customHeight="1">
      <c r="E821" s="9"/>
      <c r="J821" s="5"/>
    </row>
    <row r="822" ht="15.75" customHeight="1">
      <c r="E822" s="9"/>
      <c r="J822" s="5"/>
    </row>
    <row r="823" ht="15.75" customHeight="1">
      <c r="E823" s="9"/>
      <c r="J823" s="5"/>
    </row>
    <row r="824" ht="15.75" customHeight="1">
      <c r="E824" s="9"/>
      <c r="J824" s="5"/>
    </row>
    <row r="825" ht="15.75" customHeight="1">
      <c r="E825" s="9"/>
      <c r="J825" s="5"/>
    </row>
    <row r="826" ht="15.75" customHeight="1">
      <c r="E826" s="9"/>
      <c r="J826" s="5"/>
    </row>
    <row r="827" ht="15.75" customHeight="1">
      <c r="E827" s="9"/>
      <c r="J827" s="5"/>
    </row>
    <row r="828" ht="15.75" customHeight="1">
      <c r="E828" s="9"/>
      <c r="J828" s="5"/>
    </row>
    <row r="829" ht="15.75" customHeight="1">
      <c r="E829" s="9"/>
      <c r="J829" s="5"/>
    </row>
    <row r="830" ht="15.75" customHeight="1">
      <c r="E830" s="9"/>
      <c r="J830" s="5"/>
    </row>
    <row r="831" ht="15.75" customHeight="1">
      <c r="E831" s="9"/>
      <c r="J831" s="5"/>
    </row>
    <row r="832" ht="15.75" customHeight="1">
      <c r="E832" s="9"/>
      <c r="J832" s="5"/>
    </row>
    <row r="833" ht="15.75" customHeight="1">
      <c r="E833" s="9"/>
      <c r="J833" s="5"/>
    </row>
    <row r="834" ht="15.75" customHeight="1">
      <c r="E834" s="9"/>
      <c r="J834" s="5"/>
    </row>
    <row r="835" ht="15.75" customHeight="1">
      <c r="E835" s="9"/>
      <c r="J835" s="5"/>
    </row>
    <row r="836" ht="15.75" customHeight="1">
      <c r="E836" s="9"/>
      <c r="J836" s="5"/>
    </row>
    <row r="837" ht="15.75" customHeight="1">
      <c r="E837" s="9"/>
      <c r="J837" s="5"/>
    </row>
    <row r="838" ht="15.75" customHeight="1">
      <c r="E838" s="9"/>
      <c r="J838" s="5"/>
    </row>
    <row r="839" ht="15.75" customHeight="1">
      <c r="E839" s="9"/>
      <c r="J839" s="5"/>
    </row>
    <row r="840" ht="15.75" customHeight="1">
      <c r="E840" s="9"/>
      <c r="J840" s="5"/>
    </row>
    <row r="841" ht="15.75" customHeight="1">
      <c r="E841" s="9"/>
      <c r="J841" s="5"/>
    </row>
    <row r="842" ht="15.75" customHeight="1">
      <c r="E842" s="9"/>
      <c r="J842" s="5"/>
    </row>
    <row r="843" ht="15.75" customHeight="1">
      <c r="E843" s="9"/>
      <c r="J843" s="5"/>
    </row>
    <row r="844" ht="15.75" customHeight="1">
      <c r="E844" s="9"/>
      <c r="J844" s="5"/>
    </row>
    <row r="845" ht="15.75" customHeight="1">
      <c r="E845" s="9"/>
      <c r="J845" s="5"/>
    </row>
    <row r="846" ht="15.75" customHeight="1">
      <c r="E846" s="9"/>
      <c r="J846" s="5"/>
    </row>
    <row r="847" ht="15.75" customHeight="1">
      <c r="E847" s="9"/>
      <c r="J847" s="5"/>
    </row>
    <row r="848" ht="15.75" customHeight="1">
      <c r="E848" s="9"/>
      <c r="J848" s="5"/>
    </row>
    <row r="849" ht="15.75" customHeight="1">
      <c r="E849" s="9"/>
      <c r="J849" s="5"/>
    </row>
    <row r="850" ht="15.75" customHeight="1">
      <c r="E850" s="9"/>
      <c r="J850" s="5"/>
    </row>
    <row r="851" ht="15.75" customHeight="1">
      <c r="E851" s="9"/>
      <c r="J851" s="5"/>
    </row>
    <row r="852" ht="15.75" customHeight="1">
      <c r="E852" s="9"/>
      <c r="J852" s="5"/>
    </row>
    <row r="853" ht="15.75" customHeight="1">
      <c r="E853" s="9"/>
      <c r="J853" s="5"/>
    </row>
    <row r="854" ht="15.75" customHeight="1">
      <c r="E854" s="9"/>
      <c r="J854" s="5"/>
    </row>
    <row r="855" ht="15.75" customHeight="1">
      <c r="E855" s="9"/>
      <c r="J855" s="5"/>
    </row>
    <row r="856" ht="15.75" customHeight="1">
      <c r="E856" s="9"/>
      <c r="J856" s="5"/>
    </row>
    <row r="857" ht="15.75" customHeight="1">
      <c r="E857" s="9"/>
      <c r="J857" s="5"/>
    </row>
    <row r="858" ht="15.75" customHeight="1">
      <c r="E858" s="9"/>
      <c r="J858" s="5"/>
    </row>
    <row r="859" ht="15.75" customHeight="1">
      <c r="E859" s="9"/>
      <c r="J859" s="5"/>
    </row>
    <row r="860" ht="15.75" customHeight="1">
      <c r="E860" s="9"/>
      <c r="J860" s="5"/>
    </row>
    <row r="861" ht="15.75" customHeight="1">
      <c r="E861" s="9"/>
      <c r="J861" s="5"/>
    </row>
    <row r="862" ht="15.75" customHeight="1">
      <c r="E862" s="9"/>
      <c r="J862" s="5"/>
    </row>
    <row r="863" ht="15.75" customHeight="1">
      <c r="E863" s="9"/>
      <c r="J863" s="5"/>
    </row>
    <row r="864" ht="15.75" customHeight="1">
      <c r="E864" s="9"/>
      <c r="J864" s="5"/>
    </row>
    <row r="865" ht="15.75" customHeight="1">
      <c r="E865" s="9"/>
      <c r="J865" s="5"/>
    </row>
    <row r="866" ht="15.75" customHeight="1">
      <c r="E866" s="9"/>
      <c r="J866" s="5"/>
    </row>
    <row r="867" ht="15.75" customHeight="1">
      <c r="E867" s="9"/>
      <c r="J867" s="5"/>
    </row>
    <row r="868" ht="15.75" customHeight="1">
      <c r="E868" s="9"/>
      <c r="J868" s="5"/>
    </row>
    <row r="869" ht="15.75" customHeight="1">
      <c r="E869" s="9"/>
      <c r="J869" s="5"/>
    </row>
    <row r="870" ht="15.75" customHeight="1">
      <c r="E870" s="9"/>
      <c r="J870" s="5"/>
    </row>
    <row r="871" ht="15.75" customHeight="1">
      <c r="E871" s="9"/>
      <c r="J871" s="5"/>
    </row>
    <row r="872" ht="15.75" customHeight="1">
      <c r="E872" s="9"/>
      <c r="J872" s="5"/>
    </row>
    <row r="873" ht="15.75" customHeight="1">
      <c r="E873" s="9"/>
      <c r="J873" s="5"/>
    </row>
    <row r="874" ht="15.75" customHeight="1">
      <c r="E874" s="9"/>
      <c r="J874" s="5"/>
    </row>
    <row r="875" ht="15.75" customHeight="1">
      <c r="E875" s="9"/>
      <c r="J875" s="5"/>
    </row>
    <row r="876" ht="15.75" customHeight="1">
      <c r="E876" s="9"/>
      <c r="J876" s="5"/>
    </row>
    <row r="877" ht="15.75" customHeight="1">
      <c r="E877" s="9"/>
      <c r="J877" s="5"/>
    </row>
    <row r="878" ht="15.75" customHeight="1">
      <c r="E878" s="9"/>
      <c r="J878" s="5"/>
    </row>
    <row r="879" ht="15.75" customHeight="1">
      <c r="E879" s="9"/>
      <c r="J879" s="5"/>
    </row>
    <row r="880" ht="15.75" customHeight="1">
      <c r="E880" s="9"/>
      <c r="J880" s="5"/>
    </row>
    <row r="881" ht="15.75" customHeight="1">
      <c r="E881" s="9"/>
      <c r="J881" s="5"/>
    </row>
    <row r="882" ht="15.75" customHeight="1">
      <c r="E882" s="9"/>
      <c r="J882" s="5"/>
    </row>
    <row r="883" ht="15.75" customHeight="1">
      <c r="E883" s="9"/>
      <c r="J883" s="5"/>
    </row>
    <row r="884" ht="15.75" customHeight="1">
      <c r="E884" s="9"/>
      <c r="J884" s="5"/>
    </row>
    <row r="885" ht="15.75" customHeight="1">
      <c r="E885" s="9"/>
      <c r="J885" s="5"/>
    </row>
    <row r="886" ht="15.75" customHeight="1">
      <c r="E886" s="9"/>
      <c r="J886" s="5"/>
    </row>
    <row r="887" ht="15.75" customHeight="1">
      <c r="E887" s="9"/>
      <c r="J887" s="5"/>
    </row>
    <row r="888" ht="15.75" customHeight="1">
      <c r="E888" s="9"/>
      <c r="J888" s="5"/>
    </row>
    <row r="889" ht="15.75" customHeight="1">
      <c r="E889" s="9"/>
      <c r="J889" s="5"/>
    </row>
    <row r="890" ht="15.75" customHeight="1">
      <c r="E890" s="9"/>
      <c r="J890" s="5"/>
    </row>
    <row r="891" ht="15.75" customHeight="1">
      <c r="E891" s="9"/>
      <c r="J891" s="5"/>
    </row>
    <row r="892" ht="15.75" customHeight="1">
      <c r="E892" s="9"/>
      <c r="J892" s="5"/>
    </row>
    <row r="893" ht="15.75" customHeight="1">
      <c r="E893" s="9"/>
      <c r="J893" s="5"/>
    </row>
    <row r="894" ht="15.75" customHeight="1">
      <c r="E894" s="9"/>
      <c r="J894" s="5"/>
    </row>
    <row r="895" ht="15.75" customHeight="1">
      <c r="E895" s="9"/>
      <c r="J895" s="5"/>
    </row>
    <row r="896" ht="15.75" customHeight="1">
      <c r="E896" s="9"/>
      <c r="J896" s="5"/>
    </row>
    <row r="897" ht="15.75" customHeight="1">
      <c r="E897" s="9"/>
      <c r="J897" s="5"/>
    </row>
    <row r="898" ht="15.75" customHeight="1">
      <c r="E898" s="9"/>
      <c r="J898" s="5"/>
    </row>
    <row r="899" ht="15.75" customHeight="1">
      <c r="E899" s="9"/>
      <c r="J899" s="5"/>
    </row>
    <row r="900" ht="15.75" customHeight="1">
      <c r="E900" s="9"/>
      <c r="J900" s="5"/>
    </row>
    <row r="901" ht="15.75" customHeight="1">
      <c r="E901" s="9"/>
      <c r="J901" s="5"/>
    </row>
    <row r="902" ht="15.75" customHeight="1">
      <c r="E902" s="9"/>
      <c r="J902" s="5"/>
    </row>
    <row r="903" ht="15.75" customHeight="1">
      <c r="E903" s="9"/>
      <c r="J903" s="5"/>
    </row>
    <row r="904" ht="15.75" customHeight="1">
      <c r="E904" s="9"/>
      <c r="J904" s="5"/>
    </row>
    <row r="905" ht="15.75" customHeight="1">
      <c r="E905" s="9"/>
      <c r="J905" s="5"/>
    </row>
    <row r="906" ht="15.75" customHeight="1">
      <c r="E906" s="9"/>
      <c r="J906" s="5"/>
    </row>
    <row r="907" ht="15.75" customHeight="1">
      <c r="E907" s="9"/>
      <c r="J907" s="5"/>
    </row>
    <row r="908" ht="15.75" customHeight="1">
      <c r="E908" s="9"/>
      <c r="J908" s="5"/>
    </row>
    <row r="909" ht="15.75" customHeight="1">
      <c r="E909" s="9"/>
      <c r="J909" s="5"/>
    </row>
    <row r="910" ht="15.75" customHeight="1">
      <c r="E910" s="9"/>
      <c r="J910" s="5"/>
    </row>
    <row r="911" ht="15.75" customHeight="1">
      <c r="E911" s="9"/>
      <c r="J911" s="5"/>
    </row>
    <row r="912" ht="15.75" customHeight="1">
      <c r="E912" s="9"/>
      <c r="J912" s="5"/>
    </row>
    <row r="913" ht="15.75" customHeight="1">
      <c r="E913" s="9"/>
      <c r="J913" s="5"/>
    </row>
    <row r="914" ht="15.75" customHeight="1">
      <c r="E914" s="9"/>
      <c r="J914" s="5"/>
    </row>
    <row r="915" ht="15.75" customHeight="1">
      <c r="E915" s="9"/>
      <c r="J915" s="5"/>
    </row>
    <row r="916" ht="15.75" customHeight="1">
      <c r="E916" s="9"/>
      <c r="J916" s="5"/>
    </row>
    <row r="917" ht="15.75" customHeight="1">
      <c r="E917" s="9"/>
      <c r="J917" s="5"/>
    </row>
    <row r="918" ht="15.75" customHeight="1">
      <c r="E918" s="9"/>
      <c r="J918" s="5"/>
    </row>
    <row r="919" ht="15.75" customHeight="1">
      <c r="E919" s="9"/>
      <c r="J919" s="5"/>
    </row>
    <row r="920" ht="15.75" customHeight="1">
      <c r="E920" s="9"/>
      <c r="J920" s="5"/>
    </row>
    <row r="921" ht="15.75" customHeight="1">
      <c r="E921" s="9"/>
      <c r="J921" s="5"/>
    </row>
    <row r="922" ht="15.75" customHeight="1">
      <c r="E922" s="9"/>
      <c r="J922" s="5"/>
    </row>
    <row r="923" ht="15.75" customHeight="1">
      <c r="E923" s="9"/>
      <c r="J923" s="5"/>
    </row>
    <row r="924" ht="15.75" customHeight="1">
      <c r="E924" s="9"/>
      <c r="J924" s="5"/>
    </row>
    <row r="925" ht="15.75" customHeight="1">
      <c r="E925" s="9"/>
      <c r="J925" s="5"/>
    </row>
    <row r="926" ht="15.75" customHeight="1">
      <c r="E926" s="9"/>
      <c r="J926" s="5"/>
    </row>
    <row r="927" ht="15.75" customHeight="1">
      <c r="E927" s="9"/>
      <c r="J927" s="5"/>
    </row>
    <row r="928" ht="15.75" customHeight="1">
      <c r="E928" s="9"/>
      <c r="J928" s="5"/>
    </row>
    <row r="929" ht="15.75" customHeight="1">
      <c r="E929" s="9"/>
      <c r="J929" s="5"/>
    </row>
    <row r="930" ht="15.75" customHeight="1">
      <c r="E930" s="9"/>
      <c r="J930" s="5"/>
    </row>
    <row r="931" ht="15.75" customHeight="1">
      <c r="E931" s="9"/>
      <c r="J931" s="5"/>
    </row>
    <row r="932" ht="15.75" customHeight="1">
      <c r="E932" s="9"/>
      <c r="J932" s="5"/>
    </row>
    <row r="933" ht="15.75" customHeight="1">
      <c r="E933" s="9"/>
      <c r="J933" s="5"/>
    </row>
    <row r="934" ht="15.75" customHeight="1">
      <c r="E934" s="9"/>
      <c r="J934" s="5"/>
    </row>
    <row r="935" ht="15.75" customHeight="1">
      <c r="E935" s="9"/>
      <c r="J935" s="5"/>
    </row>
    <row r="936" ht="15.75" customHeight="1">
      <c r="E936" s="9"/>
      <c r="J936" s="5"/>
    </row>
    <row r="937" ht="15.75" customHeight="1">
      <c r="E937" s="9"/>
      <c r="J937" s="5"/>
    </row>
    <row r="938" ht="15.75" customHeight="1">
      <c r="E938" s="9"/>
      <c r="J938" s="5"/>
    </row>
    <row r="939" ht="15.75" customHeight="1">
      <c r="E939" s="9"/>
      <c r="J939" s="5"/>
    </row>
    <row r="940" ht="15.75" customHeight="1">
      <c r="E940" s="9"/>
      <c r="J940" s="5"/>
    </row>
    <row r="941" ht="15.75" customHeight="1">
      <c r="E941" s="9"/>
      <c r="J941" s="5"/>
    </row>
    <row r="942" ht="15.75" customHeight="1">
      <c r="E942" s="9"/>
      <c r="J942" s="5"/>
    </row>
    <row r="943" ht="15.75" customHeight="1">
      <c r="E943" s="9"/>
      <c r="J943" s="5"/>
    </row>
    <row r="944" ht="15.75" customHeight="1">
      <c r="E944" s="9"/>
      <c r="J944" s="5"/>
    </row>
    <row r="945" ht="15.75" customHeight="1">
      <c r="E945" s="9"/>
      <c r="J945" s="5"/>
    </row>
    <row r="946" ht="15.75" customHeight="1">
      <c r="E946" s="9"/>
      <c r="J946" s="5"/>
    </row>
    <row r="947" ht="15.75" customHeight="1">
      <c r="E947" s="9"/>
      <c r="J947" s="5"/>
    </row>
    <row r="948" ht="15.75" customHeight="1">
      <c r="E948" s="9"/>
      <c r="J948" s="5"/>
    </row>
    <row r="949" ht="15.75" customHeight="1">
      <c r="E949" s="9"/>
      <c r="J949" s="5"/>
    </row>
    <row r="950" ht="15.75" customHeight="1">
      <c r="E950" s="9"/>
      <c r="J950" s="5"/>
    </row>
    <row r="951" ht="15.75" customHeight="1">
      <c r="E951" s="9"/>
      <c r="J951" s="5"/>
    </row>
    <row r="952" ht="15.75" customHeight="1">
      <c r="E952" s="9"/>
      <c r="J952" s="5"/>
    </row>
    <row r="953" ht="15.75" customHeight="1">
      <c r="E953" s="9"/>
      <c r="J953" s="5"/>
    </row>
    <row r="954" ht="15.75" customHeight="1">
      <c r="E954" s="9"/>
      <c r="J954" s="5"/>
    </row>
    <row r="955" ht="15.75" customHeight="1">
      <c r="E955" s="9"/>
      <c r="J955" s="5"/>
    </row>
    <row r="956" ht="15.75" customHeight="1">
      <c r="E956" s="9"/>
      <c r="J956" s="5"/>
    </row>
    <row r="957" ht="15.75" customHeight="1">
      <c r="E957" s="9"/>
      <c r="J957" s="5"/>
    </row>
    <row r="958" ht="15.75" customHeight="1">
      <c r="E958" s="9"/>
      <c r="J958" s="5"/>
    </row>
    <row r="959" ht="15.75" customHeight="1">
      <c r="E959" s="9"/>
      <c r="J959" s="5"/>
    </row>
    <row r="960" ht="15.75" customHeight="1">
      <c r="E960" s="9"/>
      <c r="J960" s="5"/>
    </row>
    <row r="961" ht="15.75" customHeight="1">
      <c r="E961" s="9"/>
      <c r="J961" s="5"/>
    </row>
    <row r="962" ht="15.75" customHeight="1">
      <c r="E962" s="9"/>
      <c r="J962" s="5"/>
    </row>
    <row r="963" ht="15.75" customHeight="1">
      <c r="E963" s="9"/>
      <c r="J963" s="5"/>
    </row>
    <row r="964" ht="15.75" customHeight="1">
      <c r="E964" s="9"/>
      <c r="J964" s="5"/>
    </row>
    <row r="965" ht="15.75" customHeight="1">
      <c r="E965" s="9"/>
      <c r="J965" s="5"/>
    </row>
    <row r="966" ht="15.75" customHeight="1">
      <c r="E966" s="9"/>
      <c r="J966" s="5"/>
    </row>
    <row r="967" ht="15.75" customHeight="1">
      <c r="E967" s="9"/>
      <c r="J967" s="5"/>
    </row>
    <row r="968" ht="15.75" customHeight="1">
      <c r="E968" s="9"/>
      <c r="J968" s="5"/>
    </row>
    <row r="969" ht="15.75" customHeight="1">
      <c r="E969" s="9"/>
      <c r="J969" s="5"/>
    </row>
    <row r="970" ht="15.75" customHeight="1">
      <c r="E970" s="9"/>
      <c r="J970" s="5"/>
    </row>
    <row r="971" ht="15.75" customHeight="1">
      <c r="E971" s="9"/>
      <c r="J971" s="5"/>
    </row>
    <row r="972" ht="15.75" customHeight="1">
      <c r="E972" s="9"/>
      <c r="J972" s="5"/>
    </row>
    <row r="973" ht="15.75" customHeight="1">
      <c r="E973" s="9"/>
      <c r="J973" s="5"/>
    </row>
    <row r="974" ht="15.75" customHeight="1">
      <c r="E974" s="9"/>
      <c r="J974" s="5"/>
    </row>
    <row r="975" ht="15.75" customHeight="1">
      <c r="E975" s="9"/>
      <c r="J975" s="5"/>
    </row>
    <row r="976" ht="15.75" customHeight="1">
      <c r="E976" s="9"/>
      <c r="J976" s="5"/>
    </row>
    <row r="977" ht="15.75" customHeight="1">
      <c r="E977" s="9"/>
      <c r="J977" s="5"/>
    </row>
    <row r="978" ht="15.75" customHeight="1">
      <c r="E978" s="9"/>
      <c r="J978" s="5"/>
    </row>
    <row r="979" ht="15.75" customHeight="1">
      <c r="E979" s="9"/>
      <c r="J979" s="5"/>
    </row>
    <row r="980" ht="15.75" customHeight="1">
      <c r="E980" s="9"/>
      <c r="J980" s="5"/>
    </row>
    <row r="981" ht="15.75" customHeight="1">
      <c r="E981" s="9"/>
      <c r="J981" s="5"/>
    </row>
    <row r="982" ht="15.75" customHeight="1">
      <c r="E982" s="9"/>
      <c r="J982" s="5"/>
    </row>
    <row r="983" ht="15.75" customHeight="1">
      <c r="E983" s="9"/>
      <c r="J983" s="5"/>
    </row>
    <row r="984" ht="15.75" customHeight="1">
      <c r="E984" s="9"/>
      <c r="J984" s="5"/>
    </row>
    <row r="985" ht="15.75" customHeight="1">
      <c r="E985" s="9"/>
      <c r="J985" s="5"/>
    </row>
    <row r="986" ht="15.75" customHeight="1">
      <c r="E986" s="9"/>
      <c r="J986" s="5"/>
    </row>
    <row r="987" ht="15.75" customHeight="1">
      <c r="E987" s="9"/>
      <c r="J987" s="5"/>
    </row>
    <row r="988" ht="15.75" customHeight="1">
      <c r="E988" s="9"/>
      <c r="J988" s="5"/>
    </row>
    <row r="989" ht="15.75" customHeight="1">
      <c r="E989" s="9"/>
      <c r="J989" s="5"/>
    </row>
    <row r="990" ht="15.75" customHeight="1">
      <c r="E990" s="9"/>
      <c r="J990" s="5"/>
    </row>
    <row r="991" ht="15.75" customHeight="1">
      <c r="E991" s="9"/>
      <c r="J991" s="5"/>
    </row>
    <row r="992" ht="15.75" customHeight="1">
      <c r="E992" s="9"/>
      <c r="J992" s="5"/>
    </row>
    <row r="993" ht="15.75" customHeight="1">
      <c r="E993" s="9"/>
      <c r="J993" s="5"/>
    </row>
    <row r="994" ht="15.75" customHeight="1">
      <c r="E994" s="9"/>
      <c r="J994" s="5"/>
    </row>
    <row r="995" ht="15.75" customHeight="1">
      <c r="E995" s="9"/>
      <c r="J995" s="5"/>
    </row>
    <row r="996" ht="15.75" customHeight="1">
      <c r="E996" s="9"/>
      <c r="J996" s="5"/>
    </row>
    <row r="997" ht="15.75" customHeight="1">
      <c r="E997" s="9"/>
      <c r="J997" s="5"/>
    </row>
    <row r="998" ht="15.75" customHeight="1">
      <c r="E998" s="9"/>
      <c r="J998" s="5"/>
    </row>
    <row r="999" ht="15.75" customHeight="1">
      <c r="E999" s="9"/>
      <c r="J999" s="5"/>
    </row>
    <row r="1000" ht="15.75" customHeight="1">
      <c r="E1000" s="9"/>
      <c r="J1000" s="5"/>
    </row>
  </sheetData>
  <mergeCells count="2">
    <mergeCell ref="D1:E1"/>
    <mergeCell ref="D7:E7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6.89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4</v>
      </c>
      <c r="J1" s="5"/>
    </row>
    <row r="2" ht="15.75" customHeight="1">
      <c r="B2" s="2"/>
      <c r="C2" s="1" t="s">
        <v>6</v>
      </c>
      <c r="D2" s="6">
        <v>2.0E7</v>
      </c>
      <c r="E2" s="7"/>
      <c r="J2" s="5"/>
    </row>
    <row r="3" ht="15.75" customHeight="1">
      <c r="B3" s="2"/>
      <c r="C3" s="1" t="s">
        <v>7</v>
      </c>
      <c r="D3" s="8">
        <f>+A5-D2</f>
        <v>77116000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9.7116E7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1715402.828</v>
      </c>
      <c r="E6" s="12"/>
      <c r="H6" s="5"/>
      <c r="J6" s="5"/>
    </row>
    <row r="7" ht="15.75" customHeight="1">
      <c r="B7" s="2"/>
      <c r="C7" s="1" t="s">
        <v>12</v>
      </c>
      <c r="D7" s="15" t="s">
        <v>15</v>
      </c>
      <c r="H7" s="5"/>
      <c r="J7" s="5"/>
    </row>
    <row r="8" ht="15.75" customHeight="1">
      <c r="B8" s="2"/>
      <c r="C8" s="1" t="s">
        <v>16</v>
      </c>
      <c r="D8" s="18">
        <v>1.6375919E7</v>
      </c>
      <c r="E8" s="12"/>
      <c r="H8" s="5"/>
      <c r="I8" s="17"/>
      <c r="J8" s="19"/>
      <c r="K8" s="17"/>
      <c r="L8" s="21" t="s">
        <v>22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77116000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1.2292417E8</v>
      </c>
      <c r="U10" s="25"/>
    </row>
    <row r="11" ht="15.75" customHeight="1">
      <c r="A11" s="29">
        <v>45807.0</v>
      </c>
      <c r="B11" s="2" t="s">
        <v>41</v>
      </c>
      <c r="C11" s="30">
        <v>45762.0</v>
      </c>
      <c r="D11" s="8">
        <f t="shared" ref="D11:D70" si="1">$D$6</f>
        <v>1715402.828</v>
      </c>
      <c r="E11" s="15"/>
      <c r="F11" s="8">
        <f t="shared" ref="F11:F70" si="2">+H10*$D$4</f>
        <v>771160</v>
      </c>
      <c r="G11" s="8">
        <f t="shared" ref="G11:G70" si="3">+D11+E11-F11</f>
        <v>944242.8277</v>
      </c>
      <c r="H11" s="8">
        <f t="shared" ref="H11:H70" si="4">+H10-G11</f>
        <v>76171757.17</v>
      </c>
      <c r="J11" s="5"/>
      <c r="L11" s="33">
        <v>45654.0</v>
      </c>
      <c r="M11" s="34" t="s">
        <v>44</v>
      </c>
      <c r="N11" s="35" t="s">
        <v>47</v>
      </c>
      <c r="O11" s="36"/>
      <c r="P11" s="36">
        <v>1000000.0</v>
      </c>
      <c r="Q11" s="36"/>
      <c r="R11" s="36"/>
      <c r="S11" s="36">
        <f t="shared" ref="S11:S27" si="5">SUM(O11:R11)</f>
        <v>1000000</v>
      </c>
      <c r="T11" s="36">
        <f t="shared" ref="T11:T27" si="6">T10-S11</f>
        <v>121924170</v>
      </c>
      <c r="U11" s="34"/>
    </row>
    <row r="12" ht="15.75" customHeight="1">
      <c r="A12" s="29">
        <v>45817.0</v>
      </c>
      <c r="B12" s="2" t="s">
        <v>49</v>
      </c>
      <c r="C12" s="30">
        <v>45792.0</v>
      </c>
      <c r="D12" s="8">
        <f t="shared" si="1"/>
        <v>1715402.828</v>
      </c>
      <c r="E12" s="15"/>
      <c r="F12" s="8">
        <f t="shared" si="2"/>
        <v>761717.5717</v>
      </c>
      <c r="G12" s="8">
        <f t="shared" si="3"/>
        <v>953685.2559</v>
      </c>
      <c r="H12" s="8">
        <f t="shared" si="4"/>
        <v>75218071.92</v>
      </c>
      <c r="J12" s="5"/>
      <c r="L12" s="33">
        <v>45674.0</v>
      </c>
      <c r="M12" s="34" t="s">
        <v>44</v>
      </c>
      <c r="N12" s="35" t="s">
        <v>53</v>
      </c>
      <c r="O12" s="36"/>
      <c r="P12" s="36">
        <v>1.6E7</v>
      </c>
      <c r="Q12" s="36"/>
      <c r="R12" s="36"/>
      <c r="S12" s="36">
        <f t="shared" si="5"/>
        <v>16000000</v>
      </c>
      <c r="T12" s="36">
        <f t="shared" si="6"/>
        <v>105924170</v>
      </c>
      <c r="U12" s="34"/>
    </row>
    <row r="13" ht="15.75" customHeight="1">
      <c r="A13" s="29">
        <v>45868.0</v>
      </c>
      <c r="B13" s="2" t="s">
        <v>55</v>
      </c>
      <c r="C13" s="30">
        <v>45823.0</v>
      </c>
      <c r="D13" s="8">
        <f t="shared" si="1"/>
        <v>1715402.828</v>
      </c>
      <c r="E13" s="15"/>
      <c r="F13" s="8">
        <f t="shared" si="2"/>
        <v>752180.7192</v>
      </c>
      <c r="G13" s="8">
        <f t="shared" si="3"/>
        <v>963222.1085</v>
      </c>
      <c r="H13" s="8">
        <f t="shared" si="4"/>
        <v>74254849.81</v>
      </c>
      <c r="J13" s="5" t="s">
        <v>56</v>
      </c>
      <c r="L13" s="33">
        <v>45715.0</v>
      </c>
      <c r="M13" s="34" t="s">
        <v>44</v>
      </c>
      <c r="N13" s="35" t="s">
        <v>59</v>
      </c>
      <c r="O13" s="36"/>
      <c r="P13" s="36">
        <v>1000000.0</v>
      </c>
      <c r="Q13" s="36"/>
      <c r="R13" s="36"/>
      <c r="S13" s="36">
        <f t="shared" si="5"/>
        <v>1000000</v>
      </c>
      <c r="T13" s="36">
        <f t="shared" si="6"/>
        <v>104924170</v>
      </c>
      <c r="U13" s="34"/>
    </row>
    <row r="14" ht="15.75" customHeight="1">
      <c r="A14" s="29">
        <v>45930.0</v>
      </c>
      <c r="B14" s="2" t="s">
        <v>62</v>
      </c>
      <c r="C14" s="30">
        <v>45853.0</v>
      </c>
      <c r="D14" s="8">
        <f t="shared" si="1"/>
        <v>1715402.828</v>
      </c>
      <c r="E14" s="15"/>
      <c r="F14" s="8">
        <f t="shared" si="2"/>
        <v>742548.4981</v>
      </c>
      <c r="G14" s="8">
        <f t="shared" si="3"/>
        <v>972854.3296</v>
      </c>
      <c r="H14" s="8">
        <f t="shared" si="4"/>
        <v>73281995.48</v>
      </c>
      <c r="J14" s="8">
        <f>+H10</f>
        <v>77116000</v>
      </c>
      <c r="L14" s="33">
        <v>45736.0</v>
      </c>
      <c r="M14" s="34" t="s">
        <v>44</v>
      </c>
      <c r="N14" s="35" t="s">
        <v>66</v>
      </c>
      <c r="O14" s="36"/>
      <c r="P14" s="36">
        <v>600000.0</v>
      </c>
      <c r="Q14" s="36"/>
      <c r="R14" s="36"/>
      <c r="S14" s="36">
        <f t="shared" si="5"/>
        <v>600000</v>
      </c>
      <c r="T14" s="36">
        <f t="shared" si="6"/>
        <v>104324170</v>
      </c>
      <c r="U14" s="34"/>
    </row>
    <row r="15" ht="15.75" customHeight="1">
      <c r="A15" s="29">
        <v>45960.0</v>
      </c>
      <c r="B15" s="2" t="s">
        <v>68</v>
      </c>
      <c r="C15" s="30">
        <v>45884.0</v>
      </c>
      <c r="D15" s="8">
        <f t="shared" si="1"/>
        <v>1715402.828</v>
      </c>
      <c r="E15" s="15"/>
      <c r="F15" s="8">
        <f t="shared" si="2"/>
        <v>732819.9548</v>
      </c>
      <c r="G15" s="8">
        <f t="shared" si="3"/>
        <v>982582.8729</v>
      </c>
      <c r="H15" s="8">
        <f t="shared" si="4"/>
        <v>72299412.61</v>
      </c>
      <c r="J15" s="5"/>
      <c r="L15" s="33">
        <v>45744.0</v>
      </c>
      <c r="M15" s="34" t="s">
        <v>44</v>
      </c>
      <c r="N15" s="35" t="s">
        <v>70</v>
      </c>
      <c r="O15" s="36"/>
      <c r="P15" s="36">
        <v>1200000.0</v>
      </c>
      <c r="Q15" s="36"/>
      <c r="R15" s="36"/>
      <c r="S15" s="36">
        <f t="shared" si="5"/>
        <v>1200000</v>
      </c>
      <c r="T15" s="36">
        <f t="shared" si="6"/>
        <v>103124170</v>
      </c>
      <c r="U15" s="34"/>
    </row>
    <row r="16" ht="15.75" customHeight="1">
      <c r="A16" s="29">
        <v>46004.0</v>
      </c>
      <c r="B16" s="2" t="s">
        <v>71</v>
      </c>
      <c r="C16" s="30">
        <v>45915.0</v>
      </c>
      <c r="D16" s="8">
        <f t="shared" si="1"/>
        <v>1715402.828</v>
      </c>
      <c r="E16" s="15"/>
      <c r="F16" s="8">
        <f t="shared" si="2"/>
        <v>722994.1261</v>
      </c>
      <c r="G16" s="8">
        <f t="shared" si="3"/>
        <v>992408.7016</v>
      </c>
      <c r="H16" s="8">
        <f t="shared" si="4"/>
        <v>71307003.9</v>
      </c>
      <c r="J16" s="5"/>
      <c r="L16" s="33">
        <v>45807.0</v>
      </c>
      <c r="M16" s="34" t="s">
        <v>73</v>
      </c>
      <c r="N16" s="35" t="s">
        <v>41</v>
      </c>
      <c r="O16" s="36"/>
      <c r="P16" s="36">
        <v>2100000.0</v>
      </c>
      <c r="Q16" s="36"/>
      <c r="R16" s="36"/>
      <c r="S16" s="36">
        <f t="shared" si="5"/>
        <v>2100000</v>
      </c>
      <c r="T16" s="36">
        <f t="shared" si="6"/>
        <v>101024170</v>
      </c>
      <c r="U16" s="34"/>
    </row>
    <row r="17" ht="15.75" customHeight="1">
      <c r="A17" s="29">
        <v>46080.0</v>
      </c>
      <c r="B17" s="2" t="s">
        <v>74</v>
      </c>
      <c r="C17" s="30">
        <v>45945.0</v>
      </c>
      <c r="D17" s="8">
        <f t="shared" si="1"/>
        <v>1715402.828</v>
      </c>
      <c r="E17" s="15"/>
      <c r="F17" s="8">
        <f t="shared" si="2"/>
        <v>713070.039</v>
      </c>
      <c r="G17" s="8">
        <f t="shared" si="3"/>
        <v>1002332.789</v>
      </c>
      <c r="H17" s="8">
        <f t="shared" si="4"/>
        <v>70304671.12</v>
      </c>
      <c r="J17" s="5"/>
      <c r="L17" s="33">
        <v>45817.0</v>
      </c>
      <c r="M17" s="34" t="s">
        <v>78</v>
      </c>
      <c r="N17" s="35" t="s">
        <v>49</v>
      </c>
      <c r="O17" s="36"/>
      <c r="P17" s="36">
        <v>2020000.0</v>
      </c>
      <c r="Q17" s="36"/>
      <c r="R17" s="36"/>
      <c r="S17" s="36">
        <f t="shared" si="5"/>
        <v>2020000</v>
      </c>
      <c r="T17" s="36">
        <f t="shared" si="6"/>
        <v>99004170</v>
      </c>
      <c r="U17" s="34"/>
    </row>
    <row r="18" ht="15.75" customHeight="1">
      <c r="A18" s="29">
        <v>46108.0</v>
      </c>
      <c r="B18" s="2" t="s">
        <v>81</v>
      </c>
      <c r="C18" s="30">
        <v>45976.0</v>
      </c>
      <c r="D18" s="8">
        <f t="shared" si="1"/>
        <v>1715402.828</v>
      </c>
      <c r="E18" s="15"/>
      <c r="F18" s="8">
        <f t="shared" si="2"/>
        <v>703046.7112</v>
      </c>
      <c r="G18" s="8">
        <f t="shared" si="3"/>
        <v>1012356.117</v>
      </c>
      <c r="H18" s="8">
        <f t="shared" si="4"/>
        <v>69292315</v>
      </c>
      <c r="J18" s="5"/>
      <c r="L18" s="33">
        <v>45868.0</v>
      </c>
      <c r="M18" s="34" t="s">
        <v>83</v>
      </c>
      <c r="N18" s="35" t="s">
        <v>55</v>
      </c>
      <c r="O18" s="36"/>
      <c r="P18" s="36">
        <v>1720000.0</v>
      </c>
      <c r="Q18" s="36"/>
      <c r="R18" s="36"/>
      <c r="S18" s="36">
        <f t="shared" si="5"/>
        <v>1720000</v>
      </c>
      <c r="T18" s="36">
        <f t="shared" si="6"/>
        <v>97284170</v>
      </c>
      <c r="U18" s="34"/>
    </row>
    <row r="19" ht="15.75" customHeight="1">
      <c r="A19" s="29">
        <v>46108.0</v>
      </c>
      <c r="B19" s="2" t="s">
        <v>81</v>
      </c>
      <c r="C19" s="30">
        <v>46006.0</v>
      </c>
      <c r="D19" s="8">
        <f t="shared" si="1"/>
        <v>1715402.828</v>
      </c>
      <c r="E19" s="15"/>
      <c r="F19" s="8">
        <f t="shared" si="2"/>
        <v>692923.15</v>
      </c>
      <c r="G19" s="8">
        <f t="shared" si="3"/>
        <v>1022479.678</v>
      </c>
      <c r="H19" s="8">
        <f t="shared" si="4"/>
        <v>68269835.32</v>
      </c>
      <c r="I19" s="1"/>
      <c r="J19" s="41"/>
      <c r="K19" s="1"/>
      <c r="L19" s="42">
        <v>45930.0</v>
      </c>
      <c r="M19" s="43" t="s">
        <v>85</v>
      </c>
      <c r="N19" s="44" t="s">
        <v>62</v>
      </c>
      <c r="O19" s="45"/>
      <c r="P19" s="45">
        <v>1716000.0</v>
      </c>
      <c r="Q19" s="45"/>
      <c r="R19" s="45"/>
      <c r="S19" s="45">
        <f t="shared" si="5"/>
        <v>1716000</v>
      </c>
      <c r="T19" s="45">
        <f t="shared" si="6"/>
        <v>95568170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46141.0</v>
      </c>
      <c r="B20" s="2" t="s">
        <v>92</v>
      </c>
      <c r="C20" s="30">
        <v>46037.0</v>
      </c>
      <c r="D20" s="8">
        <f t="shared" si="1"/>
        <v>1715402.828</v>
      </c>
      <c r="E20" s="15">
        <f>2350000-604627-D20</f>
        <v>29970.17233</v>
      </c>
      <c r="F20" s="8">
        <f t="shared" si="2"/>
        <v>682698.3532</v>
      </c>
      <c r="G20" s="8">
        <f t="shared" si="3"/>
        <v>1062674.647</v>
      </c>
      <c r="H20" s="8">
        <f t="shared" si="4"/>
        <v>67207160.67</v>
      </c>
      <c r="J20" s="5"/>
      <c r="L20" s="33">
        <v>45960.0</v>
      </c>
      <c r="M20" s="34" t="s">
        <v>89</v>
      </c>
      <c r="N20" s="35" t="s">
        <v>68</v>
      </c>
      <c r="O20" s="36"/>
      <c r="P20" s="36">
        <v>1716000.0</v>
      </c>
      <c r="Q20" s="36"/>
      <c r="R20" s="36"/>
      <c r="S20" s="36">
        <f t="shared" si="5"/>
        <v>1716000</v>
      </c>
      <c r="T20" s="36">
        <f t="shared" si="6"/>
        <v>93852170</v>
      </c>
      <c r="U20" s="34"/>
    </row>
    <row r="21" ht="15.75" customHeight="1">
      <c r="A21" s="29">
        <v>46171.0</v>
      </c>
      <c r="B21" s="2" t="s">
        <v>97</v>
      </c>
      <c r="C21" s="30">
        <v>46068.0</v>
      </c>
      <c r="D21" s="8">
        <f t="shared" si="1"/>
        <v>1715402.828</v>
      </c>
      <c r="E21" s="15">
        <f>2350000-D21</f>
        <v>634597.1723</v>
      </c>
      <c r="F21" s="8">
        <f t="shared" si="2"/>
        <v>672071.6067</v>
      </c>
      <c r="G21" s="8">
        <f t="shared" si="3"/>
        <v>1677928.393</v>
      </c>
      <c r="H21" s="8">
        <f t="shared" si="4"/>
        <v>65529232.28</v>
      </c>
      <c r="J21" s="5"/>
      <c r="L21" s="33">
        <v>46004.0</v>
      </c>
      <c r="M21" s="34" t="s">
        <v>93</v>
      </c>
      <c r="N21" s="35" t="s">
        <v>71</v>
      </c>
      <c r="O21" s="36"/>
      <c r="P21" s="36">
        <v>1702000.0</v>
      </c>
      <c r="Q21" s="36"/>
      <c r="R21" s="36"/>
      <c r="S21" s="36">
        <f t="shared" si="5"/>
        <v>1702000</v>
      </c>
      <c r="T21" s="36">
        <f t="shared" si="6"/>
        <v>92150170</v>
      </c>
      <c r="U21" s="34"/>
    </row>
    <row r="22" ht="15.75" customHeight="1">
      <c r="A22" s="29">
        <v>46199.0</v>
      </c>
      <c r="B22" s="2" t="s">
        <v>102</v>
      </c>
      <c r="C22" s="30">
        <v>46096.0</v>
      </c>
      <c r="D22" s="8">
        <f t="shared" si="1"/>
        <v>1715402.828</v>
      </c>
      <c r="E22" s="15"/>
      <c r="F22" s="8">
        <f t="shared" si="2"/>
        <v>655292.3228</v>
      </c>
      <c r="G22" s="8">
        <f t="shared" si="3"/>
        <v>1060110.505</v>
      </c>
      <c r="H22" s="8">
        <f t="shared" si="4"/>
        <v>64469121.78</v>
      </c>
      <c r="J22" s="5"/>
      <c r="L22" s="33">
        <v>46080.0</v>
      </c>
      <c r="M22" s="34" t="s">
        <v>96</v>
      </c>
      <c r="N22" s="35" t="s">
        <v>74</v>
      </c>
      <c r="O22" s="36"/>
      <c r="P22" s="36">
        <v>1710000.0</v>
      </c>
      <c r="Q22" s="36"/>
      <c r="R22" s="36"/>
      <c r="S22" s="36">
        <f t="shared" si="5"/>
        <v>1710000</v>
      </c>
      <c r="T22" s="36">
        <f t="shared" si="6"/>
        <v>90440170</v>
      </c>
      <c r="U22" s="34"/>
    </row>
    <row r="23" ht="15.75" customHeight="1">
      <c r="A23" s="29">
        <v>46234.0</v>
      </c>
      <c r="B23" s="2" t="s">
        <v>106</v>
      </c>
      <c r="C23" s="30">
        <v>46127.0</v>
      </c>
      <c r="D23" s="8">
        <f t="shared" si="1"/>
        <v>1715402.828</v>
      </c>
      <c r="E23" s="8">
        <f>1500000+634597-D23</f>
        <v>419194.1723</v>
      </c>
      <c r="F23" s="8">
        <f t="shared" si="2"/>
        <v>644691.2178</v>
      </c>
      <c r="G23" s="8">
        <f t="shared" si="3"/>
        <v>1489905.782</v>
      </c>
      <c r="H23" s="8">
        <f t="shared" si="4"/>
        <v>62979215.99</v>
      </c>
      <c r="J23" s="5"/>
      <c r="L23" s="33">
        <v>46108.0</v>
      </c>
      <c r="M23" s="34" t="s">
        <v>110</v>
      </c>
      <c r="N23" s="35" t="s">
        <v>81</v>
      </c>
      <c r="O23" s="36"/>
      <c r="P23" s="36">
        <v>2350000.0</v>
      </c>
      <c r="Q23" s="36"/>
      <c r="R23" s="36"/>
      <c r="S23" s="36">
        <f t="shared" si="5"/>
        <v>2350000</v>
      </c>
      <c r="T23" s="36">
        <f t="shared" si="6"/>
        <v>88090170</v>
      </c>
      <c r="U23" s="34"/>
    </row>
    <row r="24" ht="15.75" customHeight="1">
      <c r="A24" s="37"/>
      <c r="B24" s="2"/>
      <c r="C24" s="30">
        <v>46157.0</v>
      </c>
      <c r="D24" s="8">
        <f t="shared" si="1"/>
        <v>1715402.828</v>
      </c>
      <c r="E24" s="46"/>
      <c r="F24" s="8">
        <f t="shared" si="2"/>
        <v>629792.1599</v>
      </c>
      <c r="G24" s="8">
        <f t="shared" si="3"/>
        <v>1085610.668</v>
      </c>
      <c r="H24" s="8">
        <f t="shared" si="4"/>
        <v>61893605.33</v>
      </c>
      <c r="J24" s="5"/>
      <c r="L24" s="33">
        <v>46141.0</v>
      </c>
      <c r="M24" s="34" t="s">
        <v>107</v>
      </c>
      <c r="N24" s="35" t="s">
        <v>92</v>
      </c>
      <c r="O24" s="36"/>
      <c r="P24" s="36">
        <v>2350000.0</v>
      </c>
      <c r="Q24" s="36"/>
      <c r="R24" s="36"/>
      <c r="S24" s="36">
        <f t="shared" si="5"/>
        <v>2350000</v>
      </c>
      <c r="T24" s="36">
        <f t="shared" si="6"/>
        <v>85740170</v>
      </c>
      <c r="U24" s="34"/>
    </row>
    <row r="25" ht="15.75" customHeight="1">
      <c r="B25" s="2"/>
      <c r="C25" s="30">
        <v>46188.0</v>
      </c>
      <c r="D25" s="8">
        <f t="shared" si="1"/>
        <v>1715402.828</v>
      </c>
      <c r="E25" s="46"/>
      <c r="F25" s="8">
        <f t="shared" si="2"/>
        <v>618936.0533</v>
      </c>
      <c r="G25" s="8">
        <f t="shared" si="3"/>
        <v>1096466.774</v>
      </c>
      <c r="H25" s="8">
        <f t="shared" si="4"/>
        <v>60797138.55</v>
      </c>
      <c r="J25" s="5"/>
      <c r="L25" s="33">
        <v>46171.0</v>
      </c>
      <c r="M25" s="34" t="s">
        <v>112</v>
      </c>
      <c r="N25" s="35" t="s">
        <v>97</v>
      </c>
      <c r="O25" s="36"/>
      <c r="P25" s="36">
        <v>2350000.0</v>
      </c>
      <c r="Q25" s="36"/>
      <c r="R25" s="36"/>
      <c r="S25" s="36">
        <f t="shared" si="5"/>
        <v>2350000</v>
      </c>
      <c r="T25" s="36">
        <f t="shared" si="6"/>
        <v>83390170</v>
      </c>
      <c r="U25" s="34"/>
    </row>
    <row r="26" ht="15.75" customHeight="1">
      <c r="B26" s="2"/>
      <c r="C26" s="30">
        <v>46218.0</v>
      </c>
      <c r="D26" s="8">
        <f t="shared" si="1"/>
        <v>1715402.828</v>
      </c>
      <c r="E26" s="46"/>
      <c r="F26" s="8">
        <f t="shared" si="2"/>
        <v>607971.3855</v>
      </c>
      <c r="G26" s="8">
        <f t="shared" si="3"/>
        <v>1107431.442</v>
      </c>
      <c r="H26" s="8">
        <f t="shared" si="4"/>
        <v>59689707.11</v>
      </c>
      <c r="J26" s="5"/>
      <c r="L26" s="33">
        <v>46199.0</v>
      </c>
      <c r="M26" s="34" t="s">
        <v>115</v>
      </c>
      <c r="N26" s="35" t="s">
        <v>102</v>
      </c>
      <c r="O26" s="36"/>
      <c r="P26" s="36">
        <v>2350000.0</v>
      </c>
      <c r="Q26" s="36"/>
      <c r="R26" s="36"/>
      <c r="S26" s="36">
        <f t="shared" si="5"/>
        <v>2350000</v>
      </c>
      <c r="T26" s="36">
        <f t="shared" si="6"/>
        <v>81040170</v>
      </c>
      <c r="U26" s="34"/>
    </row>
    <row r="27" ht="15.75" customHeight="1">
      <c r="B27" s="2"/>
      <c r="C27" s="30">
        <v>46249.0</v>
      </c>
      <c r="D27" s="8">
        <f t="shared" si="1"/>
        <v>1715402.828</v>
      </c>
      <c r="E27" s="46"/>
      <c r="F27" s="8">
        <f t="shared" si="2"/>
        <v>596897.0711</v>
      </c>
      <c r="G27" s="8">
        <f t="shared" si="3"/>
        <v>1118505.757</v>
      </c>
      <c r="H27" s="8">
        <f t="shared" si="4"/>
        <v>58571201.35</v>
      </c>
      <c r="J27" s="5"/>
      <c r="L27" s="33">
        <v>46234.0</v>
      </c>
      <c r="M27" s="34" t="s">
        <v>116</v>
      </c>
      <c r="N27" s="35" t="s">
        <v>106</v>
      </c>
      <c r="O27" s="36"/>
      <c r="P27" s="36">
        <v>1500000.0</v>
      </c>
      <c r="Q27" s="36"/>
      <c r="R27" s="36"/>
      <c r="S27" s="36">
        <f t="shared" si="5"/>
        <v>1500000</v>
      </c>
      <c r="T27" s="36">
        <f t="shared" si="6"/>
        <v>79540170</v>
      </c>
      <c r="U27" s="34"/>
    </row>
    <row r="28" ht="15.75" customHeight="1">
      <c r="B28" s="2"/>
      <c r="C28" s="30">
        <v>46280.0</v>
      </c>
      <c r="D28" s="8">
        <f t="shared" si="1"/>
        <v>1715402.828</v>
      </c>
      <c r="E28" s="46"/>
      <c r="F28" s="8">
        <f t="shared" si="2"/>
        <v>585712.0135</v>
      </c>
      <c r="G28" s="8">
        <f t="shared" si="3"/>
        <v>1129690.814</v>
      </c>
      <c r="H28" s="8">
        <f t="shared" si="4"/>
        <v>57441510.54</v>
      </c>
      <c r="J28" s="5"/>
      <c r="L28" s="25"/>
      <c r="M28" s="38" t="s">
        <v>69</v>
      </c>
      <c r="N28" s="39"/>
      <c r="O28" s="27">
        <f t="shared" ref="O28:S28" si="7">SUM(O11:O27)</f>
        <v>0</v>
      </c>
      <c r="P28" s="27">
        <f t="shared" si="7"/>
        <v>43384000</v>
      </c>
      <c r="Q28" s="27">
        <f t="shared" si="7"/>
        <v>0</v>
      </c>
      <c r="R28" s="27">
        <f t="shared" si="7"/>
        <v>0</v>
      </c>
      <c r="S28" s="27">
        <f t="shared" si="7"/>
        <v>43384000</v>
      </c>
      <c r="T28" s="27">
        <f>T27</f>
        <v>79540170</v>
      </c>
      <c r="U28" s="25"/>
    </row>
    <row r="29" ht="15.75" customHeight="1">
      <c r="B29" s="2"/>
      <c r="C29" s="30">
        <v>46310.0</v>
      </c>
      <c r="D29" s="8">
        <f t="shared" si="1"/>
        <v>1715402.828</v>
      </c>
      <c r="E29" s="46"/>
      <c r="F29" s="8">
        <f t="shared" si="2"/>
        <v>574415.1054</v>
      </c>
      <c r="G29" s="8">
        <f t="shared" si="3"/>
        <v>1140987.722</v>
      </c>
      <c r="H29" s="8">
        <f t="shared" si="4"/>
        <v>56300522.82</v>
      </c>
      <c r="J29" s="5"/>
    </row>
    <row r="30" ht="15.75" customHeight="1">
      <c r="B30" s="2"/>
      <c r="C30" s="30">
        <v>46341.0</v>
      </c>
      <c r="D30" s="8">
        <f t="shared" si="1"/>
        <v>1715402.828</v>
      </c>
      <c r="E30" s="46"/>
      <c r="F30" s="8">
        <f t="shared" si="2"/>
        <v>563005.2282</v>
      </c>
      <c r="G30" s="8">
        <f t="shared" si="3"/>
        <v>1152397.6</v>
      </c>
      <c r="H30" s="8">
        <f t="shared" si="4"/>
        <v>55148125.22</v>
      </c>
      <c r="J30" s="5"/>
    </row>
    <row r="31" ht="15.75" customHeight="1">
      <c r="B31" s="2"/>
      <c r="C31" s="30">
        <v>46371.0</v>
      </c>
      <c r="D31" s="8">
        <f t="shared" si="1"/>
        <v>1715402.828</v>
      </c>
      <c r="E31" s="46"/>
      <c r="F31" s="8">
        <f t="shared" si="2"/>
        <v>551481.2522</v>
      </c>
      <c r="G31" s="8">
        <f t="shared" si="3"/>
        <v>1163921.575</v>
      </c>
      <c r="H31" s="8">
        <f t="shared" si="4"/>
        <v>53984203.64</v>
      </c>
      <c r="J31" s="5"/>
    </row>
    <row r="32" ht="15.75" customHeight="1">
      <c r="B32" s="2"/>
      <c r="C32" s="30">
        <v>46402.0</v>
      </c>
      <c r="D32" s="8">
        <f t="shared" si="1"/>
        <v>1715402.828</v>
      </c>
      <c r="E32" s="46"/>
      <c r="F32" s="8">
        <f t="shared" si="2"/>
        <v>539842.0364</v>
      </c>
      <c r="G32" s="8">
        <f t="shared" si="3"/>
        <v>1175560.791</v>
      </c>
      <c r="H32" s="8">
        <f t="shared" si="4"/>
        <v>52808642.85</v>
      </c>
      <c r="J32" s="5"/>
    </row>
    <row r="33" ht="15.75" customHeight="1">
      <c r="B33" s="2"/>
      <c r="C33" s="30">
        <v>46433.0</v>
      </c>
      <c r="D33" s="8">
        <f t="shared" si="1"/>
        <v>1715402.828</v>
      </c>
      <c r="E33" s="46"/>
      <c r="F33" s="8">
        <f t="shared" si="2"/>
        <v>528086.4285</v>
      </c>
      <c r="G33" s="8">
        <f t="shared" si="3"/>
        <v>1187316.399</v>
      </c>
      <c r="H33" s="8">
        <f t="shared" si="4"/>
        <v>51621326.45</v>
      </c>
      <c r="J33" s="5"/>
    </row>
    <row r="34" ht="15.75" customHeight="1">
      <c r="B34" s="2"/>
      <c r="C34" s="30">
        <v>46461.0</v>
      </c>
      <c r="D34" s="8">
        <f t="shared" si="1"/>
        <v>1715402.828</v>
      </c>
      <c r="E34" s="46"/>
      <c r="F34" s="8">
        <f t="shared" si="2"/>
        <v>516213.2645</v>
      </c>
      <c r="G34" s="8">
        <f t="shared" si="3"/>
        <v>1199189.563</v>
      </c>
      <c r="H34" s="8">
        <f t="shared" si="4"/>
        <v>50422136.89</v>
      </c>
      <c r="J34" s="5"/>
    </row>
    <row r="35" ht="15.75" customHeight="1">
      <c r="B35" s="2"/>
      <c r="C35" s="30">
        <v>46492.0</v>
      </c>
      <c r="D35" s="8">
        <f t="shared" si="1"/>
        <v>1715402.828</v>
      </c>
      <c r="E35" s="46"/>
      <c r="F35" s="8">
        <f t="shared" si="2"/>
        <v>504221.3689</v>
      </c>
      <c r="G35" s="8">
        <f t="shared" si="3"/>
        <v>1211181.459</v>
      </c>
      <c r="H35" s="8">
        <f t="shared" si="4"/>
        <v>49210955.43</v>
      </c>
      <c r="J35" s="5"/>
    </row>
    <row r="36" ht="15.75" customHeight="1">
      <c r="B36" s="2"/>
      <c r="C36" s="30">
        <v>46522.0</v>
      </c>
      <c r="D36" s="8">
        <f t="shared" si="1"/>
        <v>1715402.828</v>
      </c>
      <c r="E36" s="46"/>
      <c r="F36" s="8">
        <f t="shared" si="2"/>
        <v>492109.5543</v>
      </c>
      <c r="G36" s="8">
        <f t="shared" si="3"/>
        <v>1223293.273</v>
      </c>
      <c r="H36" s="8">
        <f t="shared" si="4"/>
        <v>47987662.16</v>
      </c>
      <c r="J36" s="5"/>
    </row>
    <row r="37" ht="15.75" customHeight="1">
      <c r="B37" s="2"/>
      <c r="C37" s="30">
        <v>46553.0</v>
      </c>
      <c r="D37" s="8">
        <f t="shared" si="1"/>
        <v>1715402.828</v>
      </c>
      <c r="E37" s="46"/>
      <c r="F37" s="8">
        <f t="shared" si="2"/>
        <v>479876.6216</v>
      </c>
      <c r="G37" s="8">
        <f t="shared" si="3"/>
        <v>1235526.206</v>
      </c>
      <c r="H37" s="8">
        <f t="shared" si="4"/>
        <v>46752135.95</v>
      </c>
      <c r="J37" s="5"/>
    </row>
    <row r="38" ht="15.75" customHeight="1">
      <c r="B38" s="2"/>
      <c r="C38" s="30">
        <v>46583.0</v>
      </c>
      <c r="D38" s="8">
        <f t="shared" si="1"/>
        <v>1715402.828</v>
      </c>
      <c r="E38" s="46"/>
      <c r="F38" s="8">
        <f t="shared" si="2"/>
        <v>467521.3595</v>
      </c>
      <c r="G38" s="8">
        <f t="shared" si="3"/>
        <v>1247881.468</v>
      </c>
      <c r="H38" s="8">
        <f t="shared" si="4"/>
        <v>45504254.48</v>
      </c>
      <c r="J38" s="5"/>
    </row>
    <row r="39" ht="15.75" customHeight="1">
      <c r="B39" s="2"/>
      <c r="C39" s="30">
        <v>46614.0</v>
      </c>
      <c r="D39" s="8">
        <f t="shared" si="1"/>
        <v>1715402.828</v>
      </c>
      <c r="E39" s="46"/>
      <c r="F39" s="8">
        <f t="shared" si="2"/>
        <v>455042.5448</v>
      </c>
      <c r="G39" s="8">
        <f t="shared" si="3"/>
        <v>1260360.283</v>
      </c>
      <c r="H39" s="8">
        <f t="shared" si="4"/>
        <v>44243894.2</v>
      </c>
      <c r="J39" s="5"/>
    </row>
    <row r="40" ht="15.75" customHeight="1">
      <c r="B40" s="2"/>
      <c r="C40" s="30">
        <v>46645.0</v>
      </c>
      <c r="D40" s="8">
        <f t="shared" si="1"/>
        <v>1715402.828</v>
      </c>
      <c r="E40" s="46"/>
      <c r="F40" s="8">
        <f t="shared" si="2"/>
        <v>442438.942</v>
      </c>
      <c r="G40" s="8">
        <f t="shared" si="3"/>
        <v>1272963.886</v>
      </c>
      <c r="H40" s="8">
        <f t="shared" si="4"/>
        <v>42970930.31</v>
      </c>
      <c r="J40" s="5"/>
    </row>
    <row r="41" ht="15.75" customHeight="1">
      <c r="B41" s="2"/>
      <c r="C41" s="30">
        <v>46675.0</v>
      </c>
      <c r="D41" s="8">
        <f t="shared" si="1"/>
        <v>1715402.828</v>
      </c>
      <c r="E41" s="46"/>
      <c r="F41" s="8">
        <f t="shared" si="2"/>
        <v>429709.3031</v>
      </c>
      <c r="G41" s="8">
        <f t="shared" si="3"/>
        <v>1285693.525</v>
      </c>
      <c r="H41" s="8">
        <f t="shared" si="4"/>
        <v>41685236.79</v>
      </c>
      <c r="J41" s="5"/>
    </row>
    <row r="42" ht="15.75" customHeight="1">
      <c r="B42" s="2"/>
      <c r="C42" s="30">
        <v>46706.0</v>
      </c>
      <c r="D42" s="8">
        <f t="shared" si="1"/>
        <v>1715402.828</v>
      </c>
      <c r="E42" s="46"/>
      <c r="F42" s="8">
        <f t="shared" si="2"/>
        <v>416852.3679</v>
      </c>
      <c r="G42" s="8">
        <f t="shared" si="3"/>
        <v>1298550.46</v>
      </c>
      <c r="H42" s="8">
        <f t="shared" si="4"/>
        <v>40386686.33</v>
      </c>
      <c r="J42" s="5"/>
    </row>
    <row r="43" ht="15.75" customHeight="1">
      <c r="B43" s="2"/>
      <c r="C43" s="30">
        <v>46736.0</v>
      </c>
      <c r="D43" s="8">
        <f t="shared" si="1"/>
        <v>1715402.828</v>
      </c>
      <c r="E43" s="46"/>
      <c r="F43" s="8">
        <f t="shared" si="2"/>
        <v>403866.8633</v>
      </c>
      <c r="G43" s="8">
        <f t="shared" si="3"/>
        <v>1311535.964</v>
      </c>
      <c r="H43" s="8">
        <f t="shared" si="4"/>
        <v>39075150.36</v>
      </c>
      <c r="J43" s="5"/>
    </row>
    <row r="44" ht="15.75" customHeight="1">
      <c r="B44" s="2"/>
      <c r="C44" s="30">
        <v>46767.0</v>
      </c>
      <c r="D44" s="8">
        <f t="shared" si="1"/>
        <v>1715402.828</v>
      </c>
      <c r="E44" s="46"/>
      <c r="F44" s="8">
        <f t="shared" si="2"/>
        <v>390751.5036</v>
      </c>
      <c r="G44" s="8">
        <f t="shared" si="3"/>
        <v>1324651.324</v>
      </c>
      <c r="H44" s="8">
        <f t="shared" si="4"/>
        <v>37750499.04</v>
      </c>
      <c r="J44" s="5"/>
    </row>
    <row r="45" ht="15.75" customHeight="1">
      <c r="B45" s="2"/>
      <c r="C45" s="30">
        <v>46798.0</v>
      </c>
      <c r="D45" s="8">
        <f t="shared" si="1"/>
        <v>1715402.828</v>
      </c>
      <c r="E45" s="46"/>
      <c r="F45" s="8">
        <f t="shared" si="2"/>
        <v>377504.9904</v>
      </c>
      <c r="G45" s="8">
        <f t="shared" si="3"/>
        <v>1337897.837</v>
      </c>
      <c r="H45" s="8">
        <f t="shared" si="4"/>
        <v>36412601.2</v>
      </c>
      <c r="J45" s="5"/>
    </row>
    <row r="46" ht="15.75" customHeight="1">
      <c r="B46" s="2"/>
      <c r="C46" s="30">
        <v>46827.0</v>
      </c>
      <c r="D46" s="8">
        <f t="shared" si="1"/>
        <v>1715402.828</v>
      </c>
      <c r="E46" s="46"/>
      <c r="F46" s="8">
        <f t="shared" si="2"/>
        <v>364126.012</v>
      </c>
      <c r="G46" s="8">
        <f t="shared" si="3"/>
        <v>1351276.816</v>
      </c>
      <c r="H46" s="8">
        <f t="shared" si="4"/>
        <v>35061324.39</v>
      </c>
      <c r="J46" s="5"/>
    </row>
    <row r="47" ht="15.75" customHeight="1">
      <c r="B47" s="2"/>
      <c r="C47" s="30">
        <v>46858.0</v>
      </c>
      <c r="D47" s="8">
        <f t="shared" si="1"/>
        <v>1715402.828</v>
      </c>
      <c r="E47" s="46"/>
      <c r="F47" s="8">
        <f t="shared" si="2"/>
        <v>350613.2439</v>
      </c>
      <c r="G47" s="8">
        <f t="shared" si="3"/>
        <v>1364789.584</v>
      </c>
      <c r="H47" s="8">
        <f t="shared" si="4"/>
        <v>33696534.8</v>
      </c>
      <c r="J47" s="5"/>
    </row>
    <row r="48" ht="15.75" customHeight="1">
      <c r="B48" s="2"/>
      <c r="C48" s="30">
        <v>46888.0</v>
      </c>
      <c r="D48" s="8">
        <f t="shared" si="1"/>
        <v>1715402.828</v>
      </c>
      <c r="E48" s="46"/>
      <c r="F48" s="8">
        <f t="shared" si="2"/>
        <v>336965.348</v>
      </c>
      <c r="G48" s="8">
        <f t="shared" si="3"/>
        <v>1378437.48</v>
      </c>
      <c r="H48" s="8">
        <f t="shared" si="4"/>
        <v>32318097.32</v>
      </c>
      <c r="J48" s="5"/>
    </row>
    <row r="49" ht="15.75" customHeight="1">
      <c r="B49" s="2"/>
      <c r="C49" s="30">
        <v>46919.0</v>
      </c>
      <c r="D49" s="8">
        <f t="shared" si="1"/>
        <v>1715402.828</v>
      </c>
      <c r="E49" s="46"/>
      <c r="F49" s="8">
        <f t="shared" si="2"/>
        <v>323180.9732</v>
      </c>
      <c r="G49" s="8">
        <f t="shared" si="3"/>
        <v>1392221.854</v>
      </c>
      <c r="H49" s="8">
        <f t="shared" si="4"/>
        <v>30925875.47</v>
      </c>
      <c r="J49" s="5"/>
    </row>
    <row r="50" ht="15.75" customHeight="1">
      <c r="B50" s="2"/>
      <c r="C50" s="30">
        <v>46949.0</v>
      </c>
      <c r="D50" s="8">
        <f t="shared" si="1"/>
        <v>1715402.828</v>
      </c>
      <c r="E50" s="46"/>
      <c r="F50" s="8">
        <f t="shared" si="2"/>
        <v>309258.7547</v>
      </c>
      <c r="G50" s="8">
        <f t="shared" si="3"/>
        <v>1406144.073</v>
      </c>
      <c r="H50" s="8">
        <f t="shared" si="4"/>
        <v>29519731.4</v>
      </c>
      <c r="J50" s="5"/>
    </row>
    <row r="51" ht="15.75" customHeight="1">
      <c r="B51" s="2"/>
      <c r="C51" s="30">
        <v>46980.0</v>
      </c>
      <c r="D51" s="8">
        <f t="shared" si="1"/>
        <v>1715402.828</v>
      </c>
      <c r="E51" s="46"/>
      <c r="F51" s="8">
        <f t="shared" si="2"/>
        <v>295197.314</v>
      </c>
      <c r="G51" s="8">
        <f t="shared" si="3"/>
        <v>1420205.514</v>
      </c>
      <c r="H51" s="8">
        <f t="shared" si="4"/>
        <v>28099525.88</v>
      </c>
      <c r="J51" s="5"/>
    </row>
    <row r="52" ht="15.75" customHeight="1">
      <c r="B52" s="2"/>
      <c r="C52" s="30">
        <v>47011.0</v>
      </c>
      <c r="D52" s="8">
        <f t="shared" si="1"/>
        <v>1715402.828</v>
      </c>
      <c r="E52" s="46"/>
      <c r="F52" s="8">
        <f t="shared" si="2"/>
        <v>280995.2588</v>
      </c>
      <c r="G52" s="8">
        <f t="shared" si="3"/>
        <v>1434407.569</v>
      </c>
      <c r="H52" s="8">
        <f t="shared" si="4"/>
        <v>26665118.31</v>
      </c>
      <c r="J52" s="5"/>
    </row>
    <row r="53" ht="15.75" customHeight="1">
      <c r="B53" s="2"/>
      <c r="C53" s="30">
        <v>47041.0</v>
      </c>
      <c r="D53" s="8">
        <f t="shared" si="1"/>
        <v>1715402.828</v>
      </c>
      <c r="E53" s="46"/>
      <c r="F53" s="8">
        <f t="shared" si="2"/>
        <v>266651.1831</v>
      </c>
      <c r="G53" s="8">
        <f t="shared" si="3"/>
        <v>1448751.645</v>
      </c>
      <c r="H53" s="8">
        <f t="shared" si="4"/>
        <v>25216366.67</v>
      </c>
      <c r="J53" s="5"/>
    </row>
    <row r="54" ht="15.75" customHeight="1">
      <c r="B54" s="2"/>
      <c r="C54" s="30">
        <v>47072.0</v>
      </c>
      <c r="D54" s="8">
        <f t="shared" si="1"/>
        <v>1715402.828</v>
      </c>
      <c r="E54" s="46"/>
      <c r="F54" s="8">
        <f t="shared" si="2"/>
        <v>252163.6667</v>
      </c>
      <c r="G54" s="8">
        <f t="shared" si="3"/>
        <v>1463239.161</v>
      </c>
      <c r="H54" s="8">
        <f t="shared" si="4"/>
        <v>23753127.51</v>
      </c>
      <c r="J54" s="5"/>
    </row>
    <row r="55" ht="15.75" customHeight="1">
      <c r="B55" s="2"/>
      <c r="C55" s="30">
        <v>47102.0</v>
      </c>
      <c r="D55" s="8">
        <f t="shared" si="1"/>
        <v>1715402.828</v>
      </c>
      <c r="E55" s="46"/>
      <c r="F55" s="8">
        <f t="shared" si="2"/>
        <v>237531.2751</v>
      </c>
      <c r="G55" s="8">
        <f t="shared" si="3"/>
        <v>1477871.553</v>
      </c>
      <c r="H55" s="8">
        <f t="shared" si="4"/>
        <v>22275255.96</v>
      </c>
      <c r="J55" s="5"/>
    </row>
    <row r="56" ht="15.75" customHeight="1">
      <c r="B56" s="2"/>
      <c r="C56" s="30">
        <v>47133.0</v>
      </c>
      <c r="D56" s="8">
        <f t="shared" si="1"/>
        <v>1715402.828</v>
      </c>
      <c r="E56" s="46"/>
      <c r="F56" s="8">
        <f t="shared" si="2"/>
        <v>222752.5596</v>
      </c>
      <c r="G56" s="8">
        <f t="shared" si="3"/>
        <v>1492650.268</v>
      </c>
      <c r="H56" s="8">
        <f t="shared" si="4"/>
        <v>20782605.69</v>
      </c>
      <c r="J56" s="5"/>
    </row>
    <row r="57" ht="15.75" customHeight="1">
      <c r="B57" s="2"/>
      <c r="C57" s="30">
        <v>47164.0</v>
      </c>
      <c r="D57" s="8">
        <f t="shared" si="1"/>
        <v>1715402.828</v>
      </c>
      <c r="E57" s="46"/>
      <c r="F57" s="8">
        <f t="shared" si="2"/>
        <v>207826.0569</v>
      </c>
      <c r="G57" s="8">
        <f t="shared" si="3"/>
        <v>1507576.771</v>
      </c>
      <c r="H57" s="8">
        <f t="shared" si="4"/>
        <v>19275028.92</v>
      </c>
      <c r="J57" s="5"/>
    </row>
    <row r="58" ht="15.75" customHeight="1">
      <c r="B58" s="2"/>
      <c r="C58" s="30">
        <v>47192.0</v>
      </c>
      <c r="D58" s="8">
        <f t="shared" si="1"/>
        <v>1715402.828</v>
      </c>
      <c r="E58" s="46"/>
      <c r="F58" s="8">
        <f t="shared" si="2"/>
        <v>192750.2892</v>
      </c>
      <c r="G58" s="8">
        <f t="shared" si="3"/>
        <v>1522652.538</v>
      </c>
      <c r="H58" s="8">
        <f t="shared" si="4"/>
        <v>17752376.38</v>
      </c>
      <c r="J58" s="5"/>
    </row>
    <row r="59" ht="15.75" customHeight="1">
      <c r="B59" s="2"/>
      <c r="C59" s="30">
        <v>47223.0</v>
      </c>
      <c r="D59" s="8">
        <f t="shared" si="1"/>
        <v>1715402.828</v>
      </c>
      <c r="E59" s="46"/>
      <c r="F59" s="8">
        <f t="shared" si="2"/>
        <v>177523.7638</v>
      </c>
      <c r="G59" s="8">
        <f t="shared" si="3"/>
        <v>1537879.064</v>
      </c>
      <c r="H59" s="8">
        <f t="shared" si="4"/>
        <v>16214497.31</v>
      </c>
      <c r="J59" s="5"/>
    </row>
    <row r="60" ht="15.75" customHeight="1">
      <c r="B60" s="2"/>
      <c r="C60" s="30">
        <v>47253.0</v>
      </c>
      <c r="D60" s="8">
        <f t="shared" si="1"/>
        <v>1715402.828</v>
      </c>
      <c r="E60" s="46"/>
      <c r="F60" s="8">
        <f t="shared" si="2"/>
        <v>162144.9731</v>
      </c>
      <c r="G60" s="8">
        <f t="shared" si="3"/>
        <v>1553257.855</v>
      </c>
      <c r="H60" s="8">
        <f t="shared" si="4"/>
        <v>14661239.46</v>
      </c>
      <c r="J60" s="5"/>
    </row>
    <row r="61" ht="15.75" customHeight="1">
      <c r="B61" s="2"/>
      <c r="C61" s="30">
        <v>47284.0</v>
      </c>
      <c r="D61" s="8">
        <f t="shared" si="1"/>
        <v>1715402.828</v>
      </c>
      <c r="E61" s="46"/>
      <c r="F61" s="8">
        <f t="shared" si="2"/>
        <v>146612.3946</v>
      </c>
      <c r="G61" s="8">
        <f t="shared" si="3"/>
        <v>1568790.433</v>
      </c>
      <c r="H61" s="8">
        <f t="shared" si="4"/>
        <v>13092449.03</v>
      </c>
      <c r="J61" s="5"/>
    </row>
    <row r="62" ht="15.75" customHeight="1">
      <c r="B62" s="2"/>
      <c r="C62" s="30">
        <v>47314.0</v>
      </c>
      <c r="D62" s="8">
        <f t="shared" si="1"/>
        <v>1715402.828</v>
      </c>
      <c r="E62" s="46"/>
      <c r="F62" s="8">
        <f t="shared" si="2"/>
        <v>130924.4903</v>
      </c>
      <c r="G62" s="8">
        <f t="shared" si="3"/>
        <v>1584478.337</v>
      </c>
      <c r="H62" s="8">
        <f t="shared" si="4"/>
        <v>11507970.69</v>
      </c>
      <c r="J62" s="5"/>
    </row>
    <row r="63" ht="15.75" customHeight="1">
      <c r="B63" s="2"/>
      <c r="C63" s="30">
        <v>47345.0</v>
      </c>
      <c r="D63" s="8">
        <f t="shared" si="1"/>
        <v>1715402.828</v>
      </c>
      <c r="E63" s="46"/>
      <c r="F63" s="8">
        <f t="shared" si="2"/>
        <v>115079.7069</v>
      </c>
      <c r="G63" s="8">
        <f t="shared" si="3"/>
        <v>1600323.121</v>
      </c>
      <c r="H63" s="8">
        <f t="shared" si="4"/>
        <v>9907647.569</v>
      </c>
      <c r="J63" s="5"/>
    </row>
    <row r="64" ht="15.75" customHeight="1">
      <c r="B64" s="2"/>
      <c r="C64" s="30">
        <v>47376.0</v>
      </c>
      <c r="D64" s="8">
        <f t="shared" si="1"/>
        <v>1715402.828</v>
      </c>
      <c r="E64" s="46"/>
      <c r="F64" s="8">
        <f t="shared" si="2"/>
        <v>99076.47569</v>
      </c>
      <c r="G64" s="8">
        <f t="shared" si="3"/>
        <v>1616326.352</v>
      </c>
      <c r="H64" s="8">
        <f t="shared" si="4"/>
        <v>8291321.217</v>
      </c>
      <c r="J64" s="5"/>
    </row>
    <row r="65" ht="15.75" customHeight="1">
      <c r="B65" s="2"/>
      <c r="C65" s="30">
        <v>47406.0</v>
      </c>
      <c r="D65" s="8">
        <f t="shared" si="1"/>
        <v>1715402.828</v>
      </c>
      <c r="E65" s="46"/>
      <c r="F65" s="8">
        <f t="shared" si="2"/>
        <v>82913.21217</v>
      </c>
      <c r="G65" s="8">
        <f t="shared" si="3"/>
        <v>1632489.616</v>
      </c>
      <c r="H65" s="8">
        <f t="shared" si="4"/>
        <v>6658831.601</v>
      </c>
      <c r="J65" s="5"/>
    </row>
    <row r="66" ht="15.75" customHeight="1">
      <c r="B66" s="2"/>
      <c r="C66" s="30">
        <v>47437.0</v>
      </c>
      <c r="D66" s="8">
        <f t="shared" si="1"/>
        <v>1715402.828</v>
      </c>
      <c r="E66" s="46"/>
      <c r="F66" s="8">
        <f t="shared" si="2"/>
        <v>66588.31601</v>
      </c>
      <c r="G66" s="8">
        <f t="shared" si="3"/>
        <v>1648814.512</v>
      </c>
      <c r="H66" s="8">
        <f t="shared" si="4"/>
        <v>5010017.09</v>
      </c>
      <c r="J66" s="5"/>
    </row>
    <row r="67" ht="15.75" customHeight="1">
      <c r="B67" s="2"/>
      <c r="C67" s="30">
        <v>47467.0</v>
      </c>
      <c r="D67" s="8">
        <f t="shared" si="1"/>
        <v>1715402.828</v>
      </c>
      <c r="E67" s="46"/>
      <c r="F67" s="8">
        <f t="shared" si="2"/>
        <v>50100.1709</v>
      </c>
      <c r="G67" s="8">
        <f t="shared" si="3"/>
        <v>1665302.657</v>
      </c>
      <c r="H67" s="8">
        <f t="shared" si="4"/>
        <v>3344714.433</v>
      </c>
      <c r="J67" s="5"/>
    </row>
    <row r="68" ht="15.75" customHeight="1">
      <c r="B68" s="2"/>
      <c r="C68" s="30">
        <v>47498.0</v>
      </c>
      <c r="D68" s="8">
        <f t="shared" si="1"/>
        <v>1715402.828</v>
      </c>
      <c r="E68" s="46"/>
      <c r="F68" s="8">
        <f t="shared" si="2"/>
        <v>33447.14433</v>
      </c>
      <c r="G68" s="8">
        <f t="shared" si="3"/>
        <v>1681955.683</v>
      </c>
      <c r="H68" s="8">
        <f t="shared" si="4"/>
        <v>1662758.75</v>
      </c>
      <c r="J68" s="5"/>
    </row>
    <row r="69" ht="15.75" customHeight="1">
      <c r="B69" s="2"/>
      <c r="C69" s="30">
        <v>47529.0</v>
      </c>
      <c r="D69" s="8">
        <f t="shared" si="1"/>
        <v>1715402.828</v>
      </c>
      <c r="E69" s="46"/>
      <c r="F69" s="8">
        <f t="shared" si="2"/>
        <v>16627.5875</v>
      </c>
      <c r="G69" s="8">
        <f t="shared" si="3"/>
        <v>1698775.24</v>
      </c>
      <c r="H69" s="8">
        <f t="shared" si="4"/>
        <v>-36016.49062</v>
      </c>
      <c r="J69" s="5"/>
    </row>
    <row r="70" ht="15.75" customHeight="1">
      <c r="B70" s="2"/>
      <c r="C70" s="30">
        <v>47557.0</v>
      </c>
      <c r="D70" s="8">
        <f t="shared" si="1"/>
        <v>1715402.828</v>
      </c>
      <c r="E70" s="46"/>
      <c r="F70" s="8">
        <f t="shared" si="2"/>
        <v>-360.1649062</v>
      </c>
      <c r="G70" s="8">
        <f t="shared" si="3"/>
        <v>1715762.993</v>
      </c>
      <c r="H70" s="8">
        <f t="shared" si="4"/>
        <v>-1751779.483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2">
    <mergeCell ref="D1:E1"/>
    <mergeCell ref="D7:E7"/>
  </mergeCells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7.67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5</v>
      </c>
      <c r="J1" s="5"/>
    </row>
    <row r="2" ht="15.75" customHeight="1">
      <c r="B2" s="2"/>
      <c r="C2" s="1" t="s">
        <v>6</v>
      </c>
      <c r="D2" s="6">
        <f>+A5*10%</f>
        <v>9711600</v>
      </c>
      <c r="E2" s="7"/>
      <c r="J2" s="5"/>
    </row>
    <row r="3" ht="15.75" customHeight="1">
      <c r="B3" s="2"/>
      <c r="C3" s="1" t="s">
        <v>7</v>
      </c>
      <c r="D3" s="8">
        <f>+A5-D2</f>
        <v>87404400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9.7116E7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1944262.603</v>
      </c>
      <c r="E6" s="12"/>
      <c r="H6" s="5"/>
      <c r="J6" s="5"/>
    </row>
    <row r="7" ht="15.75" customHeight="1">
      <c r="B7" s="2"/>
      <c r="C7" s="1" t="s">
        <v>12</v>
      </c>
      <c r="D7" s="15" t="s">
        <v>18</v>
      </c>
      <c r="H7" s="5"/>
      <c r="J7" s="5"/>
    </row>
    <row r="8" ht="15.75" customHeight="1">
      <c r="B8" s="2"/>
      <c r="C8" s="1" t="s">
        <v>16</v>
      </c>
      <c r="D8" s="20" t="s">
        <v>19</v>
      </c>
      <c r="H8" s="5"/>
      <c r="I8" s="17"/>
      <c r="J8" s="19"/>
      <c r="K8" s="17"/>
      <c r="L8" s="21" t="s">
        <v>23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87404400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1.26367356E8</v>
      </c>
      <c r="U10" s="25"/>
    </row>
    <row r="11" ht="15.75" customHeight="1">
      <c r="A11" s="32">
        <v>45779.0</v>
      </c>
      <c r="B11" s="2" t="s">
        <v>43</v>
      </c>
      <c r="C11" s="30">
        <v>45777.0</v>
      </c>
      <c r="D11" s="8">
        <f t="shared" ref="D11:D70" si="1">$D$6</f>
        <v>1944262.603</v>
      </c>
      <c r="E11" s="15">
        <f>13000000-D11</f>
        <v>11055737.4</v>
      </c>
      <c r="F11" s="8">
        <f t="shared" ref="F11:F70" si="2">+H10*$D$4</f>
        <v>874044</v>
      </c>
      <c r="G11" s="8">
        <f t="shared" ref="G11:G70" si="3">+D11+E11-F11</f>
        <v>12125956</v>
      </c>
      <c r="H11" s="8">
        <f t="shared" ref="H11:H70" si="4">+H10-G11</f>
        <v>75278444</v>
      </c>
      <c r="J11" s="5"/>
      <c r="L11" s="33">
        <v>45656.0</v>
      </c>
      <c r="M11" s="34" t="s">
        <v>44</v>
      </c>
      <c r="N11" s="35" t="s">
        <v>52</v>
      </c>
      <c r="O11" s="36"/>
      <c r="P11" s="36">
        <v>1000000.0</v>
      </c>
      <c r="Q11" s="36"/>
      <c r="R11" s="36"/>
      <c r="S11" s="36">
        <f t="shared" ref="S11:S30" si="5">SUM(O11:R11)</f>
        <v>1000000</v>
      </c>
      <c r="T11" s="36">
        <f t="shared" ref="T11:T30" si="6">T10-S11</f>
        <v>125367356</v>
      </c>
      <c r="U11" s="34"/>
    </row>
    <row r="12" ht="15.75" customHeight="1">
      <c r="A12" s="32">
        <v>45832.0</v>
      </c>
      <c r="B12" s="2" t="s">
        <v>60</v>
      </c>
      <c r="C12" s="30">
        <v>45808.0</v>
      </c>
      <c r="D12" s="8">
        <f t="shared" si="1"/>
        <v>1944262.603</v>
      </c>
      <c r="E12" s="15"/>
      <c r="F12" s="8">
        <f t="shared" si="2"/>
        <v>752784.44</v>
      </c>
      <c r="G12" s="8">
        <f t="shared" si="3"/>
        <v>1191478.163</v>
      </c>
      <c r="H12" s="8">
        <f t="shared" si="4"/>
        <v>74086965.84</v>
      </c>
      <c r="J12" s="5"/>
      <c r="L12" s="33">
        <v>45688.0</v>
      </c>
      <c r="M12" s="34" t="s">
        <v>44</v>
      </c>
      <c r="N12" s="35" t="s">
        <v>65</v>
      </c>
      <c r="O12" s="36"/>
      <c r="P12" s="36">
        <v>2903866.0</v>
      </c>
      <c r="Q12" s="36"/>
      <c r="R12" s="36"/>
      <c r="S12" s="36">
        <f t="shared" si="5"/>
        <v>2903866</v>
      </c>
      <c r="T12" s="36">
        <f t="shared" si="6"/>
        <v>122463490</v>
      </c>
      <c r="U12" s="34"/>
    </row>
    <row r="13" ht="15.75" customHeight="1">
      <c r="A13" s="32">
        <v>45832.0</v>
      </c>
      <c r="B13" s="2" t="s">
        <v>60</v>
      </c>
      <c r="C13" s="30">
        <v>45838.0</v>
      </c>
      <c r="D13" s="8">
        <f t="shared" si="1"/>
        <v>1944262.603</v>
      </c>
      <c r="E13" s="15">
        <f>15888526-D12-D13</f>
        <v>12000000.79</v>
      </c>
      <c r="F13" s="8">
        <f t="shared" si="2"/>
        <v>740869.6584</v>
      </c>
      <c r="G13" s="8">
        <f t="shared" si="3"/>
        <v>13203393.74</v>
      </c>
      <c r="H13" s="8">
        <f t="shared" si="4"/>
        <v>60883572.1</v>
      </c>
      <c r="J13" s="5" t="s">
        <v>56</v>
      </c>
      <c r="L13" s="33">
        <v>45717.0</v>
      </c>
      <c r="M13" s="34" t="s">
        <v>44</v>
      </c>
      <c r="N13" s="35" t="s">
        <v>72</v>
      </c>
      <c r="O13" s="36"/>
      <c r="P13" s="36">
        <v>2903866.0</v>
      </c>
      <c r="Q13" s="36"/>
      <c r="R13" s="36"/>
      <c r="S13" s="36">
        <f t="shared" si="5"/>
        <v>2903866</v>
      </c>
      <c r="T13" s="36">
        <f t="shared" si="6"/>
        <v>119559624</v>
      </c>
      <c r="U13" s="34"/>
    </row>
    <row r="14" ht="15.75" customHeight="1">
      <c r="A14" s="32">
        <v>45840.0</v>
      </c>
      <c r="B14" s="2" t="s">
        <v>75</v>
      </c>
      <c r="C14" s="30">
        <v>45869.0</v>
      </c>
      <c r="D14" s="8">
        <f t="shared" si="1"/>
        <v>1944262.603</v>
      </c>
      <c r="E14" s="15"/>
      <c r="F14" s="8">
        <f t="shared" si="2"/>
        <v>608835.721</v>
      </c>
      <c r="G14" s="8">
        <f t="shared" si="3"/>
        <v>1335426.882</v>
      </c>
      <c r="H14" s="8">
        <f t="shared" si="4"/>
        <v>59548145.22</v>
      </c>
      <c r="J14" s="8">
        <f>+H10</f>
        <v>87404400</v>
      </c>
      <c r="L14" s="33">
        <v>45748.0</v>
      </c>
      <c r="M14" s="34" t="s">
        <v>44</v>
      </c>
      <c r="N14" s="35" t="s">
        <v>79</v>
      </c>
      <c r="O14" s="36"/>
      <c r="P14" s="36">
        <v>2903866.0</v>
      </c>
      <c r="Q14" s="36"/>
      <c r="R14" s="36"/>
      <c r="S14" s="36">
        <f t="shared" si="5"/>
        <v>2903866</v>
      </c>
      <c r="T14" s="36">
        <f t="shared" si="6"/>
        <v>116655758</v>
      </c>
      <c r="U14" s="34"/>
    </row>
    <row r="15" ht="15.75" customHeight="1">
      <c r="A15" s="32">
        <v>45875.0</v>
      </c>
      <c r="B15" s="2" t="s">
        <v>82</v>
      </c>
      <c r="C15" s="30">
        <v>45900.0</v>
      </c>
      <c r="D15" s="8">
        <f t="shared" si="1"/>
        <v>1944262.603</v>
      </c>
      <c r="E15" s="15"/>
      <c r="F15" s="8">
        <f t="shared" si="2"/>
        <v>595481.4522</v>
      </c>
      <c r="G15" s="8">
        <f t="shared" si="3"/>
        <v>1348781.151</v>
      </c>
      <c r="H15" s="8">
        <f t="shared" si="4"/>
        <v>58199364.07</v>
      </c>
      <c r="J15" s="5"/>
      <c r="L15" s="33">
        <v>45779.0</v>
      </c>
      <c r="M15" s="34" t="s">
        <v>73</v>
      </c>
      <c r="N15" s="35" t="s">
        <v>43</v>
      </c>
      <c r="O15" s="36"/>
      <c r="P15" s="36">
        <v>1.3E7</v>
      </c>
      <c r="Q15" s="36"/>
      <c r="R15" s="36"/>
      <c r="S15" s="36">
        <f t="shared" si="5"/>
        <v>13000000</v>
      </c>
      <c r="T15" s="36">
        <f t="shared" si="6"/>
        <v>103655758</v>
      </c>
      <c r="U15" s="34"/>
    </row>
    <row r="16" ht="15.75" customHeight="1">
      <c r="A16" s="32">
        <v>45903.0</v>
      </c>
      <c r="B16" s="2" t="s">
        <v>86</v>
      </c>
      <c r="C16" s="30">
        <v>45930.0</v>
      </c>
      <c r="D16" s="8">
        <f t="shared" si="1"/>
        <v>1944262.603</v>
      </c>
      <c r="E16" s="15"/>
      <c r="F16" s="8">
        <f t="shared" si="2"/>
        <v>581993.6407</v>
      </c>
      <c r="G16" s="8">
        <f t="shared" si="3"/>
        <v>1362268.963</v>
      </c>
      <c r="H16" s="8">
        <f t="shared" si="4"/>
        <v>56837095.1</v>
      </c>
      <c r="J16" s="5"/>
      <c r="L16" s="33">
        <v>45832.0</v>
      </c>
      <c r="M16" s="34" t="s">
        <v>88</v>
      </c>
      <c r="N16" s="35" t="s">
        <v>60</v>
      </c>
      <c r="O16" s="36"/>
      <c r="P16" s="36">
        <v>1.5888526E7</v>
      </c>
      <c r="Q16" s="36"/>
      <c r="R16" s="36"/>
      <c r="S16" s="36">
        <f t="shared" si="5"/>
        <v>15888526</v>
      </c>
      <c r="T16" s="36">
        <f t="shared" si="6"/>
        <v>87767232</v>
      </c>
      <c r="U16" s="34"/>
    </row>
    <row r="17" ht="15.75" customHeight="1">
      <c r="A17" s="32">
        <v>45936.0</v>
      </c>
      <c r="B17" s="2" t="s">
        <v>90</v>
      </c>
      <c r="C17" s="30">
        <v>45961.0</v>
      </c>
      <c r="D17" s="8">
        <f t="shared" si="1"/>
        <v>1944262.603</v>
      </c>
      <c r="E17" s="15"/>
      <c r="F17" s="8">
        <f t="shared" si="2"/>
        <v>568370.951</v>
      </c>
      <c r="G17" s="8">
        <f t="shared" si="3"/>
        <v>1375891.652</v>
      </c>
      <c r="H17" s="8">
        <f t="shared" si="4"/>
        <v>55461203.45</v>
      </c>
      <c r="J17" s="5"/>
      <c r="L17" s="33">
        <v>45840.0</v>
      </c>
      <c r="M17" s="34" t="s">
        <v>85</v>
      </c>
      <c r="N17" s="35" t="s">
        <v>75</v>
      </c>
      <c r="O17" s="36"/>
      <c r="P17" s="36">
        <v>1944263.0</v>
      </c>
      <c r="Q17" s="36"/>
      <c r="R17" s="36"/>
      <c r="S17" s="36">
        <f t="shared" si="5"/>
        <v>1944263</v>
      </c>
      <c r="T17" s="36">
        <f t="shared" si="6"/>
        <v>85822969</v>
      </c>
      <c r="U17" s="34"/>
    </row>
    <row r="18" ht="15.75" customHeight="1">
      <c r="A18" s="32">
        <v>45966.0</v>
      </c>
      <c r="B18" s="2" t="s">
        <v>94</v>
      </c>
      <c r="C18" s="30">
        <v>45991.0</v>
      </c>
      <c r="D18" s="8">
        <f t="shared" si="1"/>
        <v>1944262.603</v>
      </c>
      <c r="E18" s="15"/>
      <c r="F18" s="8">
        <f t="shared" si="2"/>
        <v>554612.0345</v>
      </c>
      <c r="G18" s="8">
        <f t="shared" si="3"/>
        <v>1389650.569</v>
      </c>
      <c r="H18" s="8">
        <f t="shared" si="4"/>
        <v>54071552.88</v>
      </c>
      <c r="J18" s="5"/>
      <c r="L18" s="33">
        <v>45875.0</v>
      </c>
      <c r="M18" s="34" t="s">
        <v>89</v>
      </c>
      <c r="N18" s="35" t="s">
        <v>82</v>
      </c>
      <c r="O18" s="36"/>
      <c r="P18" s="36">
        <v>1944263.0</v>
      </c>
      <c r="Q18" s="36"/>
      <c r="R18" s="36"/>
      <c r="S18" s="36">
        <f t="shared" si="5"/>
        <v>1944263</v>
      </c>
      <c r="T18" s="36">
        <f t="shared" si="6"/>
        <v>83878706</v>
      </c>
      <c r="U18" s="34"/>
    </row>
    <row r="19" ht="15.75" customHeight="1">
      <c r="A19" s="32">
        <v>45992.0</v>
      </c>
      <c r="B19" s="2" t="s">
        <v>99</v>
      </c>
      <c r="C19" s="30">
        <v>46022.0</v>
      </c>
      <c r="D19" s="8">
        <f t="shared" si="1"/>
        <v>1944262.603</v>
      </c>
      <c r="E19" s="15"/>
      <c r="F19" s="8">
        <f t="shared" si="2"/>
        <v>540715.5288</v>
      </c>
      <c r="G19" s="8">
        <f t="shared" si="3"/>
        <v>1403547.074</v>
      </c>
      <c r="H19" s="8">
        <f t="shared" si="4"/>
        <v>52668005.81</v>
      </c>
      <c r="I19" s="1"/>
      <c r="J19" s="41"/>
      <c r="K19" s="1"/>
      <c r="L19" s="42">
        <v>45903.0</v>
      </c>
      <c r="M19" s="43" t="s">
        <v>93</v>
      </c>
      <c r="N19" s="44" t="s">
        <v>86</v>
      </c>
      <c r="O19" s="45"/>
      <c r="P19" s="45">
        <v>1944263.0</v>
      </c>
      <c r="Q19" s="45"/>
      <c r="R19" s="45"/>
      <c r="S19" s="45">
        <f t="shared" si="5"/>
        <v>1944263</v>
      </c>
      <c r="T19" s="45">
        <f t="shared" si="6"/>
        <v>81934443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32">
        <v>46045.0</v>
      </c>
      <c r="B20" s="2" t="s">
        <v>105</v>
      </c>
      <c r="C20" s="30">
        <v>46053.0</v>
      </c>
      <c r="D20" s="8">
        <f t="shared" si="1"/>
        <v>1944262.603</v>
      </c>
      <c r="E20" s="15"/>
      <c r="F20" s="8">
        <f t="shared" si="2"/>
        <v>526680.0581</v>
      </c>
      <c r="G20" s="8">
        <f t="shared" si="3"/>
        <v>1417582.545</v>
      </c>
      <c r="H20" s="8">
        <f t="shared" si="4"/>
        <v>51250423.26</v>
      </c>
      <c r="J20" s="5"/>
      <c r="L20" s="33">
        <v>45936.0</v>
      </c>
      <c r="M20" s="34" t="s">
        <v>96</v>
      </c>
      <c r="N20" s="35" t="s">
        <v>90</v>
      </c>
      <c r="O20" s="36"/>
      <c r="P20" s="36">
        <v>1944263.0</v>
      </c>
      <c r="Q20" s="36"/>
      <c r="R20" s="36"/>
      <c r="S20" s="36">
        <f t="shared" si="5"/>
        <v>1944263</v>
      </c>
      <c r="T20" s="36">
        <f t="shared" si="6"/>
        <v>79990180</v>
      </c>
      <c r="U20" s="34"/>
    </row>
    <row r="21" ht="15.75" customHeight="1">
      <c r="A21" s="32">
        <v>46084.0</v>
      </c>
      <c r="B21" s="2" t="s">
        <v>109</v>
      </c>
      <c r="C21" s="30">
        <v>46081.0</v>
      </c>
      <c r="D21" s="8">
        <f t="shared" si="1"/>
        <v>1944262.603</v>
      </c>
      <c r="E21" s="15"/>
      <c r="F21" s="8">
        <f t="shared" si="2"/>
        <v>512504.2326</v>
      </c>
      <c r="G21" s="8">
        <f t="shared" si="3"/>
        <v>1431758.371</v>
      </c>
      <c r="H21" s="8">
        <f t="shared" si="4"/>
        <v>49818664.89</v>
      </c>
      <c r="J21" s="5"/>
      <c r="L21" s="33">
        <v>45966.0</v>
      </c>
      <c r="M21" s="34" t="s">
        <v>100</v>
      </c>
      <c r="N21" s="35" t="s">
        <v>94</v>
      </c>
      <c r="O21" s="36"/>
      <c r="P21" s="36">
        <v>1944263.0</v>
      </c>
      <c r="Q21" s="36"/>
      <c r="R21" s="36"/>
      <c r="S21" s="36">
        <f t="shared" si="5"/>
        <v>1944263</v>
      </c>
      <c r="T21" s="36">
        <f t="shared" si="6"/>
        <v>78045917</v>
      </c>
      <c r="U21" s="34"/>
    </row>
    <row r="22" ht="15.75" customHeight="1">
      <c r="A22" s="32">
        <v>46108.0</v>
      </c>
      <c r="B22" s="2" t="s">
        <v>111</v>
      </c>
      <c r="C22" s="30">
        <v>46112.0</v>
      </c>
      <c r="D22" s="8">
        <f t="shared" si="1"/>
        <v>1944262.603</v>
      </c>
      <c r="E22" s="15"/>
      <c r="F22" s="8">
        <f t="shared" si="2"/>
        <v>498186.6489</v>
      </c>
      <c r="G22" s="8">
        <f t="shared" si="3"/>
        <v>1446075.954</v>
      </c>
      <c r="H22" s="8">
        <f t="shared" si="4"/>
        <v>48372588.94</v>
      </c>
      <c r="J22" s="5"/>
      <c r="L22" s="33">
        <v>45992.0</v>
      </c>
      <c r="M22" s="34" t="s">
        <v>103</v>
      </c>
      <c r="N22" s="35" t="s">
        <v>99</v>
      </c>
      <c r="O22" s="36"/>
      <c r="P22" s="36">
        <v>1944263.0</v>
      </c>
      <c r="Q22" s="36"/>
      <c r="R22" s="36"/>
      <c r="S22" s="36">
        <f t="shared" si="5"/>
        <v>1944263</v>
      </c>
      <c r="T22" s="36">
        <f t="shared" si="6"/>
        <v>76101654</v>
      </c>
      <c r="U22" s="34"/>
    </row>
    <row r="23" ht="15.75" customHeight="1">
      <c r="A23" s="29">
        <v>46158.0</v>
      </c>
      <c r="B23" s="2" t="s">
        <v>114</v>
      </c>
      <c r="C23" s="30">
        <v>46142.0</v>
      </c>
      <c r="D23" s="8">
        <f t="shared" si="1"/>
        <v>1944262.603</v>
      </c>
      <c r="E23" s="46"/>
      <c r="F23" s="8">
        <f t="shared" si="2"/>
        <v>483725.8894</v>
      </c>
      <c r="G23" s="8">
        <f t="shared" si="3"/>
        <v>1460536.714</v>
      </c>
      <c r="H23" s="8">
        <f t="shared" si="4"/>
        <v>46912052.22</v>
      </c>
      <c r="J23" s="5"/>
      <c r="L23" s="33">
        <v>46045.0</v>
      </c>
      <c r="M23" s="34" t="s">
        <v>107</v>
      </c>
      <c r="N23" s="35" t="s">
        <v>105</v>
      </c>
      <c r="O23" s="36"/>
      <c r="P23" s="36">
        <v>1944263.0</v>
      </c>
      <c r="Q23" s="36"/>
      <c r="R23" s="36"/>
      <c r="S23" s="36">
        <f t="shared" si="5"/>
        <v>1944263</v>
      </c>
      <c r="T23" s="36">
        <f t="shared" si="6"/>
        <v>74157391</v>
      </c>
      <c r="U23" s="34"/>
    </row>
    <row r="24" ht="15.75" customHeight="1">
      <c r="A24" s="29">
        <v>46176.0</v>
      </c>
      <c r="B24" s="2" t="s">
        <v>117</v>
      </c>
      <c r="C24" s="30">
        <v>46173.0</v>
      </c>
      <c r="D24" s="8">
        <f t="shared" si="1"/>
        <v>1944262.603</v>
      </c>
      <c r="E24" s="46"/>
      <c r="F24" s="8">
        <f t="shared" si="2"/>
        <v>469120.5222</v>
      </c>
      <c r="G24" s="8">
        <f t="shared" si="3"/>
        <v>1475142.081</v>
      </c>
      <c r="H24" s="8">
        <f t="shared" si="4"/>
        <v>45436910.14</v>
      </c>
      <c r="J24" s="5"/>
      <c r="L24" s="33">
        <v>46084.0</v>
      </c>
      <c r="M24" s="34" t="s">
        <v>112</v>
      </c>
      <c r="N24" s="35" t="s">
        <v>109</v>
      </c>
      <c r="O24" s="36"/>
      <c r="P24" s="36">
        <v>1944263.0</v>
      </c>
      <c r="Q24" s="36"/>
      <c r="R24" s="36"/>
      <c r="S24" s="36">
        <f t="shared" si="5"/>
        <v>1944263</v>
      </c>
      <c r="T24" s="36">
        <f t="shared" si="6"/>
        <v>72213128</v>
      </c>
      <c r="U24" s="34"/>
    </row>
    <row r="25" ht="15.75" customHeight="1">
      <c r="A25" s="29">
        <v>46186.0</v>
      </c>
      <c r="B25" s="2" t="s">
        <v>119</v>
      </c>
      <c r="C25" s="30">
        <v>46203.0</v>
      </c>
      <c r="D25" s="8">
        <f t="shared" si="1"/>
        <v>1944262.603</v>
      </c>
      <c r="E25" s="46"/>
      <c r="F25" s="8">
        <f t="shared" si="2"/>
        <v>454369.1014</v>
      </c>
      <c r="G25" s="8">
        <f t="shared" si="3"/>
        <v>1489893.502</v>
      </c>
      <c r="H25" s="8">
        <f t="shared" si="4"/>
        <v>43947016.64</v>
      </c>
      <c r="J25" s="5"/>
      <c r="L25" s="33">
        <v>46108.0</v>
      </c>
      <c r="M25" s="34" t="s">
        <v>115</v>
      </c>
      <c r="N25" s="35" t="s">
        <v>111</v>
      </c>
      <c r="O25" s="36"/>
      <c r="P25" s="36">
        <v>1944263.0</v>
      </c>
      <c r="Q25" s="36"/>
      <c r="R25" s="36"/>
      <c r="S25" s="36">
        <f t="shared" si="5"/>
        <v>1944263</v>
      </c>
      <c r="T25" s="36">
        <f t="shared" si="6"/>
        <v>70268865</v>
      </c>
      <c r="U25" s="34"/>
    </row>
    <row r="26" ht="15.75" customHeight="1">
      <c r="A26" s="29">
        <v>46217.0</v>
      </c>
      <c r="B26" s="2" t="s">
        <v>121</v>
      </c>
      <c r="C26" s="30">
        <v>46234.0</v>
      </c>
      <c r="D26" s="8">
        <f t="shared" si="1"/>
        <v>1944262.603</v>
      </c>
      <c r="E26" s="46"/>
      <c r="F26" s="8">
        <f t="shared" si="2"/>
        <v>439470.1664</v>
      </c>
      <c r="G26" s="8">
        <f t="shared" si="3"/>
        <v>1504792.437</v>
      </c>
      <c r="H26" s="8">
        <f t="shared" si="4"/>
        <v>42442224.2</v>
      </c>
      <c r="J26" s="5"/>
      <c r="L26" s="33">
        <v>46158.0</v>
      </c>
      <c r="M26" s="34" t="s">
        <v>116</v>
      </c>
      <c r="N26" s="35" t="s">
        <v>114</v>
      </c>
      <c r="O26" s="36"/>
      <c r="P26" s="36">
        <v>1944263.0</v>
      </c>
      <c r="Q26" s="36"/>
      <c r="R26" s="36"/>
      <c r="S26" s="36">
        <f t="shared" si="5"/>
        <v>1944263</v>
      </c>
      <c r="T26" s="36">
        <f t="shared" si="6"/>
        <v>68324602</v>
      </c>
      <c r="U26" s="34"/>
    </row>
    <row r="27" ht="15.75" customHeight="1">
      <c r="A27" s="29">
        <v>46248.0</v>
      </c>
      <c r="B27" s="2" t="s">
        <v>123</v>
      </c>
      <c r="C27" s="30">
        <v>46265.0</v>
      </c>
      <c r="D27" s="8">
        <f t="shared" si="1"/>
        <v>1944262.603</v>
      </c>
      <c r="E27" s="46"/>
      <c r="F27" s="8">
        <f t="shared" si="2"/>
        <v>424422.242</v>
      </c>
      <c r="G27" s="8">
        <f t="shared" si="3"/>
        <v>1519840.361</v>
      </c>
      <c r="H27" s="8">
        <f t="shared" si="4"/>
        <v>40922383.84</v>
      </c>
      <c r="J27" s="5"/>
      <c r="L27" s="33">
        <v>46176.0</v>
      </c>
      <c r="M27" s="34" t="s">
        <v>118</v>
      </c>
      <c r="N27" s="35" t="s">
        <v>117</v>
      </c>
      <c r="O27" s="36"/>
      <c r="P27" s="36">
        <v>1944263.0</v>
      </c>
      <c r="Q27" s="36"/>
      <c r="R27" s="36"/>
      <c r="S27" s="36">
        <f t="shared" si="5"/>
        <v>1944263</v>
      </c>
      <c r="T27" s="36">
        <f t="shared" si="6"/>
        <v>66380339</v>
      </c>
      <c r="U27" s="34"/>
    </row>
    <row r="28" ht="15.75" customHeight="1">
      <c r="B28" s="2"/>
      <c r="C28" s="30">
        <v>46295.0</v>
      </c>
      <c r="D28" s="8">
        <f t="shared" si="1"/>
        <v>1944262.603</v>
      </c>
      <c r="E28" s="46"/>
      <c r="F28" s="8">
        <f t="shared" si="2"/>
        <v>409223.8384</v>
      </c>
      <c r="G28" s="8">
        <f t="shared" si="3"/>
        <v>1535038.765</v>
      </c>
      <c r="H28" s="8">
        <f t="shared" si="4"/>
        <v>39387345.08</v>
      </c>
      <c r="J28" s="5"/>
      <c r="L28" s="33">
        <v>46186.0</v>
      </c>
      <c r="M28" s="34" t="s">
        <v>120</v>
      </c>
      <c r="N28" s="35" t="s">
        <v>119</v>
      </c>
      <c r="O28" s="36"/>
      <c r="P28" s="36">
        <v>1944263.0</v>
      </c>
      <c r="Q28" s="36"/>
      <c r="R28" s="36"/>
      <c r="S28" s="36">
        <f t="shared" si="5"/>
        <v>1944263</v>
      </c>
      <c r="T28" s="36">
        <f t="shared" si="6"/>
        <v>64436076</v>
      </c>
      <c r="U28" s="34"/>
    </row>
    <row r="29" ht="15.75" customHeight="1">
      <c r="B29" s="2"/>
      <c r="C29" s="30">
        <v>46326.0</v>
      </c>
      <c r="D29" s="8">
        <f t="shared" si="1"/>
        <v>1944262.603</v>
      </c>
      <c r="E29" s="46"/>
      <c r="F29" s="8">
        <f t="shared" si="2"/>
        <v>393873.4508</v>
      </c>
      <c r="G29" s="8">
        <f t="shared" si="3"/>
        <v>1550389.152</v>
      </c>
      <c r="H29" s="8">
        <f t="shared" si="4"/>
        <v>37836955.93</v>
      </c>
      <c r="J29" s="5"/>
      <c r="L29" s="33">
        <v>46217.0</v>
      </c>
      <c r="M29" s="34" t="s">
        <v>122</v>
      </c>
      <c r="N29" s="35" t="s">
        <v>121</v>
      </c>
      <c r="O29" s="36"/>
      <c r="P29" s="36">
        <v>1944263.0</v>
      </c>
      <c r="Q29" s="36"/>
      <c r="R29" s="36"/>
      <c r="S29" s="36">
        <f t="shared" si="5"/>
        <v>1944263</v>
      </c>
      <c r="T29" s="36">
        <f t="shared" si="6"/>
        <v>62491813</v>
      </c>
      <c r="U29" s="34"/>
    </row>
    <row r="30" ht="15.75" customHeight="1">
      <c r="B30" s="2"/>
      <c r="C30" s="30">
        <v>46356.0</v>
      </c>
      <c r="D30" s="8">
        <f t="shared" si="1"/>
        <v>1944262.603</v>
      </c>
      <c r="E30" s="46"/>
      <c r="F30" s="8">
        <f t="shared" si="2"/>
        <v>378369.5593</v>
      </c>
      <c r="G30" s="8">
        <f t="shared" si="3"/>
        <v>1565893.044</v>
      </c>
      <c r="H30" s="8">
        <f t="shared" si="4"/>
        <v>36271062.88</v>
      </c>
      <c r="J30" s="5"/>
      <c r="L30" s="40">
        <v>46248.0</v>
      </c>
      <c r="M30" s="34" t="s">
        <v>124</v>
      </c>
      <c r="N30" s="35" t="s">
        <v>123</v>
      </c>
      <c r="O30" s="36"/>
      <c r="P30" s="36"/>
      <c r="Q30" s="36"/>
      <c r="R30" s="36">
        <v>1944263.0</v>
      </c>
      <c r="S30" s="36">
        <f t="shared" si="5"/>
        <v>1944263</v>
      </c>
      <c r="T30" s="36">
        <f t="shared" si="6"/>
        <v>60547550</v>
      </c>
      <c r="U30" s="34" t="s">
        <v>125</v>
      </c>
    </row>
    <row r="31" ht="15.75" customHeight="1">
      <c r="B31" s="2"/>
      <c r="C31" s="30">
        <v>46387.0</v>
      </c>
      <c r="D31" s="8">
        <f t="shared" si="1"/>
        <v>1944262.603</v>
      </c>
      <c r="E31" s="46"/>
      <c r="F31" s="8">
        <f t="shared" si="2"/>
        <v>362710.6288</v>
      </c>
      <c r="G31" s="8">
        <f t="shared" si="3"/>
        <v>1581551.974</v>
      </c>
      <c r="H31" s="8">
        <f t="shared" si="4"/>
        <v>34689510.91</v>
      </c>
      <c r="J31" s="5"/>
      <c r="L31" s="25"/>
      <c r="M31" s="38" t="s">
        <v>69</v>
      </c>
      <c r="N31" s="39"/>
      <c r="O31" s="27">
        <f t="shared" ref="O31:S31" si="7">SUM(O11:O30)</f>
        <v>0</v>
      </c>
      <c r="P31" s="27">
        <f t="shared" si="7"/>
        <v>63875543</v>
      </c>
      <c r="Q31" s="27">
        <f t="shared" si="7"/>
        <v>0</v>
      </c>
      <c r="R31" s="27">
        <f t="shared" si="7"/>
        <v>1944263</v>
      </c>
      <c r="S31" s="27">
        <f t="shared" si="7"/>
        <v>65819806</v>
      </c>
      <c r="T31" s="27">
        <f>T30</f>
        <v>60547550</v>
      </c>
      <c r="U31" s="25"/>
    </row>
    <row r="32" ht="15.75" customHeight="1">
      <c r="B32" s="2"/>
      <c r="C32" s="30">
        <v>46418.0</v>
      </c>
      <c r="D32" s="8">
        <f t="shared" si="1"/>
        <v>1944262.603</v>
      </c>
      <c r="E32" s="46"/>
      <c r="F32" s="8">
        <f t="shared" si="2"/>
        <v>346895.1091</v>
      </c>
      <c r="G32" s="8">
        <f t="shared" si="3"/>
        <v>1597367.494</v>
      </c>
      <c r="H32" s="8">
        <f t="shared" si="4"/>
        <v>33092143.41</v>
      </c>
      <c r="J32" s="5"/>
    </row>
    <row r="33" ht="15.75" customHeight="1">
      <c r="B33" s="2"/>
      <c r="C33" s="30">
        <v>46446.0</v>
      </c>
      <c r="D33" s="8">
        <f t="shared" si="1"/>
        <v>1944262.603</v>
      </c>
      <c r="E33" s="46"/>
      <c r="F33" s="8">
        <f t="shared" si="2"/>
        <v>330921.4341</v>
      </c>
      <c r="G33" s="8">
        <f t="shared" si="3"/>
        <v>1613341.169</v>
      </c>
      <c r="H33" s="8">
        <f t="shared" si="4"/>
        <v>31478802.24</v>
      </c>
      <c r="J33" s="5"/>
    </row>
    <row r="34" ht="15.75" customHeight="1">
      <c r="B34" s="2"/>
      <c r="C34" s="30">
        <v>46477.0</v>
      </c>
      <c r="D34" s="8">
        <f t="shared" si="1"/>
        <v>1944262.603</v>
      </c>
      <c r="E34" s="46"/>
      <c r="F34" s="8">
        <f t="shared" si="2"/>
        <v>314788.0224</v>
      </c>
      <c r="G34" s="8">
        <f t="shared" si="3"/>
        <v>1629474.581</v>
      </c>
      <c r="H34" s="8">
        <f t="shared" si="4"/>
        <v>29849327.66</v>
      </c>
      <c r="J34" s="5"/>
    </row>
    <row r="35" ht="15.75" customHeight="1">
      <c r="B35" s="2"/>
      <c r="C35" s="30">
        <v>46507.0</v>
      </c>
      <c r="D35" s="8">
        <f t="shared" si="1"/>
        <v>1944262.603</v>
      </c>
      <c r="E35" s="46"/>
      <c r="F35" s="8">
        <f t="shared" si="2"/>
        <v>298493.2766</v>
      </c>
      <c r="G35" s="8">
        <f t="shared" si="3"/>
        <v>1645769.327</v>
      </c>
      <c r="H35" s="8">
        <f t="shared" si="4"/>
        <v>28203558.34</v>
      </c>
      <c r="J35" s="5"/>
    </row>
    <row r="36" ht="15.75" customHeight="1">
      <c r="B36" s="2"/>
      <c r="C36" s="30">
        <v>46538.0</v>
      </c>
      <c r="D36" s="8">
        <f t="shared" si="1"/>
        <v>1944262.603</v>
      </c>
      <c r="E36" s="46"/>
      <c r="F36" s="8">
        <f t="shared" si="2"/>
        <v>282035.5834</v>
      </c>
      <c r="G36" s="8">
        <f t="shared" si="3"/>
        <v>1662227.02</v>
      </c>
      <c r="H36" s="8">
        <f t="shared" si="4"/>
        <v>26541331.32</v>
      </c>
      <c r="J36" s="5"/>
    </row>
    <row r="37" ht="15.75" customHeight="1">
      <c r="B37" s="2"/>
      <c r="C37" s="30">
        <v>46568.0</v>
      </c>
      <c r="D37" s="8">
        <f t="shared" si="1"/>
        <v>1944262.603</v>
      </c>
      <c r="E37" s="46"/>
      <c r="F37" s="8">
        <f t="shared" si="2"/>
        <v>265413.3132</v>
      </c>
      <c r="G37" s="8">
        <f t="shared" si="3"/>
        <v>1678849.29</v>
      </c>
      <c r="H37" s="8">
        <f t="shared" si="4"/>
        <v>24862482.03</v>
      </c>
      <c r="J37" s="5"/>
    </row>
    <row r="38" ht="15.75" customHeight="1">
      <c r="B38" s="2"/>
      <c r="C38" s="30">
        <v>46599.0</v>
      </c>
      <c r="D38" s="8">
        <f t="shared" si="1"/>
        <v>1944262.603</v>
      </c>
      <c r="E38" s="46"/>
      <c r="F38" s="8">
        <f t="shared" si="2"/>
        <v>248624.8203</v>
      </c>
      <c r="G38" s="8">
        <f t="shared" si="3"/>
        <v>1695637.783</v>
      </c>
      <c r="H38" s="8">
        <f t="shared" si="4"/>
        <v>23166844.24</v>
      </c>
      <c r="J38" s="5"/>
    </row>
    <row r="39" ht="15.75" customHeight="1">
      <c r="B39" s="2"/>
      <c r="C39" s="30">
        <v>46630.0</v>
      </c>
      <c r="D39" s="8">
        <f t="shared" si="1"/>
        <v>1944262.603</v>
      </c>
      <c r="E39" s="46"/>
      <c r="F39" s="8">
        <f t="shared" si="2"/>
        <v>231668.4424</v>
      </c>
      <c r="G39" s="8">
        <f t="shared" si="3"/>
        <v>1712594.161</v>
      </c>
      <c r="H39" s="8">
        <f t="shared" si="4"/>
        <v>21454250.08</v>
      </c>
      <c r="J39" s="5"/>
    </row>
    <row r="40" ht="15.75" customHeight="1">
      <c r="B40" s="2"/>
      <c r="C40" s="30">
        <v>46660.0</v>
      </c>
      <c r="D40" s="8">
        <f t="shared" si="1"/>
        <v>1944262.603</v>
      </c>
      <c r="E40" s="46"/>
      <c r="F40" s="8">
        <f t="shared" si="2"/>
        <v>214542.5008</v>
      </c>
      <c r="G40" s="8">
        <f t="shared" si="3"/>
        <v>1729720.102</v>
      </c>
      <c r="H40" s="8">
        <f t="shared" si="4"/>
        <v>19724529.98</v>
      </c>
      <c r="J40" s="5"/>
    </row>
    <row r="41" ht="15.75" customHeight="1">
      <c r="B41" s="2"/>
      <c r="C41" s="30">
        <v>46691.0</v>
      </c>
      <c r="D41" s="8">
        <f t="shared" si="1"/>
        <v>1944262.603</v>
      </c>
      <c r="E41" s="46"/>
      <c r="F41" s="8">
        <f t="shared" si="2"/>
        <v>197245.2998</v>
      </c>
      <c r="G41" s="8">
        <f t="shared" si="3"/>
        <v>1747017.303</v>
      </c>
      <c r="H41" s="8">
        <f t="shared" si="4"/>
        <v>17977512.68</v>
      </c>
      <c r="J41" s="5"/>
    </row>
    <row r="42" ht="15.75" customHeight="1">
      <c r="B42" s="2"/>
      <c r="C42" s="30">
        <v>46721.0</v>
      </c>
      <c r="D42" s="8">
        <f t="shared" si="1"/>
        <v>1944262.603</v>
      </c>
      <c r="E42" s="46"/>
      <c r="F42" s="8">
        <f t="shared" si="2"/>
        <v>179775.1268</v>
      </c>
      <c r="G42" s="8">
        <f t="shared" si="3"/>
        <v>1764487.476</v>
      </c>
      <c r="H42" s="8">
        <f t="shared" si="4"/>
        <v>16213025.2</v>
      </c>
      <c r="J42" s="5"/>
    </row>
    <row r="43" ht="15.75" customHeight="1">
      <c r="B43" s="2"/>
      <c r="C43" s="30">
        <v>46752.0</v>
      </c>
      <c r="D43" s="8">
        <f t="shared" si="1"/>
        <v>1944262.603</v>
      </c>
      <c r="E43" s="46"/>
      <c r="F43" s="8">
        <f t="shared" si="2"/>
        <v>162130.252</v>
      </c>
      <c r="G43" s="8">
        <f t="shared" si="3"/>
        <v>1782132.351</v>
      </c>
      <c r="H43" s="8">
        <f t="shared" si="4"/>
        <v>14430892.85</v>
      </c>
      <c r="J43" s="5"/>
    </row>
    <row r="44" ht="15.75" customHeight="1">
      <c r="B44" s="2"/>
      <c r="C44" s="30">
        <v>46783.0</v>
      </c>
      <c r="D44" s="8">
        <f t="shared" si="1"/>
        <v>1944262.603</v>
      </c>
      <c r="E44" s="46"/>
      <c r="F44" s="8">
        <f t="shared" si="2"/>
        <v>144308.9285</v>
      </c>
      <c r="G44" s="8">
        <f t="shared" si="3"/>
        <v>1799953.675</v>
      </c>
      <c r="H44" s="8">
        <f t="shared" si="4"/>
        <v>12630939.17</v>
      </c>
      <c r="J44" s="5"/>
    </row>
    <row r="45" ht="15.75" customHeight="1">
      <c r="B45" s="2"/>
      <c r="C45" s="30">
        <v>46812.0</v>
      </c>
      <c r="D45" s="8">
        <f t="shared" si="1"/>
        <v>1944262.603</v>
      </c>
      <c r="E45" s="46"/>
      <c r="F45" s="8">
        <f t="shared" si="2"/>
        <v>126309.3917</v>
      </c>
      <c r="G45" s="8">
        <f t="shared" si="3"/>
        <v>1817953.211</v>
      </c>
      <c r="H45" s="8">
        <f t="shared" si="4"/>
        <v>10812985.96</v>
      </c>
      <c r="J45" s="5"/>
    </row>
    <row r="46" ht="15.75" customHeight="1">
      <c r="B46" s="2"/>
      <c r="C46" s="30">
        <v>46843.0</v>
      </c>
      <c r="D46" s="8">
        <f t="shared" si="1"/>
        <v>1944262.603</v>
      </c>
      <c r="E46" s="46"/>
      <c r="F46" s="8">
        <f t="shared" si="2"/>
        <v>108129.8596</v>
      </c>
      <c r="G46" s="8">
        <f t="shared" si="3"/>
        <v>1836132.744</v>
      </c>
      <c r="H46" s="8">
        <f t="shared" si="4"/>
        <v>8976853.219</v>
      </c>
      <c r="J46" s="5"/>
    </row>
    <row r="47" ht="15.75" customHeight="1">
      <c r="B47" s="2"/>
      <c r="C47" s="30">
        <v>46873.0</v>
      </c>
      <c r="D47" s="8">
        <f t="shared" si="1"/>
        <v>1944262.603</v>
      </c>
      <c r="E47" s="46"/>
      <c r="F47" s="8">
        <f t="shared" si="2"/>
        <v>89768.53219</v>
      </c>
      <c r="G47" s="8">
        <f t="shared" si="3"/>
        <v>1854494.071</v>
      </c>
      <c r="H47" s="8">
        <f t="shared" si="4"/>
        <v>7122359.148</v>
      </c>
      <c r="J47" s="5"/>
    </row>
    <row r="48" ht="15.75" customHeight="1">
      <c r="B48" s="2"/>
      <c r="C48" s="30">
        <v>46904.0</v>
      </c>
      <c r="D48" s="8">
        <f t="shared" si="1"/>
        <v>1944262.603</v>
      </c>
      <c r="E48" s="46"/>
      <c r="F48" s="8">
        <f t="shared" si="2"/>
        <v>71223.59148</v>
      </c>
      <c r="G48" s="8">
        <f t="shared" si="3"/>
        <v>1873039.012</v>
      </c>
      <c r="H48" s="8">
        <f t="shared" si="4"/>
        <v>5249320.136</v>
      </c>
      <c r="J48" s="5"/>
    </row>
    <row r="49" ht="15.75" customHeight="1">
      <c r="A49" s="47"/>
      <c r="B49" s="48"/>
      <c r="C49" s="49">
        <v>46934.0</v>
      </c>
      <c r="D49" s="50">
        <f t="shared" si="1"/>
        <v>1944262.603</v>
      </c>
      <c r="E49" s="51"/>
      <c r="F49" s="50">
        <f t="shared" si="2"/>
        <v>52493.20136</v>
      </c>
      <c r="G49" s="50">
        <f t="shared" si="3"/>
        <v>1891769.402</v>
      </c>
      <c r="H49" s="50">
        <f t="shared" si="4"/>
        <v>3357550.734</v>
      </c>
      <c r="J49" s="5"/>
    </row>
    <row r="50" ht="15.75" customHeight="1">
      <c r="A50" s="47"/>
      <c r="B50" s="48"/>
      <c r="C50" s="49">
        <v>46965.0</v>
      </c>
      <c r="D50" s="50">
        <f t="shared" si="1"/>
        <v>1944262.603</v>
      </c>
      <c r="E50" s="51"/>
      <c r="F50" s="50">
        <f t="shared" si="2"/>
        <v>33575.50734</v>
      </c>
      <c r="G50" s="50">
        <f t="shared" si="3"/>
        <v>1910687.096</v>
      </c>
      <c r="H50" s="50">
        <f t="shared" si="4"/>
        <v>1446863.638</v>
      </c>
      <c r="J50" s="5"/>
    </row>
    <row r="51" ht="15.75" customHeight="1">
      <c r="A51" s="47"/>
      <c r="B51" s="48"/>
      <c r="C51" s="49">
        <v>46996.0</v>
      </c>
      <c r="D51" s="50">
        <f t="shared" si="1"/>
        <v>1944262.603</v>
      </c>
      <c r="E51" s="51"/>
      <c r="F51" s="50">
        <f t="shared" si="2"/>
        <v>14468.63638</v>
      </c>
      <c r="G51" s="50">
        <f t="shared" si="3"/>
        <v>1929793.967</v>
      </c>
      <c r="H51" s="50">
        <f t="shared" si="4"/>
        <v>-482930.3285</v>
      </c>
      <c r="J51" s="5"/>
    </row>
    <row r="52" ht="15.75" customHeight="1">
      <c r="A52" s="47"/>
      <c r="B52" s="48"/>
      <c r="C52" s="49">
        <v>47026.0</v>
      </c>
      <c r="D52" s="50">
        <f t="shared" si="1"/>
        <v>1944262.603</v>
      </c>
      <c r="E52" s="51"/>
      <c r="F52" s="50">
        <f t="shared" si="2"/>
        <v>-4829.303285</v>
      </c>
      <c r="G52" s="50">
        <f t="shared" si="3"/>
        <v>1949091.907</v>
      </c>
      <c r="H52" s="50">
        <f t="shared" si="4"/>
        <v>-2432022.235</v>
      </c>
      <c r="J52" s="5"/>
    </row>
    <row r="53" ht="15.75" customHeight="1">
      <c r="A53" s="47"/>
      <c r="B53" s="48"/>
      <c r="C53" s="49">
        <v>47057.0</v>
      </c>
      <c r="D53" s="50">
        <f t="shared" si="1"/>
        <v>1944262.603</v>
      </c>
      <c r="E53" s="51"/>
      <c r="F53" s="50">
        <f t="shared" si="2"/>
        <v>-24320.22235</v>
      </c>
      <c r="G53" s="50">
        <f t="shared" si="3"/>
        <v>1968582.826</v>
      </c>
      <c r="H53" s="50">
        <f t="shared" si="4"/>
        <v>-4400605.061</v>
      </c>
      <c r="J53" s="5"/>
    </row>
    <row r="54" ht="15.75" customHeight="1">
      <c r="A54" s="47"/>
      <c r="B54" s="48"/>
      <c r="C54" s="49">
        <v>47087.0</v>
      </c>
      <c r="D54" s="50">
        <f t="shared" si="1"/>
        <v>1944262.603</v>
      </c>
      <c r="E54" s="51"/>
      <c r="F54" s="50">
        <f t="shared" si="2"/>
        <v>-44006.05061</v>
      </c>
      <c r="G54" s="50">
        <f t="shared" si="3"/>
        <v>1988268.654</v>
      </c>
      <c r="H54" s="50">
        <f t="shared" si="4"/>
        <v>-6388873.714</v>
      </c>
      <c r="J54" s="5"/>
    </row>
    <row r="55" ht="15.75" customHeight="1">
      <c r="A55" s="47"/>
      <c r="B55" s="48"/>
      <c r="C55" s="49">
        <v>47118.0</v>
      </c>
      <c r="D55" s="50">
        <f t="shared" si="1"/>
        <v>1944262.603</v>
      </c>
      <c r="E55" s="51"/>
      <c r="F55" s="50">
        <f t="shared" si="2"/>
        <v>-63888.73714</v>
      </c>
      <c r="G55" s="50">
        <f t="shared" si="3"/>
        <v>2008151.34</v>
      </c>
      <c r="H55" s="50">
        <f t="shared" si="4"/>
        <v>-8397025.055</v>
      </c>
      <c r="J55" s="5"/>
    </row>
    <row r="56" ht="15.75" customHeight="1">
      <c r="A56" s="47"/>
      <c r="B56" s="48"/>
      <c r="C56" s="49">
        <v>47149.0</v>
      </c>
      <c r="D56" s="50">
        <f t="shared" si="1"/>
        <v>1944262.603</v>
      </c>
      <c r="E56" s="51"/>
      <c r="F56" s="50">
        <f t="shared" si="2"/>
        <v>-83970.25055</v>
      </c>
      <c r="G56" s="50">
        <f t="shared" si="3"/>
        <v>2028232.854</v>
      </c>
      <c r="H56" s="50">
        <f t="shared" si="4"/>
        <v>-10425257.91</v>
      </c>
      <c r="J56" s="5"/>
    </row>
    <row r="57" ht="15.75" customHeight="1">
      <c r="A57" s="47"/>
      <c r="B57" s="48"/>
      <c r="C57" s="49">
        <v>47177.0</v>
      </c>
      <c r="D57" s="50">
        <f t="shared" si="1"/>
        <v>1944262.603</v>
      </c>
      <c r="E57" s="51"/>
      <c r="F57" s="50">
        <f t="shared" si="2"/>
        <v>-104252.5791</v>
      </c>
      <c r="G57" s="50">
        <f t="shared" si="3"/>
        <v>2048515.182</v>
      </c>
      <c r="H57" s="50">
        <f t="shared" si="4"/>
        <v>-12473773.09</v>
      </c>
      <c r="J57" s="5"/>
    </row>
    <row r="58" ht="15.75" customHeight="1">
      <c r="A58" s="47"/>
      <c r="B58" s="48"/>
      <c r="C58" s="49">
        <v>47208.0</v>
      </c>
      <c r="D58" s="50">
        <f t="shared" si="1"/>
        <v>1944262.603</v>
      </c>
      <c r="E58" s="51"/>
      <c r="F58" s="50">
        <f t="shared" si="2"/>
        <v>-124737.7309</v>
      </c>
      <c r="G58" s="50">
        <f t="shared" si="3"/>
        <v>2069000.334</v>
      </c>
      <c r="H58" s="50">
        <f t="shared" si="4"/>
        <v>-14542773.42</v>
      </c>
      <c r="J58" s="5"/>
    </row>
    <row r="59" ht="15.75" customHeight="1">
      <c r="A59" s="47"/>
      <c r="B59" s="48"/>
      <c r="C59" s="49">
        <v>47238.0</v>
      </c>
      <c r="D59" s="50">
        <f t="shared" si="1"/>
        <v>1944262.603</v>
      </c>
      <c r="E59" s="51"/>
      <c r="F59" s="50">
        <f t="shared" si="2"/>
        <v>-145427.7342</v>
      </c>
      <c r="G59" s="50">
        <f t="shared" si="3"/>
        <v>2089690.337</v>
      </c>
      <c r="H59" s="50">
        <f t="shared" si="4"/>
        <v>-16632463.76</v>
      </c>
      <c r="J59" s="5"/>
    </row>
    <row r="60" ht="15.75" customHeight="1">
      <c r="A60" s="47"/>
      <c r="B60" s="48"/>
      <c r="C60" s="49">
        <v>47269.0</v>
      </c>
      <c r="D60" s="50">
        <f t="shared" si="1"/>
        <v>1944262.603</v>
      </c>
      <c r="E60" s="51"/>
      <c r="F60" s="50">
        <f t="shared" si="2"/>
        <v>-166324.6376</v>
      </c>
      <c r="G60" s="50">
        <f t="shared" si="3"/>
        <v>2110587.241</v>
      </c>
      <c r="H60" s="50">
        <f t="shared" si="4"/>
        <v>-18743051</v>
      </c>
      <c r="J60" s="5"/>
    </row>
    <row r="61" ht="15.75" customHeight="1">
      <c r="A61" s="47"/>
      <c r="B61" s="48"/>
      <c r="C61" s="49">
        <v>47299.0</v>
      </c>
      <c r="D61" s="50">
        <f t="shared" si="1"/>
        <v>1944262.603</v>
      </c>
      <c r="E61" s="51"/>
      <c r="F61" s="50">
        <f t="shared" si="2"/>
        <v>-187430.51</v>
      </c>
      <c r="G61" s="50">
        <f t="shared" si="3"/>
        <v>2131693.113</v>
      </c>
      <c r="H61" s="50">
        <f t="shared" si="4"/>
        <v>-20874744.12</v>
      </c>
      <c r="J61" s="5"/>
    </row>
    <row r="62" ht="15.75" customHeight="1">
      <c r="A62" s="47"/>
      <c r="B62" s="48"/>
      <c r="C62" s="49">
        <v>47330.0</v>
      </c>
      <c r="D62" s="50">
        <f t="shared" si="1"/>
        <v>1944262.603</v>
      </c>
      <c r="E62" s="51"/>
      <c r="F62" s="50">
        <f t="shared" si="2"/>
        <v>-208747.4412</v>
      </c>
      <c r="G62" s="50">
        <f t="shared" si="3"/>
        <v>2153010.044</v>
      </c>
      <c r="H62" s="50">
        <f t="shared" si="4"/>
        <v>-23027754.16</v>
      </c>
      <c r="J62" s="5"/>
    </row>
    <row r="63" ht="15.75" customHeight="1">
      <c r="A63" s="47"/>
      <c r="B63" s="48"/>
      <c r="C63" s="49">
        <v>47361.0</v>
      </c>
      <c r="D63" s="50">
        <f t="shared" si="1"/>
        <v>1944262.603</v>
      </c>
      <c r="E63" s="51"/>
      <c r="F63" s="50">
        <f t="shared" si="2"/>
        <v>-230277.5416</v>
      </c>
      <c r="G63" s="50">
        <f t="shared" si="3"/>
        <v>2174540.145</v>
      </c>
      <c r="H63" s="50">
        <f t="shared" si="4"/>
        <v>-25202294.31</v>
      </c>
      <c r="J63" s="5"/>
    </row>
    <row r="64" ht="15.75" customHeight="1">
      <c r="A64" s="47"/>
      <c r="B64" s="48"/>
      <c r="C64" s="49">
        <v>47391.0</v>
      </c>
      <c r="D64" s="50">
        <f t="shared" si="1"/>
        <v>1944262.603</v>
      </c>
      <c r="E64" s="51"/>
      <c r="F64" s="50">
        <f t="shared" si="2"/>
        <v>-252022.9431</v>
      </c>
      <c r="G64" s="50">
        <f t="shared" si="3"/>
        <v>2196285.546</v>
      </c>
      <c r="H64" s="50">
        <f t="shared" si="4"/>
        <v>-27398579.85</v>
      </c>
      <c r="J64" s="5"/>
    </row>
    <row r="65" ht="15.75" customHeight="1">
      <c r="A65" s="47"/>
      <c r="B65" s="48"/>
      <c r="C65" s="49">
        <v>47422.0</v>
      </c>
      <c r="D65" s="50">
        <f t="shared" si="1"/>
        <v>1944262.603</v>
      </c>
      <c r="E65" s="51"/>
      <c r="F65" s="50">
        <f t="shared" si="2"/>
        <v>-273985.7985</v>
      </c>
      <c r="G65" s="50">
        <f t="shared" si="3"/>
        <v>2218248.402</v>
      </c>
      <c r="H65" s="50">
        <f t="shared" si="4"/>
        <v>-29616828.25</v>
      </c>
      <c r="J65" s="5"/>
    </row>
    <row r="66" ht="15.75" customHeight="1">
      <c r="A66" s="47"/>
      <c r="B66" s="48"/>
      <c r="C66" s="49">
        <v>47452.0</v>
      </c>
      <c r="D66" s="50">
        <f t="shared" si="1"/>
        <v>1944262.603</v>
      </c>
      <c r="E66" s="51"/>
      <c r="F66" s="50">
        <f t="shared" si="2"/>
        <v>-296168.2825</v>
      </c>
      <c r="G66" s="50">
        <f t="shared" si="3"/>
        <v>2240430.886</v>
      </c>
      <c r="H66" s="50">
        <f t="shared" si="4"/>
        <v>-31857259.14</v>
      </c>
      <c r="J66" s="5"/>
    </row>
    <row r="67" ht="15.75" customHeight="1">
      <c r="A67" s="47"/>
      <c r="B67" s="48"/>
      <c r="C67" s="49">
        <v>47483.0</v>
      </c>
      <c r="D67" s="50">
        <f t="shared" si="1"/>
        <v>1944262.603</v>
      </c>
      <c r="E67" s="51"/>
      <c r="F67" s="50">
        <f t="shared" si="2"/>
        <v>-318572.5914</v>
      </c>
      <c r="G67" s="50">
        <f t="shared" si="3"/>
        <v>2262835.195</v>
      </c>
      <c r="H67" s="50">
        <f t="shared" si="4"/>
        <v>-34120094.33</v>
      </c>
      <c r="J67" s="5"/>
    </row>
    <row r="68" ht="15.75" customHeight="1">
      <c r="A68" s="47"/>
      <c r="B68" s="48"/>
      <c r="C68" s="49">
        <v>47514.0</v>
      </c>
      <c r="D68" s="50">
        <f t="shared" si="1"/>
        <v>1944262.603</v>
      </c>
      <c r="E68" s="51"/>
      <c r="F68" s="50">
        <f t="shared" si="2"/>
        <v>-341200.9433</v>
      </c>
      <c r="G68" s="50">
        <f t="shared" si="3"/>
        <v>2285463.547</v>
      </c>
      <c r="H68" s="50">
        <f t="shared" si="4"/>
        <v>-36405557.88</v>
      </c>
      <c r="J68" s="5"/>
    </row>
    <row r="69" ht="15.75" customHeight="1">
      <c r="A69" s="47"/>
      <c r="B69" s="48"/>
      <c r="C69" s="49">
        <v>47542.0</v>
      </c>
      <c r="D69" s="50">
        <f t="shared" si="1"/>
        <v>1944262.603</v>
      </c>
      <c r="E69" s="51"/>
      <c r="F69" s="50">
        <f t="shared" si="2"/>
        <v>-364055.5788</v>
      </c>
      <c r="G69" s="50">
        <f t="shared" si="3"/>
        <v>2308318.182</v>
      </c>
      <c r="H69" s="50">
        <f t="shared" si="4"/>
        <v>-38713876.06</v>
      </c>
      <c r="J69" s="5"/>
    </row>
    <row r="70" ht="15.75" customHeight="1">
      <c r="A70" s="47"/>
      <c r="B70" s="48"/>
      <c r="C70" s="49">
        <v>47573.0</v>
      </c>
      <c r="D70" s="50">
        <f t="shared" si="1"/>
        <v>1944262.603</v>
      </c>
      <c r="E70" s="51"/>
      <c r="F70" s="50">
        <f t="shared" si="2"/>
        <v>-387138.7606</v>
      </c>
      <c r="G70" s="50">
        <f t="shared" si="3"/>
        <v>2331401.364</v>
      </c>
      <c r="H70" s="50">
        <f t="shared" si="4"/>
        <v>-41045277.43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0.78"/>
    <col customWidth="1" min="3" max="3" width="12.0"/>
    <col customWidth="1" min="4" max="4" width="12.67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52" t="s">
        <v>1</v>
      </c>
      <c r="E1" s="4"/>
      <c r="G1" s="1" t="s">
        <v>126</v>
      </c>
      <c r="J1" s="5"/>
    </row>
    <row r="2" ht="15.75" customHeight="1">
      <c r="B2" s="2"/>
      <c r="C2" s="1" t="s">
        <v>6</v>
      </c>
      <c r="D2" s="6">
        <v>2.7E7</v>
      </c>
      <c r="E2" s="7"/>
      <c r="J2" s="5"/>
    </row>
    <row r="3" ht="15.75" customHeight="1">
      <c r="B3" s="2"/>
      <c r="C3" s="1" t="s">
        <v>7</v>
      </c>
      <c r="D3" s="8">
        <f>+A5-D2</f>
        <v>78196000</v>
      </c>
      <c r="E3" s="7"/>
      <c r="H3" s="5"/>
      <c r="J3" s="5"/>
    </row>
    <row r="4" ht="15.75" customHeight="1">
      <c r="A4" s="10" t="s">
        <v>8</v>
      </c>
      <c r="B4" s="2"/>
      <c r="C4" s="1" t="s">
        <v>9</v>
      </c>
      <c r="D4" s="53">
        <v>0.01</v>
      </c>
      <c r="E4" s="7"/>
      <c r="H4" s="5"/>
      <c r="J4" s="5"/>
    </row>
    <row r="5" ht="15.75" customHeight="1">
      <c r="A5" s="8">
        <v>1.05196E8</v>
      </c>
      <c r="B5" s="2"/>
      <c r="C5" s="1" t="s">
        <v>10</v>
      </c>
      <c r="D5" s="53">
        <v>60.0</v>
      </c>
      <c r="E5" s="7"/>
      <c r="H5" s="5"/>
      <c r="J5" s="5"/>
    </row>
    <row r="6" ht="15.75" customHeight="1">
      <c r="B6" s="2"/>
      <c r="C6" s="1" t="s">
        <v>11</v>
      </c>
      <c r="D6" s="8">
        <f>PMT(D4,D5,-D3)</f>
        <v>1739426.831</v>
      </c>
      <c r="E6" s="7"/>
      <c r="H6" s="5"/>
      <c r="J6" s="5"/>
    </row>
    <row r="7" ht="15.75" customHeight="1">
      <c r="B7" s="2"/>
      <c r="C7" s="1" t="s">
        <v>12</v>
      </c>
      <c r="D7" s="54" t="s">
        <v>127</v>
      </c>
      <c r="H7" s="5"/>
      <c r="J7" s="5"/>
    </row>
    <row r="8" ht="15.75" customHeight="1">
      <c r="B8" s="2"/>
      <c r="C8" s="1" t="s">
        <v>16</v>
      </c>
      <c r="D8" s="54">
        <v>3.1896445E7</v>
      </c>
      <c r="H8" s="5"/>
      <c r="I8" s="17"/>
      <c r="J8" s="19"/>
      <c r="K8" s="17"/>
      <c r="L8" s="21" t="s">
        <v>128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55" t="s">
        <v>24</v>
      </c>
      <c r="B9" s="23" t="s">
        <v>25</v>
      </c>
      <c r="C9" s="17" t="s">
        <v>26</v>
      </c>
      <c r="D9" s="56" t="s">
        <v>11</v>
      </c>
      <c r="E9" s="56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7"/>
      <c r="E10" s="7"/>
      <c r="F10" s="8"/>
      <c r="G10" s="8"/>
      <c r="H10" s="8">
        <f>+D3</f>
        <v>78196000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1.3136561E8</v>
      </c>
      <c r="U10" s="25"/>
    </row>
    <row r="11" ht="15.75" customHeight="1">
      <c r="A11" s="29">
        <v>45792.0</v>
      </c>
      <c r="B11" s="2" t="s">
        <v>129</v>
      </c>
      <c r="C11" s="30">
        <v>45792.0</v>
      </c>
      <c r="D11" s="8">
        <f t="shared" ref="D11:D70" si="1">$D$6</f>
        <v>1739426.831</v>
      </c>
      <c r="E11" s="15">
        <f>5000000+1739427-(D11)</f>
        <v>5000000.169</v>
      </c>
      <c r="F11" s="8">
        <f t="shared" ref="F11:F70" si="2">+H10*$D$4</f>
        <v>781960</v>
      </c>
      <c r="G11" s="8">
        <f t="shared" ref="G11:G70" si="3">+D11+E11-F11</f>
        <v>5957467</v>
      </c>
      <c r="H11" s="8">
        <f t="shared" ref="H11:H70" si="4">+H10-G11</f>
        <v>72238533</v>
      </c>
      <c r="J11" s="5"/>
      <c r="L11" s="33">
        <v>45733.0</v>
      </c>
      <c r="M11" s="34" t="s">
        <v>44</v>
      </c>
      <c r="N11" s="35" t="s">
        <v>130</v>
      </c>
      <c r="O11" s="36"/>
      <c r="P11" s="36">
        <v>1000000.0</v>
      </c>
      <c r="Q11" s="36"/>
      <c r="R11" s="36"/>
      <c r="S11" s="36">
        <f t="shared" ref="S11:S28" si="5">SUM(O11:R11)</f>
        <v>1000000</v>
      </c>
      <c r="T11" s="36">
        <f t="shared" ref="T11:T28" si="6">T10-S11</f>
        <v>130365610</v>
      </c>
      <c r="U11" s="34"/>
    </row>
    <row r="12" ht="15.75" customHeight="1">
      <c r="A12" s="29">
        <v>45822.0</v>
      </c>
      <c r="B12" s="2" t="s">
        <v>131</v>
      </c>
      <c r="C12" s="30">
        <v>45823.0</v>
      </c>
      <c r="D12" s="8">
        <f t="shared" si="1"/>
        <v>1739426.831</v>
      </c>
      <c r="E12" s="15">
        <f>4000000+1739427-(D12)</f>
        <v>4000000.169</v>
      </c>
      <c r="F12" s="8">
        <f t="shared" si="2"/>
        <v>722385.33</v>
      </c>
      <c r="G12" s="8">
        <f t="shared" si="3"/>
        <v>5017041.67</v>
      </c>
      <c r="H12" s="8">
        <f t="shared" si="4"/>
        <v>67221491.33</v>
      </c>
      <c r="J12" s="5"/>
      <c r="L12" s="33">
        <v>45769.0</v>
      </c>
      <c r="M12" s="34" t="s">
        <v>44</v>
      </c>
      <c r="N12" s="35" t="s">
        <v>132</v>
      </c>
      <c r="O12" s="36"/>
      <c r="P12" s="36">
        <v>2.6E7</v>
      </c>
      <c r="Q12" s="36"/>
      <c r="R12" s="36"/>
      <c r="S12" s="36">
        <f t="shared" si="5"/>
        <v>26000000</v>
      </c>
      <c r="T12" s="36">
        <f t="shared" si="6"/>
        <v>104365610</v>
      </c>
      <c r="U12" s="34"/>
    </row>
    <row r="13" ht="15.75" customHeight="1">
      <c r="A13" s="29">
        <v>45852.0</v>
      </c>
      <c r="B13" s="2" t="s">
        <v>133</v>
      </c>
      <c r="C13" s="30">
        <v>45853.0</v>
      </c>
      <c r="D13" s="8">
        <f t="shared" si="1"/>
        <v>1739426.831</v>
      </c>
      <c r="E13" s="15"/>
      <c r="F13" s="8">
        <f t="shared" si="2"/>
        <v>672214.9133</v>
      </c>
      <c r="G13" s="8">
        <f t="shared" si="3"/>
        <v>1067211.918</v>
      </c>
      <c r="H13" s="8">
        <f t="shared" si="4"/>
        <v>66154279.41</v>
      </c>
      <c r="J13" s="5" t="s">
        <v>56</v>
      </c>
      <c r="L13" s="33">
        <v>45792.0</v>
      </c>
      <c r="M13" s="34" t="s">
        <v>134</v>
      </c>
      <c r="N13" s="35" t="s">
        <v>129</v>
      </c>
      <c r="O13" s="36"/>
      <c r="P13" s="36">
        <v>6739427.0</v>
      </c>
      <c r="Q13" s="36"/>
      <c r="R13" s="36"/>
      <c r="S13" s="36">
        <f t="shared" si="5"/>
        <v>6739427</v>
      </c>
      <c r="T13" s="36">
        <f t="shared" si="6"/>
        <v>97626183</v>
      </c>
      <c r="U13" s="34"/>
    </row>
    <row r="14" ht="15.75" customHeight="1">
      <c r="A14" s="29">
        <v>45883.0</v>
      </c>
      <c r="B14" s="2" t="s">
        <v>135</v>
      </c>
      <c r="C14" s="30">
        <v>45884.0</v>
      </c>
      <c r="D14" s="8">
        <f t="shared" si="1"/>
        <v>1739426.831</v>
      </c>
      <c r="E14" s="15">
        <f>1739427+5000000-(D14)</f>
        <v>5000000.169</v>
      </c>
      <c r="F14" s="8">
        <f t="shared" si="2"/>
        <v>661542.7941</v>
      </c>
      <c r="G14" s="8">
        <f t="shared" si="3"/>
        <v>6077884.206</v>
      </c>
      <c r="H14" s="8">
        <f t="shared" si="4"/>
        <v>60076395.21</v>
      </c>
      <c r="J14" s="8">
        <f>+H10</f>
        <v>78196000</v>
      </c>
      <c r="L14" s="33">
        <v>45822.0</v>
      </c>
      <c r="M14" s="34" t="s">
        <v>136</v>
      </c>
      <c r="N14" s="35" t="s">
        <v>131</v>
      </c>
      <c r="O14" s="36"/>
      <c r="P14" s="36">
        <v>5739427.0</v>
      </c>
      <c r="Q14" s="36"/>
      <c r="R14" s="36"/>
      <c r="S14" s="36">
        <f t="shared" si="5"/>
        <v>5739427</v>
      </c>
      <c r="T14" s="36">
        <f t="shared" si="6"/>
        <v>91886756</v>
      </c>
      <c r="U14" s="34"/>
    </row>
    <row r="15" ht="15.75" customHeight="1">
      <c r="A15" s="29">
        <v>45913.0</v>
      </c>
      <c r="B15" s="2" t="s">
        <v>137</v>
      </c>
      <c r="C15" s="30">
        <v>45915.0</v>
      </c>
      <c r="D15" s="8">
        <f t="shared" si="1"/>
        <v>1739426.831</v>
      </c>
      <c r="E15" s="15"/>
      <c r="F15" s="8">
        <f t="shared" si="2"/>
        <v>600763.9521</v>
      </c>
      <c r="G15" s="8">
        <f t="shared" si="3"/>
        <v>1138662.879</v>
      </c>
      <c r="H15" s="8">
        <f t="shared" si="4"/>
        <v>58937732.33</v>
      </c>
      <c r="J15" s="5"/>
      <c r="L15" s="33">
        <v>45852.0</v>
      </c>
      <c r="M15" s="34" t="s">
        <v>83</v>
      </c>
      <c r="N15" s="35" t="s">
        <v>133</v>
      </c>
      <c r="O15" s="36"/>
      <c r="P15" s="36">
        <v>1739427.0</v>
      </c>
      <c r="Q15" s="36"/>
      <c r="R15" s="36"/>
      <c r="S15" s="36">
        <f t="shared" si="5"/>
        <v>1739427</v>
      </c>
      <c r="T15" s="36">
        <f t="shared" si="6"/>
        <v>90147329</v>
      </c>
      <c r="U15" s="34"/>
    </row>
    <row r="16" ht="15.75" customHeight="1">
      <c r="A16" s="29">
        <v>45944.0</v>
      </c>
      <c r="B16" s="2" t="s">
        <v>138</v>
      </c>
      <c r="C16" s="30">
        <v>45945.0</v>
      </c>
      <c r="D16" s="8">
        <f t="shared" si="1"/>
        <v>1739426.831</v>
      </c>
      <c r="E16" s="15"/>
      <c r="F16" s="8">
        <f t="shared" si="2"/>
        <v>589377.3233</v>
      </c>
      <c r="G16" s="8">
        <f t="shared" si="3"/>
        <v>1150049.508</v>
      </c>
      <c r="H16" s="8">
        <f t="shared" si="4"/>
        <v>57787682.82</v>
      </c>
      <c r="J16" s="5"/>
      <c r="L16" s="33">
        <v>45883.0</v>
      </c>
      <c r="M16" s="34" t="s">
        <v>139</v>
      </c>
      <c r="N16" s="35" t="s">
        <v>135</v>
      </c>
      <c r="O16" s="36"/>
      <c r="P16" s="36">
        <v>6739427.0</v>
      </c>
      <c r="Q16" s="36"/>
      <c r="R16" s="36"/>
      <c r="S16" s="36">
        <f t="shared" si="5"/>
        <v>6739427</v>
      </c>
      <c r="T16" s="36">
        <f t="shared" si="6"/>
        <v>83407902</v>
      </c>
      <c r="U16" s="34"/>
    </row>
    <row r="17" ht="15.75" customHeight="1">
      <c r="A17" s="29">
        <v>45979.0</v>
      </c>
      <c r="B17" s="2" t="s">
        <v>140</v>
      </c>
      <c r="C17" s="30">
        <v>45976.0</v>
      </c>
      <c r="D17" s="8">
        <f t="shared" si="1"/>
        <v>1739426.831</v>
      </c>
      <c r="E17" s="15"/>
      <c r="F17" s="8">
        <f t="shared" si="2"/>
        <v>577876.8282</v>
      </c>
      <c r="G17" s="8">
        <f t="shared" si="3"/>
        <v>1161550.003</v>
      </c>
      <c r="H17" s="8">
        <f t="shared" si="4"/>
        <v>56626132.82</v>
      </c>
      <c r="J17" s="5"/>
      <c r="L17" s="33">
        <v>45913.0</v>
      </c>
      <c r="M17" s="34" t="s">
        <v>89</v>
      </c>
      <c r="N17" s="35" t="s">
        <v>137</v>
      </c>
      <c r="O17" s="36"/>
      <c r="P17" s="36">
        <v>1739427.0</v>
      </c>
      <c r="Q17" s="36"/>
      <c r="R17" s="36"/>
      <c r="S17" s="36">
        <f t="shared" si="5"/>
        <v>1739427</v>
      </c>
      <c r="T17" s="36">
        <f t="shared" si="6"/>
        <v>81668475</v>
      </c>
      <c r="U17" s="34"/>
    </row>
    <row r="18" ht="15.75" customHeight="1">
      <c r="A18" s="29">
        <v>46007.0</v>
      </c>
      <c r="B18" s="2" t="s">
        <v>141</v>
      </c>
      <c r="C18" s="30">
        <v>46006.0</v>
      </c>
      <c r="D18" s="8">
        <f t="shared" si="1"/>
        <v>1739426.831</v>
      </c>
      <c r="E18" s="15"/>
      <c r="F18" s="8">
        <f t="shared" si="2"/>
        <v>566261.3282</v>
      </c>
      <c r="G18" s="8">
        <f t="shared" si="3"/>
        <v>1173165.503</v>
      </c>
      <c r="H18" s="8">
        <f t="shared" si="4"/>
        <v>55452967.31</v>
      </c>
      <c r="J18" s="5"/>
      <c r="L18" s="33">
        <v>45944.0</v>
      </c>
      <c r="M18" s="34" t="s">
        <v>93</v>
      </c>
      <c r="N18" s="35" t="s">
        <v>138</v>
      </c>
      <c r="O18" s="36"/>
      <c r="P18" s="36">
        <v>1739427.0</v>
      </c>
      <c r="Q18" s="36"/>
      <c r="R18" s="36"/>
      <c r="S18" s="36">
        <f t="shared" si="5"/>
        <v>1739427</v>
      </c>
      <c r="T18" s="36">
        <f t="shared" si="6"/>
        <v>79929048</v>
      </c>
      <c r="U18" s="34"/>
    </row>
    <row r="19" ht="15.75" customHeight="1">
      <c r="A19" s="29">
        <v>46036.0</v>
      </c>
      <c r="B19" s="2" t="s">
        <v>144</v>
      </c>
      <c r="C19" s="30">
        <v>46037.0</v>
      </c>
      <c r="D19" s="8">
        <f t="shared" si="1"/>
        <v>1739426.831</v>
      </c>
      <c r="E19" s="15"/>
      <c r="F19" s="8">
        <f t="shared" si="2"/>
        <v>554529.6731</v>
      </c>
      <c r="G19" s="8">
        <f t="shared" si="3"/>
        <v>1184897.158</v>
      </c>
      <c r="H19" s="8">
        <f t="shared" si="4"/>
        <v>54268070.16</v>
      </c>
      <c r="I19" s="1"/>
      <c r="J19" s="41"/>
      <c r="K19" s="1"/>
      <c r="L19" s="42">
        <v>45979.0</v>
      </c>
      <c r="M19" s="43" t="s">
        <v>96</v>
      </c>
      <c r="N19" s="44" t="s">
        <v>140</v>
      </c>
      <c r="O19" s="45"/>
      <c r="P19" s="45">
        <v>1739427.0</v>
      </c>
      <c r="Q19" s="45"/>
      <c r="R19" s="45"/>
      <c r="S19" s="45">
        <f t="shared" si="5"/>
        <v>1739427</v>
      </c>
      <c r="T19" s="45">
        <f t="shared" si="6"/>
        <v>78189621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46070.0</v>
      </c>
      <c r="B20" s="2" t="s">
        <v>145</v>
      </c>
      <c r="C20" s="30">
        <v>46068.0</v>
      </c>
      <c r="D20" s="8">
        <f t="shared" si="1"/>
        <v>1739426.831</v>
      </c>
      <c r="E20" s="15"/>
      <c r="F20" s="8">
        <f t="shared" si="2"/>
        <v>542680.7016</v>
      </c>
      <c r="G20" s="8">
        <f t="shared" si="3"/>
        <v>1196746.13</v>
      </c>
      <c r="H20" s="8">
        <f t="shared" si="4"/>
        <v>53071324.03</v>
      </c>
      <c r="J20" s="5"/>
      <c r="L20" s="33">
        <v>46007.0</v>
      </c>
      <c r="M20" s="34" t="s">
        <v>100</v>
      </c>
      <c r="N20" s="35" t="s">
        <v>141</v>
      </c>
      <c r="O20" s="36"/>
      <c r="P20" s="36">
        <v>1739427.0</v>
      </c>
      <c r="Q20" s="36"/>
      <c r="R20" s="36"/>
      <c r="S20" s="36">
        <f t="shared" si="5"/>
        <v>1739427</v>
      </c>
      <c r="T20" s="36">
        <f t="shared" si="6"/>
        <v>76450194</v>
      </c>
      <c r="U20" s="34"/>
    </row>
    <row r="21" ht="15.75" customHeight="1">
      <c r="A21" s="29">
        <v>46094.0</v>
      </c>
      <c r="B21" s="2" t="s">
        <v>148</v>
      </c>
      <c r="C21" s="30">
        <v>46096.0</v>
      </c>
      <c r="D21" s="8">
        <f t="shared" si="1"/>
        <v>1739426.831</v>
      </c>
      <c r="E21" s="15"/>
      <c r="F21" s="8">
        <f t="shared" si="2"/>
        <v>530713.2403</v>
      </c>
      <c r="G21" s="8">
        <f t="shared" si="3"/>
        <v>1208713.591</v>
      </c>
      <c r="H21" s="8">
        <f t="shared" si="4"/>
        <v>51862610.43</v>
      </c>
      <c r="J21" s="5"/>
      <c r="L21" s="33">
        <v>46036.0</v>
      </c>
      <c r="M21" s="34" t="s">
        <v>103</v>
      </c>
      <c r="N21" s="35" t="s">
        <v>144</v>
      </c>
      <c r="O21" s="36"/>
      <c r="P21" s="36">
        <v>1739427.0</v>
      </c>
      <c r="Q21" s="36"/>
      <c r="R21" s="36"/>
      <c r="S21" s="36">
        <f t="shared" si="5"/>
        <v>1739427</v>
      </c>
      <c r="T21" s="36">
        <f t="shared" si="6"/>
        <v>74710767</v>
      </c>
      <c r="U21" s="34"/>
    </row>
    <row r="22" ht="15.75" customHeight="1">
      <c r="A22" s="29">
        <v>46126.0</v>
      </c>
      <c r="B22" s="2" t="s">
        <v>150</v>
      </c>
      <c r="C22" s="30">
        <v>46127.0</v>
      </c>
      <c r="D22" s="8">
        <f t="shared" si="1"/>
        <v>1739426.831</v>
      </c>
      <c r="E22" s="15"/>
      <c r="F22" s="8">
        <f t="shared" si="2"/>
        <v>518626.1043</v>
      </c>
      <c r="G22" s="8">
        <f t="shared" si="3"/>
        <v>1220800.727</v>
      </c>
      <c r="H22" s="8">
        <f t="shared" si="4"/>
        <v>50641809.71</v>
      </c>
      <c r="J22" s="5"/>
      <c r="L22" s="33">
        <v>46070.0</v>
      </c>
      <c r="M22" s="34" t="s">
        <v>107</v>
      </c>
      <c r="N22" s="35" t="s">
        <v>145</v>
      </c>
      <c r="O22" s="36"/>
      <c r="P22" s="36">
        <v>1739427.0</v>
      </c>
      <c r="Q22" s="36"/>
      <c r="R22" s="36"/>
      <c r="S22" s="36">
        <f t="shared" si="5"/>
        <v>1739427</v>
      </c>
      <c r="T22" s="36">
        <f t="shared" si="6"/>
        <v>72971340</v>
      </c>
      <c r="U22" s="34"/>
    </row>
    <row r="23" ht="15.75" customHeight="1">
      <c r="A23" s="29">
        <v>46155.0</v>
      </c>
      <c r="B23" s="2" t="s">
        <v>151</v>
      </c>
      <c r="C23" s="30">
        <v>46157.0</v>
      </c>
      <c r="D23" s="8">
        <f t="shared" si="1"/>
        <v>1739426.831</v>
      </c>
      <c r="E23" s="46"/>
      <c r="F23" s="8">
        <f t="shared" si="2"/>
        <v>506418.0971</v>
      </c>
      <c r="G23" s="8">
        <f t="shared" si="3"/>
        <v>1233008.734</v>
      </c>
      <c r="H23" s="8">
        <f t="shared" si="4"/>
        <v>49408800.97</v>
      </c>
      <c r="J23" s="5"/>
      <c r="L23" s="33">
        <v>46094.0</v>
      </c>
      <c r="M23" s="34" t="s">
        <v>112</v>
      </c>
      <c r="N23" s="35" t="s">
        <v>148</v>
      </c>
      <c r="O23" s="36"/>
      <c r="P23" s="36">
        <v>1739427.0</v>
      </c>
      <c r="Q23" s="36"/>
      <c r="R23" s="36"/>
      <c r="S23" s="36">
        <f t="shared" si="5"/>
        <v>1739427</v>
      </c>
      <c r="T23" s="36">
        <f t="shared" si="6"/>
        <v>71231913</v>
      </c>
      <c r="U23" s="34"/>
    </row>
    <row r="24" ht="15.75" customHeight="1">
      <c r="A24" s="29">
        <v>46184.0</v>
      </c>
      <c r="B24" s="2" t="s">
        <v>153</v>
      </c>
      <c r="C24" s="30">
        <v>46188.0</v>
      </c>
      <c r="D24" s="8">
        <f t="shared" si="1"/>
        <v>1739426.831</v>
      </c>
      <c r="E24" s="46"/>
      <c r="F24" s="8">
        <f t="shared" si="2"/>
        <v>494088.0097</v>
      </c>
      <c r="G24" s="8">
        <f t="shared" si="3"/>
        <v>1245338.821</v>
      </c>
      <c r="H24" s="8">
        <f t="shared" si="4"/>
        <v>48163462.15</v>
      </c>
      <c r="J24" s="5"/>
      <c r="L24" s="33">
        <v>46126.0</v>
      </c>
      <c r="M24" s="34" t="s">
        <v>115</v>
      </c>
      <c r="N24" s="35" t="s">
        <v>150</v>
      </c>
      <c r="O24" s="36"/>
      <c r="P24" s="36">
        <v>1739427.0</v>
      </c>
      <c r="Q24" s="36"/>
      <c r="R24" s="36"/>
      <c r="S24" s="36">
        <f t="shared" si="5"/>
        <v>1739427</v>
      </c>
      <c r="T24" s="36">
        <f t="shared" si="6"/>
        <v>69492486</v>
      </c>
      <c r="U24" s="34"/>
    </row>
    <row r="25" ht="15.75" customHeight="1">
      <c r="A25" s="29">
        <v>46218.0</v>
      </c>
      <c r="B25" s="2" t="s">
        <v>157</v>
      </c>
      <c r="C25" s="30">
        <v>46218.0</v>
      </c>
      <c r="D25" s="8">
        <f t="shared" si="1"/>
        <v>1739426.831</v>
      </c>
      <c r="E25" s="46"/>
      <c r="F25" s="8">
        <f t="shared" si="2"/>
        <v>481634.6215</v>
      </c>
      <c r="G25" s="8">
        <f t="shared" si="3"/>
        <v>1257792.21</v>
      </c>
      <c r="H25" s="8">
        <f t="shared" si="4"/>
        <v>46905669.94</v>
      </c>
      <c r="J25" s="5"/>
      <c r="L25" s="33">
        <v>46155.0</v>
      </c>
      <c r="M25" s="34" t="s">
        <v>116</v>
      </c>
      <c r="N25" s="35" t="s">
        <v>151</v>
      </c>
      <c r="O25" s="36"/>
      <c r="P25" s="36">
        <v>1739427.0</v>
      </c>
      <c r="Q25" s="36"/>
      <c r="R25" s="36"/>
      <c r="S25" s="36">
        <f t="shared" si="5"/>
        <v>1739427</v>
      </c>
      <c r="T25" s="36">
        <f t="shared" si="6"/>
        <v>67753059</v>
      </c>
      <c r="U25" s="34"/>
    </row>
    <row r="26" ht="15.75" customHeight="1">
      <c r="A26" s="29">
        <v>46253.0</v>
      </c>
      <c r="B26" s="2" t="s">
        <v>159</v>
      </c>
      <c r="C26" s="30">
        <v>46249.0</v>
      </c>
      <c r="D26" s="8">
        <f t="shared" si="1"/>
        <v>1739426.831</v>
      </c>
      <c r="E26" s="46"/>
      <c r="F26" s="8">
        <f t="shared" si="2"/>
        <v>469056.6994</v>
      </c>
      <c r="G26" s="8">
        <f t="shared" si="3"/>
        <v>1270370.132</v>
      </c>
      <c r="H26" s="8">
        <f t="shared" si="4"/>
        <v>45635299.81</v>
      </c>
      <c r="J26" s="5"/>
      <c r="L26" s="33">
        <v>46184.0</v>
      </c>
      <c r="M26" s="34" t="s">
        <v>118</v>
      </c>
      <c r="N26" s="35" t="s">
        <v>153</v>
      </c>
      <c r="O26" s="36"/>
      <c r="P26" s="36">
        <v>1739427.0</v>
      </c>
      <c r="Q26" s="36"/>
      <c r="R26" s="36"/>
      <c r="S26" s="36">
        <f t="shared" si="5"/>
        <v>1739427</v>
      </c>
      <c r="T26" s="36">
        <f t="shared" si="6"/>
        <v>66013632</v>
      </c>
      <c r="U26" s="34"/>
    </row>
    <row r="27" ht="15.75" customHeight="1">
      <c r="B27" s="2"/>
      <c r="C27" s="30">
        <v>46280.0</v>
      </c>
      <c r="D27" s="8">
        <f t="shared" si="1"/>
        <v>1739426.831</v>
      </c>
      <c r="E27" s="46"/>
      <c r="F27" s="8">
        <f t="shared" si="2"/>
        <v>456352.9981</v>
      </c>
      <c r="G27" s="8">
        <f t="shared" si="3"/>
        <v>1283073.833</v>
      </c>
      <c r="H27" s="8">
        <f t="shared" si="4"/>
        <v>44352225.98</v>
      </c>
      <c r="J27" s="5"/>
      <c r="L27" s="33">
        <v>46218.0</v>
      </c>
      <c r="M27" s="34" t="s">
        <v>120</v>
      </c>
      <c r="N27" s="35" t="s">
        <v>157</v>
      </c>
      <c r="O27" s="36"/>
      <c r="P27" s="36">
        <v>1739427.0</v>
      </c>
      <c r="Q27" s="36"/>
      <c r="R27" s="36"/>
      <c r="S27" s="36">
        <f t="shared" si="5"/>
        <v>1739427</v>
      </c>
      <c r="T27" s="36">
        <f t="shared" si="6"/>
        <v>64274205</v>
      </c>
      <c r="U27" s="34"/>
    </row>
    <row r="28" ht="15.75" customHeight="1">
      <c r="B28" s="2"/>
      <c r="C28" s="30">
        <v>46310.0</v>
      </c>
      <c r="D28" s="8">
        <f t="shared" si="1"/>
        <v>1739426.831</v>
      </c>
      <c r="E28" s="46"/>
      <c r="F28" s="8">
        <f t="shared" si="2"/>
        <v>443522.2598</v>
      </c>
      <c r="G28" s="8">
        <f t="shared" si="3"/>
        <v>1295904.571</v>
      </c>
      <c r="H28" s="8">
        <f t="shared" si="4"/>
        <v>43056321.41</v>
      </c>
      <c r="J28" s="5"/>
      <c r="L28" s="40">
        <v>46253.0</v>
      </c>
      <c r="M28" s="34" t="s">
        <v>122</v>
      </c>
      <c r="N28" s="35" t="s">
        <v>159</v>
      </c>
      <c r="O28" s="36"/>
      <c r="P28" s="36"/>
      <c r="Q28" s="36"/>
      <c r="R28" s="36">
        <v>1739427.0</v>
      </c>
      <c r="S28" s="36">
        <f t="shared" si="5"/>
        <v>1739427</v>
      </c>
      <c r="T28" s="36">
        <f t="shared" si="6"/>
        <v>62534778</v>
      </c>
      <c r="U28" s="34" t="s">
        <v>125</v>
      </c>
    </row>
    <row r="29" ht="15.75" customHeight="1">
      <c r="B29" s="2"/>
      <c r="C29" s="30">
        <v>46341.0</v>
      </c>
      <c r="D29" s="8">
        <f t="shared" si="1"/>
        <v>1739426.831</v>
      </c>
      <c r="E29" s="46"/>
      <c r="F29" s="8">
        <f t="shared" si="2"/>
        <v>430563.2141</v>
      </c>
      <c r="G29" s="8">
        <f t="shared" si="3"/>
        <v>1308863.617</v>
      </c>
      <c r="H29" s="8">
        <f t="shared" si="4"/>
        <v>41747457.79</v>
      </c>
      <c r="J29" s="5"/>
      <c r="L29" s="25"/>
      <c r="M29" s="38" t="s">
        <v>69</v>
      </c>
      <c r="N29" s="39"/>
      <c r="O29" s="27">
        <f t="shared" ref="O29:S29" si="7">SUM(O11:O28)</f>
        <v>0</v>
      </c>
      <c r="P29" s="27">
        <f t="shared" si="7"/>
        <v>67091405</v>
      </c>
      <c r="Q29" s="27">
        <f t="shared" si="7"/>
        <v>0</v>
      </c>
      <c r="R29" s="27">
        <f t="shared" si="7"/>
        <v>1739427</v>
      </c>
      <c r="S29" s="27">
        <f t="shared" si="7"/>
        <v>68830832</v>
      </c>
      <c r="T29" s="27">
        <f>T28</f>
        <v>62534778</v>
      </c>
      <c r="U29" s="25"/>
    </row>
    <row r="30" ht="15.75" customHeight="1">
      <c r="B30" s="2"/>
      <c r="C30" s="30">
        <v>46371.0</v>
      </c>
      <c r="D30" s="8">
        <f t="shared" si="1"/>
        <v>1739426.831</v>
      </c>
      <c r="E30" s="46"/>
      <c r="F30" s="8">
        <f t="shared" si="2"/>
        <v>417474.5779</v>
      </c>
      <c r="G30" s="8">
        <f t="shared" si="3"/>
        <v>1321952.253</v>
      </c>
      <c r="H30" s="8">
        <f t="shared" si="4"/>
        <v>40425505.54</v>
      </c>
      <c r="J30" s="5"/>
    </row>
    <row r="31" ht="15.75" customHeight="1">
      <c r="B31" s="2"/>
      <c r="C31" s="30">
        <v>46402.0</v>
      </c>
      <c r="D31" s="8">
        <f t="shared" si="1"/>
        <v>1739426.831</v>
      </c>
      <c r="E31" s="46"/>
      <c r="F31" s="8">
        <f t="shared" si="2"/>
        <v>404255.0554</v>
      </c>
      <c r="G31" s="8">
        <f t="shared" si="3"/>
        <v>1335171.776</v>
      </c>
      <c r="H31" s="8">
        <f t="shared" si="4"/>
        <v>39090333.76</v>
      </c>
      <c r="J31" s="5"/>
    </row>
    <row r="32" ht="15.75" customHeight="1">
      <c r="B32" s="2"/>
      <c r="C32" s="30">
        <v>46433.0</v>
      </c>
      <c r="D32" s="8">
        <f t="shared" si="1"/>
        <v>1739426.831</v>
      </c>
      <c r="E32" s="46"/>
      <c r="F32" s="8">
        <f t="shared" si="2"/>
        <v>390903.3376</v>
      </c>
      <c r="G32" s="8">
        <f t="shared" si="3"/>
        <v>1348523.494</v>
      </c>
      <c r="H32" s="8">
        <f t="shared" si="4"/>
        <v>37741810.27</v>
      </c>
      <c r="J32" s="5"/>
    </row>
    <row r="33" ht="15.75" customHeight="1">
      <c r="B33" s="2"/>
      <c r="C33" s="30">
        <v>46461.0</v>
      </c>
      <c r="D33" s="8">
        <f t="shared" si="1"/>
        <v>1739426.831</v>
      </c>
      <c r="E33" s="46"/>
      <c r="F33" s="8">
        <f t="shared" si="2"/>
        <v>377418.1027</v>
      </c>
      <c r="G33" s="8">
        <f t="shared" si="3"/>
        <v>1362008.729</v>
      </c>
      <c r="H33" s="8">
        <f t="shared" si="4"/>
        <v>36379801.54</v>
      </c>
      <c r="J33" s="5"/>
    </row>
    <row r="34" ht="15.75" customHeight="1">
      <c r="B34" s="2"/>
      <c r="C34" s="30">
        <v>46492.0</v>
      </c>
      <c r="D34" s="8">
        <f t="shared" si="1"/>
        <v>1739426.831</v>
      </c>
      <c r="E34" s="46"/>
      <c r="F34" s="8">
        <f t="shared" si="2"/>
        <v>363798.0154</v>
      </c>
      <c r="G34" s="8">
        <f t="shared" si="3"/>
        <v>1375628.816</v>
      </c>
      <c r="H34" s="8">
        <f t="shared" si="4"/>
        <v>35004172.72</v>
      </c>
      <c r="J34" s="5"/>
    </row>
    <row r="35" ht="15.75" customHeight="1">
      <c r="B35" s="2"/>
      <c r="C35" s="30">
        <v>46522.0</v>
      </c>
      <c r="D35" s="8">
        <f t="shared" si="1"/>
        <v>1739426.831</v>
      </c>
      <c r="E35" s="46"/>
      <c r="F35" s="8">
        <f t="shared" si="2"/>
        <v>350041.7272</v>
      </c>
      <c r="G35" s="8">
        <f t="shared" si="3"/>
        <v>1389385.104</v>
      </c>
      <c r="H35" s="8">
        <f t="shared" si="4"/>
        <v>33614787.62</v>
      </c>
      <c r="J35" s="5"/>
    </row>
    <row r="36" ht="15.75" customHeight="1">
      <c r="B36" s="2"/>
      <c r="C36" s="30">
        <v>46553.0</v>
      </c>
      <c r="D36" s="8">
        <f t="shared" si="1"/>
        <v>1739426.831</v>
      </c>
      <c r="E36" s="46"/>
      <c r="F36" s="8">
        <f t="shared" si="2"/>
        <v>336147.8762</v>
      </c>
      <c r="G36" s="8">
        <f t="shared" si="3"/>
        <v>1403278.955</v>
      </c>
      <c r="H36" s="8">
        <f t="shared" si="4"/>
        <v>32211508.66</v>
      </c>
      <c r="J36" s="5"/>
    </row>
    <row r="37" ht="15.75" customHeight="1">
      <c r="B37" s="2"/>
      <c r="C37" s="30">
        <v>46583.0</v>
      </c>
      <c r="D37" s="8">
        <f t="shared" si="1"/>
        <v>1739426.831</v>
      </c>
      <c r="E37" s="46"/>
      <c r="F37" s="8">
        <f t="shared" si="2"/>
        <v>322115.0866</v>
      </c>
      <c r="G37" s="8">
        <f t="shared" si="3"/>
        <v>1417311.745</v>
      </c>
      <c r="H37" s="8">
        <f t="shared" si="4"/>
        <v>30794196.92</v>
      </c>
      <c r="J37" s="5"/>
    </row>
    <row r="38" ht="15.75" customHeight="1">
      <c r="B38" s="2"/>
      <c r="C38" s="30">
        <v>46614.0</v>
      </c>
      <c r="D38" s="8">
        <f t="shared" si="1"/>
        <v>1739426.831</v>
      </c>
      <c r="E38" s="46"/>
      <c r="F38" s="8">
        <f t="shared" si="2"/>
        <v>307941.9692</v>
      </c>
      <c r="G38" s="8">
        <f t="shared" si="3"/>
        <v>1431484.862</v>
      </c>
      <c r="H38" s="8">
        <f t="shared" si="4"/>
        <v>29362712.06</v>
      </c>
      <c r="J38" s="5"/>
    </row>
    <row r="39" ht="15.75" customHeight="1">
      <c r="B39" s="2"/>
      <c r="C39" s="30">
        <v>46645.0</v>
      </c>
      <c r="D39" s="8">
        <f t="shared" si="1"/>
        <v>1739426.831</v>
      </c>
      <c r="E39" s="46"/>
      <c r="F39" s="8">
        <f t="shared" si="2"/>
        <v>293627.1206</v>
      </c>
      <c r="G39" s="8">
        <f t="shared" si="3"/>
        <v>1445799.711</v>
      </c>
      <c r="H39" s="8">
        <f t="shared" si="4"/>
        <v>27916912.35</v>
      </c>
      <c r="J39" s="5"/>
    </row>
    <row r="40" ht="15.75" customHeight="1">
      <c r="B40" s="2"/>
      <c r="C40" s="30">
        <v>46675.0</v>
      </c>
      <c r="D40" s="8">
        <f t="shared" si="1"/>
        <v>1739426.831</v>
      </c>
      <c r="E40" s="46"/>
      <c r="F40" s="8">
        <f t="shared" si="2"/>
        <v>279169.1235</v>
      </c>
      <c r="G40" s="8">
        <f t="shared" si="3"/>
        <v>1460257.708</v>
      </c>
      <c r="H40" s="8">
        <f t="shared" si="4"/>
        <v>26456654.64</v>
      </c>
      <c r="J40" s="5"/>
    </row>
    <row r="41" ht="15.75" customHeight="1">
      <c r="B41" s="2"/>
      <c r="C41" s="30">
        <v>46706.0</v>
      </c>
      <c r="D41" s="8">
        <f t="shared" si="1"/>
        <v>1739426.831</v>
      </c>
      <c r="E41" s="46"/>
      <c r="F41" s="8">
        <f t="shared" si="2"/>
        <v>264566.5464</v>
      </c>
      <c r="G41" s="8">
        <f t="shared" si="3"/>
        <v>1474860.285</v>
      </c>
      <c r="H41" s="8">
        <f t="shared" si="4"/>
        <v>24981794.35</v>
      </c>
      <c r="J41" s="5"/>
    </row>
    <row r="42" ht="15.75" customHeight="1">
      <c r="B42" s="2"/>
      <c r="C42" s="30">
        <v>46736.0</v>
      </c>
      <c r="D42" s="8">
        <f t="shared" si="1"/>
        <v>1739426.831</v>
      </c>
      <c r="E42" s="46"/>
      <c r="F42" s="8">
        <f t="shared" si="2"/>
        <v>249817.9435</v>
      </c>
      <c r="G42" s="8">
        <f t="shared" si="3"/>
        <v>1489608.888</v>
      </c>
      <c r="H42" s="8">
        <f t="shared" si="4"/>
        <v>23492185.47</v>
      </c>
      <c r="J42" s="5"/>
    </row>
    <row r="43" ht="15.75" customHeight="1">
      <c r="B43" s="2"/>
      <c r="C43" s="30">
        <v>46767.0</v>
      </c>
      <c r="D43" s="8">
        <f t="shared" si="1"/>
        <v>1739426.831</v>
      </c>
      <c r="E43" s="46"/>
      <c r="F43" s="8">
        <f t="shared" si="2"/>
        <v>234921.8547</v>
      </c>
      <c r="G43" s="8">
        <f t="shared" si="3"/>
        <v>1504504.977</v>
      </c>
      <c r="H43" s="8">
        <f t="shared" si="4"/>
        <v>21987680.49</v>
      </c>
      <c r="J43" s="5"/>
    </row>
    <row r="44" ht="15.75" customHeight="1">
      <c r="B44" s="2"/>
      <c r="C44" s="30">
        <v>46798.0</v>
      </c>
      <c r="D44" s="8">
        <f t="shared" si="1"/>
        <v>1739426.831</v>
      </c>
      <c r="E44" s="46"/>
      <c r="F44" s="8">
        <f t="shared" si="2"/>
        <v>219876.8049</v>
      </c>
      <c r="G44" s="8">
        <f t="shared" si="3"/>
        <v>1519550.026</v>
      </c>
      <c r="H44" s="8">
        <f t="shared" si="4"/>
        <v>20468130.46</v>
      </c>
      <c r="J44" s="5"/>
    </row>
    <row r="45" ht="15.75" customHeight="1">
      <c r="B45" s="2"/>
      <c r="C45" s="30">
        <v>46827.0</v>
      </c>
      <c r="D45" s="8">
        <f t="shared" si="1"/>
        <v>1739426.831</v>
      </c>
      <c r="E45" s="46"/>
      <c r="F45" s="8">
        <f t="shared" si="2"/>
        <v>204681.3046</v>
      </c>
      <c r="G45" s="8">
        <f t="shared" si="3"/>
        <v>1534745.527</v>
      </c>
      <c r="H45" s="8">
        <f t="shared" si="4"/>
        <v>18933384.94</v>
      </c>
      <c r="J45" s="5"/>
    </row>
    <row r="46" ht="15.75" customHeight="1">
      <c r="B46" s="2"/>
      <c r="C46" s="30">
        <v>46858.0</v>
      </c>
      <c r="D46" s="8">
        <f t="shared" si="1"/>
        <v>1739426.831</v>
      </c>
      <c r="E46" s="46"/>
      <c r="F46" s="8">
        <f t="shared" si="2"/>
        <v>189333.8494</v>
      </c>
      <c r="G46" s="8">
        <f t="shared" si="3"/>
        <v>1550092.982</v>
      </c>
      <c r="H46" s="8">
        <f t="shared" si="4"/>
        <v>17383291.96</v>
      </c>
      <c r="J46" s="5"/>
    </row>
    <row r="47" ht="15.75" customHeight="1">
      <c r="B47" s="2"/>
      <c r="C47" s="30">
        <v>46888.0</v>
      </c>
      <c r="D47" s="8">
        <f t="shared" si="1"/>
        <v>1739426.831</v>
      </c>
      <c r="E47" s="46"/>
      <c r="F47" s="8">
        <f t="shared" si="2"/>
        <v>173832.9196</v>
      </c>
      <c r="G47" s="8">
        <f t="shared" si="3"/>
        <v>1565593.912</v>
      </c>
      <c r="H47" s="8">
        <f t="shared" si="4"/>
        <v>15817698.04</v>
      </c>
      <c r="J47" s="5"/>
    </row>
    <row r="48" ht="15.75" customHeight="1">
      <c r="B48" s="2"/>
      <c r="C48" s="30">
        <v>46919.0</v>
      </c>
      <c r="D48" s="8">
        <f t="shared" si="1"/>
        <v>1739426.831</v>
      </c>
      <c r="E48" s="46"/>
      <c r="F48" s="8">
        <f t="shared" si="2"/>
        <v>158176.9804</v>
      </c>
      <c r="G48" s="8">
        <f t="shared" si="3"/>
        <v>1581249.851</v>
      </c>
      <c r="H48" s="8">
        <f t="shared" si="4"/>
        <v>14236448.19</v>
      </c>
      <c r="J48" s="5"/>
    </row>
    <row r="49" ht="15.75" customHeight="1">
      <c r="B49" s="2"/>
      <c r="C49" s="30">
        <v>46949.0</v>
      </c>
      <c r="D49" s="8">
        <f t="shared" si="1"/>
        <v>1739426.831</v>
      </c>
      <c r="E49" s="46"/>
      <c r="F49" s="8">
        <f t="shared" si="2"/>
        <v>142364.4819</v>
      </c>
      <c r="G49" s="8">
        <f t="shared" si="3"/>
        <v>1597062.349</v>
      </c>
      <c r="H49" s="8">
        <f t="shared" si="4"/>
        <v>12639385.84</v>
      </c>
      <c r="J49" s="5"/>
    </row>
    <row r="50" ht="15.75" customHeight="1">
      <c r="B50" s="2"/>
      <c r="C50" s="30">
        <v>46980.0</v>
      </c>
      <c r="D50" s="8">
        <f t="shared" si="1"/>
        <v>1739426.831</v>
      </c>
      <c r="E50" s="46"/>
      <c r="F50" s="8">
        <f t="shared" si="2"/>
        <v>126393.8584</v>
      </c>
      <c r="G50" s="8">
        <f t="shared" si="3"/>
        <v>1613032.973</v>
      </c>
      <c r="H50" s="8">
        <f t="shared" si="4"/>
        <v>11026352.87</v>
      </c>
      <c r="J50" s="5"/>
    </row>
    <row r="51" ht="15.75" customHeight="1">
      <c r="B51" s="2"/>
      <c r="C51" s="30">
        <v>47011.0</v>
      </c>
      <c r="D51" s="8">
        <f t="shared" si="1"/>
        <v>1739426.831</v>
      </c>
      <c r="E51" s="46"/>
      <c r="F51" s="8">
        <f t="shared" si="2"/>
        <v>110263.5287</v>
      </c>
      <c r="G51" s="8">
        <f t="shared" si="3"/>
        <v>1629163.302</v>
      </c>
      <c r="H51" s="8">
        <f t="shared" si="4"/>
        <v>9397189.568</v>
      </c>
      <c r="J51" s="5"/>
    </row>
    <row r="52" ht="15.75" customHeight="1">
      <c r="B52" s="2"/>
      <c r="C52" s="30">
        <v>47041.0</v>
      </c>
      <c r="D52" s="8">
        <f t="shared" si="1"/>
        <v>1739426.831</v>
      </c>
      <c r="E52" s="46"/>
      <c r="F52" s="8">
        <f t="shared" si="2"/>
        <v>93971.89568</v>
      </c>
      <c r="G52" s="8">
        <f t="shared" si="3"/>
        <v>1645454.935</v>
      </c>
      <c r="H52" s="8">
        <f t="shared" si="4"/>
        <v>7751734.633</v>
      </c>
      <c r="J52" s="5"/>
    </row>
    <row r="53" ht="15.75" customHeight="1">
      <c r="B53" s="2"/>
      <c r="C53" s="30">
        <v>47072.0</v>
      </c>
      <c r="D53" s="8">
        <f t="shared" si="1"/>
        <v>1739426.831</v>
      </c>
      <c r="E53" s="46"/>
      <c r="F53" s="8">
        <f t="shared" si="2"/>
        <v>77517.34633</v>
      </c>
      <c r="G53" s="8">
        <f t="shared" si="3"/>
        <v>1661909.485</v>
      </c>
      <c r="H53" s="8">
        <f t="shared" si="4"/>
        <v>6089825.148</v>
      </c>
      <c r="J53" s="5"/>
    </row>
    <row r="54" ht="15.75" customHeight="1">
      <c r="B54" s="2"/>
      <c r="C54" s="30">
        <v>47102.0</v>
      </c>
      <c r="D54" s="8">
        <f t="shared" si="1"/>
        <v>1739426.831</v>
      </c>
      <c r="E54" s="46"/>
      <c r="F54" s="8">
        <f t="shared" si="2"/>
        <v>60898.25148</v>
      </c>
      <c r="G54" s="8">
        <f t="shared" si="3"/>
        <v>1678528.58</v>
      </c>
      <c r="H54" s="8">
        <f t="shared" si="4"/>
        <v>4411296.568</v>
      </c>
      <c r="J54" s="5"/>
    </row>
    <row r="55" ht="15.75" customHeight="1">
      <c r="B55" s="2"/>
      <c r="C55" s="30">
        <v>47133.0</v>
      </c>
      <c r="D55" s="8">
        <f t="shared" si="1"/>
        <v>1739426.831</v>
      </c>
      <c r="E55" s="46"/>
      <c r="F55" s="8">
        <f t="shared" si="2"/>
        <v>44112.96568</v>
      </c>
      <c r="G55" s="8">
        <f t="shared" si="3"/>
        <v>1695313.865</v>
      </c>
      <c r="H55" s="8">
        <f t="shared" si="4"/>
        <v>2715982.703</v>
      </c>
      <c r="J55" s="5"/>
    </row>
    <row r="56" ht="15.75" customHeight="1">
      <c r="B56" s="2"/>
      <c r="C56" s="30">
        <v>47164.0</v>
      </c>
      <c r="D56" s="8">
        <f t="shared" si="1"/>
        <v>1739426.831</v>
      </c>
      <c r="E56" s="46"/>
      <c r="F56" s="8">
        <f t="shared" si="2"/>
        <v>27159.82703</v>
      </c>
      <c r="G56" s="8">
        <f t="shared" si="3"/>
        <v>1712267.004</v>
      </c>
      <c r="H56" s="8">
        <f t="shared" si="4"/>
        <v>1003715.699</v>
      </c>
      <c r="J56" s="5"/>
    </row>
    <row r="57" ht="15.75" customHeight="1">
      <c r="A57" s="47"/>
      <c r="B57" s="48"/>
      <c r="C57" s="49">
        <v>47192.0</v>
      </c>
      <c r="D57" s="50">
        <f t="shared" si="1"/>
        <v>1739426.831</v>
      </c>
      <c r="E57" s="51"/>
      <c r="F57" s="50">
        <f t="shared" si="2"/>
        <v>10037.15699</v>
      </c>
      <c r="G57" s="50">
        <f t="shared" si="3"/>
        <v>1729389.674</v>
      </c>
      <c r="H57" s="50">
        <f t="shared" si="4"/>
        <v>-725673.9754</v>
      </c>
      <c r="J57" s="5"/>
    </row>
    <row r="58" ht="15.75" customHeight="1">
      <c r="A58" s="47"/>
      <c r="B58" s="48"/>
      <c r="C58" s="49">
        <v>47223.0</v>
      </c>
      <c r="D58" s="50">
        <f t="shared" si="1"/>
        <v>1739426.831</v>
      </c>
      <c r="E58" s="51"/>
      <c r="F58" s="50">
        <f t="shared" si="2"/>
        <v>-7256.739754</v>
      </c>
      <c r="G58" s="50">
        <f t="shared" si="3"/>
        <v>1746683.571</v>
      </c>
      <c r="H58" s="50">
        <f t="shared" si="4"/>
        <v>-2472357.546</v>
      </c>
      <c r="J58" s="5"/>
    </row>
    <row r="59" ht="15.75" customHeight="1">
      <c r="A59" s="47"/>
      <c r="B59" s="48"/>
      <c r="C59" s="49">
        <v>47253.0</v>
      </c>
      <c r="D59" s="50">
        <f t="shared" si="1"/>
        <v>1739426.831</v>
      </c>
      <c r="E59" s="51"/>
      <c r="F59" s="50">
        <f t="shared" si="2"/>
        <v>-24723.57546</v>
      </c>
      <c r="G59" s="50">
        <f t="shared" si="3"/>
        <v>1764150.407</v>
      </c>
      <c r="H59" s="50">
        <f t="shared" si="4"/>
        <v>-4236507.953</v>
      </c>
      <c r="J59" s="5"/>
    </row>
    <row r="60" ht="15.75" customHeight="1">
      <c r="A60" s="47"/>
      <c r="B60" s="48"/>
      <c r="C60" s="49">
        <v>47284.0</v>
      </c>
      <c r="D60" s="50">
        <f t="shared" si="1"/>
        <v>1739426.831</v>
      </c>
      <c r="E60" s="51"/>
      <c r="F60" s="50">
        <f t="shared" si="2"/>
        <v>-42365.07953</v>
      </c>
      <c r="G60" s="50">
        <f t="shared" si="3"/>
        <v>1781791.911</v>
      </c>
      <c r="H60" s="50">
        <f t="shared" si="4"/>
        <v>-6018299.864</v>
      </c>
      <c r="J60" s="5"/>
    </row>
    <row r="61" ht="15.75" customHeight="1">
      <c r="A61" s="47"/>
      <c r="B61" s="48"/>
      <c r="C61" s="49">
        <v>47314.0</v>
      </c>
      <c r="D61" s="50">
        <f t="shared" si="1"/>
        <v>1739426.831</v>
      </c>
      <c r="E61" s="51"/>
      <c r="F61" s="50">
        <f t="shared" si="2"/>
        <v>-60182.99864</v>
      </c>
      <c r="G61" s="50">
        <f t="shared" si="3"/>
        <v>1799609.83</v>
      </c>
      <c r="H61" s="50">
        <f t="shared" si="4"/>
        <v>-7817909.693</v>
      </c>
      <c r="J61" s="5"/>
    </row>
    <row r="62" ht="15.75" customHeight="1">
      <c r="A62" s="47"/>
      <c r="B62" s="48"/>
      <c r="C62" s="49">
        <v>47345.0</v>
      </c>
      <c r="D62" s="50">
        <f t="shared" si="1"/>
        <v>1739426.831</v>
      </c>
      <c r="E62" s="51"/>
      <c r="F62" s="50">
        <f t="shared" si="2"/>
        <v>-78179.09693</v>
      </c>
      <c r="G62" s="50">
        <f t="shared" si="3"/>
        <v>1817605.928</v>
      </c>
      <c r="H62" s="50">
        <f t="shared" si="4"/>
        <v>-9635515.622</v>
      </c>
      <c r="J62" s="5"/>
    </row>
    <row r="63" ht="15.75" customHeight="1">
      <c r="A63" s="47"/>
      <c r="B63" s="48"/>
      <c r="C63" s="49">
        <v>47376.0</v>
      </c>
      <c r="D63" s="50">
        <f t="shared" si="1"/>
        <v>1739426.831</v>
      </c>
      <c r="E63" s="51"/>
      <c r="F63" s="50">
        <f t="shared" si="2"/>
        <v>-96355.15622</v>
      </c>
      <c r="G63" s="50">
        <f t="shared" si="3"/>
        <v>1835781.987</v>
      </c>
      <c r="H63" s="50">
        <f t="shared" si="4"/>
        <v>-11471297.61</v>
      </c>
      <c r="J63" s="5"/>
    </row>
    <row r="64" ht="15.75" customHeight="1">
      <c r="A64" s="47"/>
      <c r="B64" s="48"/>
      <c r="C64" s="49">
        <v>47406.0</v>
      </c>
      <c r="D64" s="50">
        <f t="shared" si="1"/>
        <v>1739426.831</v>
      </c>
      <c r="E64" s="51"/>
      <c r="F64" s="50">
        <f t="shared" si="2"/>
        <v>-114712.9761</v>
      </c>
      <c r="G64" s="50">
        <f t="shared" si="3"/>
        <v>1854139.807</v>
      </c>
      <c r="H64" s="50">
        <f t="shared" si="4"/>
        <v>-13325437.42</v>
      </c>
      <c r="J64" s="5"/>
    </row>
    <row r="65" ht="15.75" customHeight="1">
      <c r="A65" s="47"/>
      <c r="B65" s="48"/>
      <c r="C65" s="49">
        <v>47437.0</v>
      </c>
      <c r="D65" s="50">
        <f t="shared" si="1"/>
        <v>1739426.831</v>
      </c>
      <c r="E65" s="51"/>
      <c r="F65" s="50">
        <f t="shared" si="2"/>
        <v>-133254.3742</v>
      </c>
      <c r="G65" s="50">
        <f t="shared" si="3"/>
        <v>1872681.205</v>
      </c>
      <c r="H65" s="50">
        <f t="shared" si="4"/>
        <v>-15198118.62</v>
      </c>
      <c r="J65" s="5"/>
    </row>
    <row r="66" ht="15.75" customHeight="1">
      <c r="A66" s="47"/>
      <c r="B66" s="48"/>
      <c r="C66" s="49">
        <v>47467.0</v>
      </c>
      <c r="D66" s="50">
        <f t="shared" si="1"/>
        <v>1739426.831</v>
      </c>
      <c r="E66" s="51"/>
      <c r="F66" s="50">
        <f t="shared" si="2"/>
        <v>-151981.1862</v>
      </c>
      <c r="G66" s="50">
        <f t="shared" si="3"/>
        <v>1891408.017</v>
      </c>
      <c r="H66" s="50">
        <f t="shared" si="4"/>
        <v>-17089526.64</v>
      </c>
      <c r="J66" s="5"/>
    </row>
    <row r="67" ht="15.75" customHeight="1">
      <c r="A67" s="47"/>
      <c r="B67" s="48"/>
      <c r="C67" s="49">
        <v>47498.0</v>
      </c>
      <c r="D67" s="50">
        <f t="shared" si="1"/>
        <v>1739426.831</v>
      </c>
      <c r="E67" s="51"/>
      <c r="F67" s="50">
        <f t="shared" si="2"/>
        <v>-170895.2664</v>
      </c>
      <c r="G67" s="50">
        <f t="shared" si="3"/>
        <v>1910322.098</v>
      </c>
      <c r="H67" s="50">
        <f t="shared" si="4"/>
        <v>-18999848.74</v>
      </c>
      <c r="J67" s="5"/>
    </row>
    <row r="68" ht="15.75" customHeight="1">
      <c r="A68" s="47"/>
      <c r="B68" s="48"/>
      <c r="C68" s="49">
        <v>47529.0</v>
      </c>
      <c r="D68" s="50">
        <f t="shared" si="1"/>
        <v>1739426.831</v>
      </c>
      <c r="E68" s="51"/>
      <c r="F68" s="50">
        <f t="shared" si="2"/>
        <v>-189998.4874</v>
      </c>
      <c r="G68" s="50">
        <f t="shared" si="3"/>
        <v>1929425.319</v>
      </c>
      <c r="H68" s="50">
        <f t="shared" si="4"/>
        <v>-20929274.05</v>
      </c>
      <c r="J68" s="5"/>
    </row>
    <row r="69" ht="15.75" customHeight="1">
      <c r="A69" s="47"/>
      <c r="B69" s="48"/>
      <c r="C69" s="49">
        <v>47557.0</v>
      </c>
      <c r="D69" s="50">
        <f t="shared" si="1"/>
        <v>1739426.831</v>
      </c>
      <c r="E69" s="51"/>
      <c r="F69" s="50">
        <f t="shared" si="2"/>
        <v>-209292.7405</v>
      </c>
      <c r="G69" s="50">
        <f t="shared" si="3"/>
        <v>1948719.572</v>
      </c>
      <c r="H69" s="50">
        <f t="shared" si="4"/>
        <v>-22877993.63</v>
      </c>
      <c r="J69" s="5"/>
    </row>
    <row r="70" ht="15.75" customHeight="1">
      <c r="A70" s="47"/>
      <c r="B70" s="48"/>
      <c r="C70" s="49">
        <v>47588.0</v>
      </c>
      <c r="D70" s="50">
        <f t="shared" si="1"/>
        <v>1739426.831</v>
      </c>
      <c r="E70" s="51"/>
      <c r="F70" s="50">
        <f t="shared" si="2"/>
        <v>-228779.9363</v>
      </c>
      <c r="G70" s="50">
        <f t="shared" si="3"/>
        <v>1968206.767</v>
      </c>
      <c r="H70" s="50">
        <f t="shared" si="4"/>
        <v>-24846200.39</v>
      </c>
      <c r="J70" s="5"/>
    </row>
    <row r="71" ht="15.75" customHeight="1">
      <c r="B71" s="2"/>
      <c r="D71" s="7"/>
      <c r="E71" s="7"/>
      <c r="J71" s="5"/>
    </row>
    <row r="72" ht="15.75" customHeight="1">
      <c r="B72" s="2"/>
      <c r="D72" s="7"/>
      <c r="E72" s="7"/>
      <c r="J72" s="5"/>
    </row>
    <row r="73" ht="15.75" customHeight="1">
      <c r="B73" s="2"/>
      <c r="D73" s="7"/>
      <c r="E73" s="7"/>
      <c r="J73" s="5"/>
    </row>
    <row r="74" ht="15.75" customHeight="1">
      <c r="B74" s="2"/>
      <c r="D74" s="7"/>
      <c r="E74" s="7"/>
      <c r="J74" s="5"/>
    </row>
    <row r="75" ht="15.75" customHeight="1">
      <c r="B75" s="2"/>
      <c r="D75" s="7"/>
      <c r="E75" s="7"/>
      <c r="J75" s="5"/>
    </row>
    <row r="76" ht="15.75" customHeight="1">
      <c r="B76" s="2"/>
      <c r="D76" s="7"/>
      <c r="E76" s="7"/>
      <c r="J76" s="5"/>
    </row>
    <row r="77" ht="15.75" customHeight="1">
      <c r="B77" s="2"/>
      <c r="D77" s="7"/>
      <c r="E77" s="7"/>
      <c r="J77" s="5"/>
    </row>
    <row r="78" ht="15.75" customHeight="1">
      <c r="B78" s="2"/>
      <c r="D78" s="7"/>
      <c r="E78" s="7"/>
      <c r="J78" s="5"/>
    </row>
    <row r="79" ht="15.75" customHeight="1">
      <c r="B79" s="2"/>
      <c r="D79" s="7"/>
      <c r="E79" s="7"/>
      <c r="J79" s="5"/>
    </row>
    <row r="80" ht="15.75" customHeight="1">
      <c r="B80" s="2"/>
      <c r="D80" s="7"/>
      <c r="E80" s="7"/>
      <c r="J80" s="5"/>
    </row>
    <row r="81" ht="15.75" customHeight="1">
      <c r="B81" s="2"/>
      <c r="D81" s="7"/>
      <c r="E81" s="7"/>
      <c r="J81" s="5"/>
    </row>
    <row r="82" ht="15.75" customHeight="1">
      <c r="B82" s="2"/>
      <c r="D82" s="7"/>
      <c r="E82" s="7"/>
      <c r="J82" s="5"/>
    </row>
    <row r="83" ht="15.75" customHeight="1">
      <c r="B83" s="2"/>
      <c r="D83" s="7"/>
      <c r="E83" s="7"/>
      <c r="J83" s="5"/>
    </row>
    <row r="84" ht="15.75" customHeight="1">
      <c r="B84" s="2"/>
      <c r="D84" s="7"/>
      <c r="E84" s="7"/>
      <c r="J84" s="5"/>
    </row>
    <row r="85" ht="15.75" customHeight="1">
      <c r="B85" s="2"/>
      <c r="D85" s="7"/>
      <c r="E85" s="7"/>
      <c r="J85" s="5"/>
    </row>
    <row r="86" ht="15.75" customHeight="1">
      <c r="B86" s="2"/>
      <c r="D86" s="7"/>
      <c r="E86" s="7"/>
      <c r="J86" s="5"/>
    </row>
    <row r="87" ht="15.75" customHeight="1">
      <c r="B87" s="2"/>
      <c r="D87" s="7"/>
      <c r="E87" s="7"/>
      <c r="J87" s="5"/>
    </row>
    <row r="88" ht="15.75" customHeight="1">
      <c r="B88" s="2"/>
      <c r="D88" s="7"/>
      <c r="E88" s="7"/>
      <c r="J88" s="5"/>
    </row>
    <row r="89" ht="15.75" customHeight="1">
      <c r="B89" s="2"/>
      <c r="D89" s="7"/>
      <c r="E89" s="7"/>
      <c r="J89" s="5"/>
    </row>
    <row r="90" ht="15.75" customHeight="1">
      <c r="B90" s="2"/>
      <c r="D90" s="7"/>
      <c r="E90" s="7"/>
      <c r="J90" s="5"/>
    </row>
    <row r="91" ht="15.75" customHeight="1">
      <c r="B91" s="2"/>
      <c r="D91" s="7"/>
      <c r="E91" s="7"/>
      <c r="J91" s="5"/>
    </row>
    <row r="92" ht="15.75" customHeight="1">
      <c r="B92" s="2"/>
      <c r="D92" s="7"/>
      <c r="E92" s="7"/>
      <c r="J92" s="5"/>
    </row>
    <row r="93" ht="15.75" customHeight="1">
      <c r="B93" s="2"/>
      <c r="D93" s="7"/>
      <c r="E93" s="7"/>
      <c r="J93" s="5"/>
    </row>
    <row r="94" ht="15.75" customHeight="1">
      <c r="B94" s="2"/>
      <c r="D94" s="7"/>
      <c r="E94" s="7"/>
      <c r="J94" s="5"/>
    </row>
    <row r="95" ht="15.75" customHeight="1">
      <c r="B95" s="2"/>
      <c r="D95" s="7"/>
      <c r="E95" s="7"/>
      <c r="J95" s="5"/>
    </row>
    <row r="96" ht="15.75" customHeight="1">
      <c r="B96" s="2"/>
      <c r="D96" s="7"/>
      <c r="E96" s="7"/>
      <c r="J96" s="5"/>
    </row>
    <row r="97" ht="15.75" customHeight="1">
      <c r="B97" s="2"/>
      <c r="D97" s="7"/>
      <c r="E97" s="7"/>
      <c r="J97" s="5"/>
    </row>
    <row r="98" ht="15.75" customHeight="1">
      <c r="B98" s="2"/>
      <c r="D98" s="7"/>
      <c r="E98" s="7"/>
      <c r="J98" s="5"/>
    </row>
    <row r="99" ht="15.75" customHeight="1">
      <c r="B99" s="2"/>
      <c r="D99" s="7"/>
      <c r="E99" s="7"/>
      <c r="J99" s="5"/>
    </row>
    <row r="100" ht="15.75" customHeight="1">
      <c r="B100" s="2"/>
      <c r="D100" s="7"/>
      <c r="E100" s="7"/>
      <c r="J100" s="5"/>
    </row>
    <row r="101" ht="15.75" customHeight="1">
      <c r="B101" s="2"/>
      <c r="D101" s="7"/>
      <c r="E101" s="7"/>
      <c r="J101" s="5"/>
    </row>
    <row r="102" ht="15.75" customHeight="1">
      <c r="B102" s="2"/>
      <c r="D102" s="7"/>
      <c r="E102" s="7"/>
      <c r="J102" s="5"/>
    </row>
    <row r="103" ht="15.75" customHeight="1">
      <c r="B103" s="2"/>
      <c r="D103" s="7"/>
      <c r="E103" s="7"/>
      <c r="J103" s="5"/>
    </row>
    <row r="104" ht="15.75" customHeight="1">
      <c r="B104" s="2"/>
      <c r="D104" s="7"/>
      <c r="E104" s="7"/>
      <c r="J104" s="5"/>
    </row>
    <row r="105" ht="15.75" customHeight="1">
      <c r="B105" s="2"/>
      <c r="D105" s="7"/>
      <c r="E105" s="7"/>
      <c r="J105" s="5"/>
    </row>
    <row r="106" ht="15.75" customHeight="1">
      <c r="B106" s="2"/>
      <c r="D106" s="7"/>
      <c r="E106" s="7"/>
      <c r="J106" s="5"/>
    </row>
    <row r="107" ht="15.75" customHeight="1">
      <c r="B107" s="2"/>
      <c r="D107" s="7"/>
      <c r="E107" s="7"/>
      <c r="J107" s="5"/>
    </row>
    <row r="108" ht="15.75" customHeight="1">
      <c r="B108" s="2"/>
      <c r="D108" s="7"/>
      <c r="E108" s="7"/>
      <c r="J108" s="5"/>
    </row>
    <row r="109" ht="15.75" customHeight="1">
      <c r="B109" s="2"/>
      <c r="D109" s="7"/>
      <c r="E109" s="7"/>
      <c r="J109" s="5"/>
    </row>
    <row r="110" ht="15.75" customHeight="1">
      <c r="B110" s="2"/>
      <c r="D110" s="7"/>
      <c r="E110" s="7"/>
      <c r="J110" s="5"/>
    </row>
    <row r="111" ht="15.75" customHeight="1">
      <c r="B111" s="2"/>
      <c r="D111" s="7"/>
      <c r="E111" s="7"/>
      <c r="J111" s="5"/>
    </row>
    <row r="112" ht="15.75" customHeight="1">
      <c r="B112" s="2"/>
      <c r="D112" s="7"/>
      <c r="E112" s="7"/>
      <c r="J112" s="5"/>
    </row>
    <row r="113" ht="15.75" customHeight="1">
      <c r="B113" s="2"/>
      <c r="D113" s="7"/>
      <c r="E113" s="7"/>
      <c r="J113" s="5"/>
    </row>
    <row r="114" ht="15.75" customHeight="1">
      <c r="B114" s="2"/>
      <c r="D114" s="7"/>
      <c r="E114" s="7"/>
      <c r="J114" s="5"/>
    </row>
    <row r="115" ht="15.75" customHeight="1">
      <c r="B115" s="2"/>
      <c r="D115" s="7"/>
      <c r="E115" s="7"/>
      <c r="J115" s="5"/>
    </row>
    <row r="116" ht="15.75" customHeight="1">
      <c r="B116" s="2"/>
      <c r="D116" s="7"/>
      <c r="E116" s="7"/>
      <c r="J116" s="5"/>
    </row>
    <row r="117" ht="15.75" customHeight="1">
      <c r="B117" s="2"/>
      <c r="D117" s="7"/>
      <c r="E117" s="7"/>
      <c r="J117" s="5"/>
    </row>
    <row r="118" ht="15.75" customHeight="1">
      <c r="B118" s="2"/>
      <c r="D118" s="7"/>
      <c r="E118" s="7"/>
      <c r="J118" s="5"/>
    </row>
    <row r="119" ht="15.75" customHeight="1">
      <c r="B119" s="2"/>
      <c r="D119" s="7"/>
      <c r="E119" s="7"/>
      <c r="J119" s="5"/>
    </row>
    <row r="120" ht="15.75" customHeight="1">
      <c r="B120" s="2"/>
      <c r="D120" s="7"/>
      <c r="E120" s="7"/>
      <c r="J120" s="5"/>
    </row>
    <row r="121" ht="15.75" customHeight="1">
      <c r="B121" s="2"/>
      <c r="D121" s="7"/>
      <c r="E121" s="7"/>
      <c r="J121" s="5"/>
    </row>
    <row r="122" ht="15.75" customHeight="1">
      <c r="B122" s="2"/>
      <c r="D122" s="7"/>
      <c r="E122" s="7"/>
      <c r="J122" s="5"/>
    </row>
    <row r="123" ht="15.75" customHeight="1">
      <c r="B123" s="2"/>
      <c r="D123" s="7"/>
      <c r="E123" s="7"/>
      <c r="J123" s="5"/>
    </row>
    <row r="124" ht="15.75" customHeight="1">
      <c r="B124" s="2"/>
      <c r="D124" s="7"/>
      <c r="E124" s="7"/>
      <c r="J124" s="5"/>
    </row>
    <row r="125" ht="15.75" customHeight="1">
      <c r="B125" s="2"/>
      <c r="D125" s="7"/>
      <c r="E125" s="7"/>
      <c r="J125" s="5"/>
    </row>
    <row r="126" ht="15.75" customHeight="1">
      <c r="B126" s="2"/>
      <c r="D126" s="7"/>
      <c r="E126" s="7"/>
      <c r="J126" s="5"/>
    </row>
    <row r="127" ht="15.75" customHeight="1">
      <c r="B127" s="2"/>
      <c r="D127" s="7"/>
      <c r="E127" s="7"/>
      <c r="J127" s="5"/>
    </row>
    <row r="128" ht="15.75" customHeight="1">
      <c r="B128" s="2"/>
      <c r="D128" s="7"/>
      <c r="E128" s="7"/>
      <c r="J128" s="5"/>
    </row>
    <row r="129" ht="15.75" customHeight="1">
      <c r="B129" s="2"/>
      <c r="D129" s="7"/>
      <c r="E129" s="7"/>
      <c r="J129" s="5"/>
    </row>
    <row r="130" ht="15.75" customHeight="1">
      <c r="B130" s="2"/>
      <c r="D130" s="7"/>
      <c r="E130" s="7"/>
      <c r="J130" s="5"/>
    </row>
    <row r="131" ht="15.75" customHeight="1">
      <c r="B131" s="2"/>
      <c r="D131" s="7"/>
      <c r="E131" s="7"/>
      <c r="J131" s="5"/>
    </row>
    <row r="132" ht="15.75" customHeight="1">
      <c r="B132" s="2"/>
      <c r="D132" s="7"/>
      <c r="E132" s="7"/>
      <c r="J132" s="5"/>
    </row>
    <row r="133" ht="15.75" customHeight="1">
      <c r="B133" s="2"/>
      <c r="D133" s="7"/>
      <c r="E133" s="7"/>
      <c r="J133" s="5"/>
    </row>
    <row r="134" ht="15.75" customHeight="1">
      <c r="B134" s="2"/>
      <c r="D134" s="7"/>
      <c r="E134" s="7"/>
      <c r="J134" s="5"/>
    </row>
    <row r="135" ht="15.75" customHeight="1">
      <c r="B135" s="2"/>
      <c r="D135" s="7"/>
      <c r="E135" s="7"/>
      <c r="J135" s="5"/>
    </row>
    <row r="136" ht="15.75" customHeight="1">
      <c r="B136" s="2"/>
      <c r="D136" s="7"/>
      <c r="E136" s="7"/>
      <c r="J136" s="5"/>
    </row>
    <row r="137" ht="15.75" customHeight="1">
      <c r="B137" s="2"/>
      <c r="D137" s="7"/>
      <c r="E137" s="7"/>
      <c r="J137" s="5"/>
    </row>
    <row r="138" ht="15.75" customHeight="1">
      <c r="B138" s="2"/>
      <c r="D138" s="7"/>
      <c r="E138" s="7"/>
      <c r="J138" s="5"/>
    </row>
    <row r="139" ht="15.75" customHeight="1">
      <c r="B139" s="2"/>
      <c r="D139" s="7"/>
      <c r="E139" s="7"/>
      <c r="J139" s="5"/>
    </row>
    <row r="140" ht="15.75" customHeight="1">
      <c r="B140" s="2"/>
      <c r="D140" s="7"/>
      <c r="E140" s="7"/>
      <c r="J140" s="5"/>
    </row>
    <row r="141" ht="15.75" customHeight="1">
      <c r="B141" s="2"/>
      <c r="D141" s="7"/>
      <c r="E141" s="7"/>
      <c r="J141" s="5"/>
    </row>
    <row r="142" ht="15.75" customHeight="1">
      <c r="B142" s="2"/>
      <c r="D142" s="7"/>
      <c r="E142" s="7"/>
      <c r="J142" s="5"/>
    </row>
    <row r="143" ht="15.75" customHeight="1">
      <c r="B143" s="2"/>
      <c r="D143" s="7"/>
      <c r="E143" s="7"/>
      <c r="J143" s="5"/>
    </row>
    <row r="144" ht="15.75" customHeight="1">
      <c r="B144" s="2"/>
      <c r="D144" s="7"/>
      <c r="E144" s="7"/>
      <c r="J144" s="5"/>
    </row>
    <row r="145" ht="15.75" customHeight="1">
      <c r="B145" s="2"/>
      <c r="D145" s="7"/>
      <c r="E145" s="7"/>
      <c r="J145" s="5"/>
    </row>
    <row r="146" ht="15.75" customHeight="1">
      <c r="B146" s="2"/>
      <c r="D146" s="7"/>
      <c r="E146" s="7"/>
      <c r="J146" s="5"/>
    </row>
    <row r="147" ht="15.75" customHeight="1">
      <c r="B147" s="2"/>
      <c r="D147" s="7"/>
      <c r="E147" s="7"/>
      <c r="J147" s="5"/>
    </row>
    <row r="148" ht="15.75" customHeight="1">
      <c r="B148" s="2"/>
      <c r="D148" s="7"/>
      <c r="E148" s="7"/>
      <c r="J148" s="5"/>
    </row>
    <row r="149" ht="15.75" customHeight="1">
      <c r="B149" s="2"/>
      <c r="D149" s="7"/>
      <c r="E149" s="7"/>
      <c r="J149" s="5"/>
    </row>
    <row r="150" ht="15.75" customHeight="1">
      <c r="B150" s="2"/>
      <c r="D150" s="7"/>
      <c r="E150" s="7"/>
      <c r="J150" s="5"/>
    </row>
    <row r="151" ht="15.75" customHeight="1">
      <c r="B151" s="2"/>
      <c r="D151" s="7"/>
      <c r="E151" s="7"/>
      <c r="J151" s="5"/>
    </row>
    <row r="152" ht="15.75" customHeight="1">
      <c r="B152" s="2"/>
      <c r="D152" s="7"/>
      <c r="E152" s="7"/>
      <c r="J152" s="5"/>
    </row>
    <row r="153" ht="15.75" customHeight="1">
      <c r="B153" s="2"/>
      <c r="D153" s="7"/>
      <c r="E153" s="7"/>
      <c r="J153" s="5"/>
    </row>
    <row r="154" ht="15.75" customHeight="1">
      <c r="B154" s="2"/>
      <c r="D154" s="7"/>
      <c r="E154" s="7"/>
      <c r="J154" s="5"/>
    </row>
    <row r="155" ht="15.75" customHeight="1">
      <c r="B155" s="2"/>
      <c r="D155" s="7"/>
      <c r="E155" s="7"/>
      <c r="J155" s="5"/>
    </row>
    <row r="156" ht="15.75" customHeight="1">
      <c r="B156" s="2"/>
      <c r="D156" s="7"/>
      <c r="E156" s="7"/>
      <c r="J156" s="5"/>
    </row>
    <row r="157" ht="15.75" customHeight="1">
      <c r="B157" s="2"/>
      <c r="D157" s="7"/>
      <c r="E157" s="7"/>
      <c r="J157" s="5"/>
    </row>
    <row r="158" ht="15.75" customHeight="1">
      <c r="B158" s="2"/>
      <c r="D158" s="7"/>
      <c r="E158" s="7"/>
      <c r="J158" s="5"/>
    </row>
    <row r="159" ht="15.75" customHeight="1">
      <c r="B159" s="2"/>
      <c r="D159" s="7"/>
      <c r="E159" s="7"/>
      <c r="J159" s="5"/>
    </row>
    <row r="160" ht="15.75" customHeight="1">
      <c r="B160" s="2"/>
      <c r="D160" s="7"/>
      <c r="E160" s="7"/>
      <c r="J160" s="5"/>
    </row>
    <row r="161" ht="15.75" customHeight="1">
      <c r="B161" s="2"/>
      <c r="D161" s="7"/>
      <c r="E161" s="7"/>
      <c r="J161" s="5"/>
    </row>
    <row r="162" ht="15.75" customHeight="1">
      <c r="B162" s="2"/>
      <c r="D162" s="7"/>
      <c r="E162" s="7"/>
      <c r="J162" s="5"/>
    </row>
    <row r="163" ht="15.75" customHeight="1">
      <c r="B163" s="2"/>
      <c r="D163" s="7"/>
      <c r="E163" s="7"/>
      <c r="J163" s="5"/>
    </row>
    <row r="164" ht="15.75" customHeight="1">
      <c r="B164" s="2"/>
      <c r="D164" s="7"/>
      <c r="E164" s="7"/>
      <c r="J164" s="5"/>
    </row>
    <row r="165" ht="15.75" customHeight="1">
      <c r="B165" s="2"/>
      <c r="D165" s="7"/>
      <c r="E165" s="7"/>
      <c r="J165" s="5"/>
    </row>
    <row r="166" ht="15.75" customHeight="1">
      <c r="B166" s="2"/>
      <c r="D166" s="7"/>
      <c r="E166" s="7"/>
      <c r="J166" s="5"/>
    </row>
    <row r="167" ht="15.75" customHeight="1">
      <c r="B167" s="2"/>
      <c r="D167" s="7"/>
      <c r="E167" s="7"/>
      <c r="J167" s="5"/>
    </row>
    <row r="168" ht="15.75" customHeight="1">
      <c r="B168" s="2"/>
      <c r="D168" s="7"/>
      <c r="E168" s="7"/>
      <c r="J168" s="5"/>
    </row>
    <row r="169" ht="15.75" customHeight="1">
      <c r="B169" s="2"/>
      <c r="D169" s="7"/>
      <c r="E169" s="7"/>
      <c r="J169" s="5"/>
    </row>
    <row r="170" ht="15.75" customHeight="1">
      <c r="B170" s="2"/>
      <c r="D170" s="7"/>
      <c r="E170" s="7"/>
      <c r="J170" s="5"/>
    </row>
    <row r="171" ht="15.75" customHeight="1">
      <c r="B171" s="2"/>
      <c r="D171" s="7"/>
      <c r="E171" s="7"/>
      <c r="J171" s="5"/>
    </row>
    <row r="172" ht="15.75" customHeight="1">
      <c r="B172" s="2"/>
      <c r="D172" s="7"/>
      <c r="E172" s="7"/>
      <c r="J172" s="5"/>
    </row>
    <row r="173" ht="15.75" customHeight="1">
      <c r="B173" s="2"/>
      <c r="D173" s="7"/>
      <c r="E173" s="7"/>
      <c r="J173" s="5"/>
    </row>
    <row r="174" ht="15.75" customHeight="1">
      <c r="B174" s="2"/>
      <c r="D174" s="7"/>
      <c r="E174" s="7"/>
      <c r="J174" s="5"/>
    </row>
    <row r="175" ht="15.75" customHeight="1">
      <c r="B175" s="2"/>
      <c r="D175" s="7"/>
      <c r="E175" s="7"/>
      <c r="J175" s="5"/>
    </row>
    <row r="176" ht="15.75" customHeight="1">
      <c r="B176" s="2"/>
      <c r="D176" s="7"/>
      <c r="E176" s="7"/>
      <c r="J176" s="5"/>
    </row>
    <row r="177" ht="15.75" customHeight="1">
      <c r="B177" s="2"/>
      <c r="D177" s="7"/>
      <c r="E177" s="7"/>
      <c r="J177" s="5"/>
    </row>
    <row r="178" ht="15.75" customHeight="1">
      <c r="B178" s="2"/>
      <c r="D178" s="7"/>
      <c r="E178" s="7"/>
      <c r="J178" s="5"/>
    </row>
    <row r="179" ht="15.75" customHeight="1">
      <c r="B179" s="2"/>
      <c r="D179" s="7"/>
      <c r="E179" s="7"/>
      <c r="J179" s="5"/>
    </row>
    <row r="180" ht="15.75" customHeight="1">
      <c r="B180" s="2"/>
      <c r="D180" s="7"/>
      <c r="E180" s="7"/>
      <c r="J180" s="5"/>
    </row>
    <row r="181" ht="15.75" customHeight="1">
      <c r="B181" s="2"/>
      <c r="D181" s="7"/>
      <c r="E181" s="7"/>
      <c r="J181" s="5"/>
    </row>
    <row r="182" ht="15.75" customHeight="1">
      <c r="B182" s="2"/>
      <c r="D182" s="7"/>
      <c r="E182" s="7"/>
      <c r="J182" s="5"/>
    </row>
    <row r="183" ht="15.75" customHeight="1">
      <c r="B183" s="2"/>
      <c r="D183" s="7"/>
      <c r="E183" s="7"/>
      <c r="J183" s="5"/>
    </row>
    <row r="184" ht="15.75" customHeight="1">
      <c r="B184" s="2"/>
      <c r="D184" s="7"/>
      <c r="E184" s="7"/>
      <c r="J184" s="5"/>
    </row>
    <row r="185" ht="15.75" customHeight="1">
      <c r="B185" s="2"/>
      <c r="D185" s="7"/>
      <c r="E185" s="7"/>
      <c r="J185" s="5"/>
    </row>
    <row r="186" ht="15.75" customHeight="1">
      <c r="B186" s="2"/>
      <c r="D186" s="7"/>
      <c r="E186" s="7"/>
      <c r="J186" s="5"/>
    </row>
    <row r="187" ht="15.75" customHeight="1">
      <c r="B187" s="2"/>
      <c r="D187" s="7"/>
      <c r="E187" s="7"/>
      <c r="J187" s="5"/>
    </row>
    <row r="188" ht="15.75" customHeight="1">
      <c r="B188" s="2"/>
      <c r="D188" s="7"/>
      <c r="E188" s="7"/>
      <c r="J188" s="5"/>
    </row>
    <row r="189" ht="15.75" customHeight="1">
      <c r="B189" s="2"/>
      <c r="D189" s="7"/>
      <c r="E189" s="7"/>
      <c r="J189" s="5"/>
    </row>
    <row r="190" ht="15.75" customHeight="1">
      <c r="B190" s="2"/>
      <c r="D190" s="7"/>
      <c r="E190" s="7"/>
      <c r="J190" s="5"/>
    </row>
    <row r="191" ht="15.75" customHeight="1">
      <c r="B191" s="2"/>
      <c r="D191" s="7"/>
      <c r="E191" s="7"/>
      <c r="J191" s="5"/>
    </row>
    <row r="192" ht="15.75" customHeight="1">
      <c r="B192" s="2"/>
      <c r="D192" s="7"/>
      <c r="E192" s="7"/>
      <c r="J192" s="5"/>
    </row>
    <row r="193" ht="15.75" customHeight="1">
      <c r="B193" s="2"/>
      <c r="D193" s="7"/>
      <c r="E193" s="7"/>
      <c r="J193" s="5"/>
    </row>
    <row r="194" ht="15.75" customHeight="1">
      <c r="B194" s="2"/>
      <c r="D194" s="7"/>
      <c r="E194" s="7"/>
      <c r="J194" s="5"/>
    </row>
    <row r="195" ht="15.75" customHeight="1">
      <c r="B195" s="2"/>
      <c r="D195" s="7"/>
      <c r="E195" s="7"/>
      <c r="J195" s="5"/>
    </row>
    <row r="196" ht="15.75" customHeight="1">
      <c r="B196" s="2"/>
      <c r="D196" s="7"/>
      <c r="E196" s="7"/>
      <c r="J196" s="5"/>
    </row>
    <row r="197" ht="15.75" customHeight="1">
      <c r="B197" s="2"/>
      <c r="D197" s="7"/>
      <c r="E197" s="7"/>
      <c r="J197" s="5"/>
    </row>
    <row r="198" ht="15.75" customHeight="1">
      <c r="B198" s="2"/>
      <c r="D198" s="7"/>
      <c r="E198" s="7"/>
      <c r="J198" s="5"/>
    </row>
    <row r="199" ht="15.75" customHeight="1">
      <c r="B199" s="2"/>
      <c r="D199" s="7"/>
      <c r="E199" s="7"/>
      <c r="J199" s="5"/>
    </row>
    <row r="200" ht="15.75" customHeight="1">
      <c r="B200" s="2"/>
      <c r="D200" s="7"/>
      <c r="E200" s="7"/>
      <c r="J200" s="5"/>
    </row>
    <row r="201" ht="15.75" customHeight="1">
      <c r="B201" s="2"/>
      <c r="D201" s="7"/>
      <c r="E201" s="7"/>
      <c r="J201" s="5"/>
    </row>
    <row r="202" ht="15.75" customHeight="1">
      <c r="B202" s="2"/>
      <c r="D202" s="7"/>
      <c r="E202" s="7"/>
      <c r="J202" s="5"/>
    </row>
    <row r="203" ht="15.75" customHeight="1">
      <c r="B203" s="2"/>
      <c r="D203" s="7"/>
      <c r="E203" s="7"/>
      <c r="J203" s="5"/>
    </row>
    <row r="204" ht="15.75" customHeight="1">
      <c r="B204" s="2"/>
      <c r="D204" s="7"/>
      <c r="E204" s="7"/>
      <c r="J204" s="5"/>
    </row>
    <row r="205" ht="15.75" customHeight="1">
      <c r="B205" s="2"/>
      <c r="D205" s="7"/>
      <c r="E205" s="7"/>
      <c r="J205" s="5"/>
    </row>
    <row r="206" ht="15.75" customHeight="1">
      <c r="B206" s="2"/>
      <c r="D206" s="7"/>
      <c r="E206" s="7"/>
      <c r="J206" s="5"/>
    </row>
    <row r="207" ht="15.75" customHeight="1">
      <c r="B207" s="2"/>
      <c r="D207" s="7"/>
      <c r="E207" s="7"/>
      <c r="J207" s="5"/>
    </row>
    <row r="208" ht="15.75" customHeight="1">
      <c r="B208" s="2"/>
      <c r="D208" s="7"/>
      <c r="E208" s="7"/>
      <c r="J208" s="5"/>
    </row>
    <row r="209" ht="15.75" customHeight="1">
      <c r="B209" s="2"/>
      <c r="D209" s="7"/>
      <c r="E209" s="7"/>
      <c r="J209" s="5"/>
    </row>
    <row r="210" ht="15.75" customHeight="1">
      <c r="B210" s="2"/>
      <c r="D210" s="7"/>
      <c r="E210" s="7"/>
      <c r="J210" s="5"/>
    </row>
    <row r="211" ht="15.75" customHeight="1">
      <c r="B211" s="2"/>
      <c r="D211" s="7"/>
      <c r="E211" s="7"/>
      <c r="J211" s="5"/>
    </row>
    <row r="212" ht="15.75" customHeight="1">
      <c r="B212" s="2"/>
      <c r="D212" s="7"/>
      <c r="E212" s="7"/>
      <c r="J212" s="5"/>
    </row>
    <row r="213" ht="15.75" customHeight="1">
      <c r="B213" s="2"/>
      <c r="D213" s="7"/>
      <c r="E213" s="7"/>
      <c r="J213" s="5"/>
    </row>
    <row r="214" ht="15.75" customHeight="1">
      <c r="B214" s="2"/>
      <c r="D214" s="7"/>
      <c r="E214" s="7"/>
      <c r="J214" s="5"/>
    </row>
    <row r="215" ht="15.75" customHeight="1">
      <c r="B215" s="2"/>
      <c r="D215" s="7"/>
      <c r="E215" s="7"/>
      <c r="J215" s="5"/>
    </row>
    <row r="216" ht="15.75" customHeight="1">
      <c r="B216" s="2"/>
      <c r="D216" s="7"/>
      <c r="E216" s="7"/>
      <c r="J216" s="5"/>
    </row>
    <row r="217" ht="15.75" customHeight="1">
      <c r="B217" s="2"/>
      <c r="D217" s="7"/>
      <c r="E217" s="7"/>
      <c r="J217" s="5"/>
    </row>
    <row r="218" ht="15.75" customHeight="1">
      <c r="B218" s="2"/>
      <c r="D218" s="7"/>
      <c r="E218" s="7"/>
      <c r="J218" s="5"/>
    </row>
    <row r="219" ht="15.75" customHeight="1">
      <c r="B219" s="2"/>
      <c r="D219" s="7"/>
      <c r="E219" s="7"/>
      <c r="J219" s="5"/>
    </row>
    <row r="220" ht="15.75" customHeight="1">
      <c r="B220" s="2"/>
      <c r="D220" s="7"/>
      <c r="E220" s="7"/>
      <c r="J220" s="5"/>
    </row>
    <row r="221" ht="15.75" customHeight="1">
      <c r="B221" s="2"/>
      <c r="D221" s="7"/>
      <c r="E221" s="7"/>
      <c r="J221" s="5"/>
    </row>
    <row r="222" ht="15.75" customHeight="1">
      <c r="B222" s="2"/>
      <c r="D222" s="7"/>
      <c r="E222" s="7"/>
      <c r="J222" s="5"/>
    </row>
    <row r="223" ht="15.75" customHeight="1">
      <c r="B223" s="2"/>
      <c r="D223" s="7"/>
      <c r="E223" s="7"/>
      <c r="J223" s="5"/>
    </row>
    <row r="224" ht="15.75" customHeight="1">
      <c r="B224" s="2"/>
      <c r="D224" s="7"/>
      <c r="E224" s="7"/>
      <c r="J224" s="5"/>
    </row>
    <row r="225" ht="15.75" customHeight="1">
      <c r="B225" s="2"/>
      <c r="D225" s="7"/>
      <c r="E225" s="7"/>
      <c r="J225" s="5"/>
    </row>
    <row r="226" ht="15.75" customHeight="1">
      <c r="B226" s="2"/>
      <c r="D226" s="7"/>
      <c r="E226" s="7"/>
      <c r="J226" s="5"/>
    </row>
    <row r="227" ht="15.75" customHeight="1">
      <c r="B227" s="2"/>
      <c r="D227" s="7"/>
      <c r="E227" s="7"/>
      <c r="J227" s="5"/>
    </row>
    <row r="228" ht="15.75" customHeight="1">
      <c r="B228" s="2"/>
      <c r="D228" s="7"/>
      <c r="E228" s="7"/>
      <c r="J228" s="5"/>
    </row>
    <row r="229" ht="15.75" customHeight="1">
      <c r="B229" s="2"/>
      <c r="D229" s="7"/>
      <c r="E229" s="7"/>
      <c r="J229" s="5"/>
    </row>
    <row r="230" ht="15.75" customHeight="1">
      <c r="B230" s="2"/>
      <c r="D230" s="7"/>
      <c r="E230" s="7"/>
      <c r="J230" s="5"/>
    </row>
    <row r="231" ht="15.75" customHeight="1">
      <c r="B231" s="2"/>
      <c r="D231" s="7"/>
      <c r="E231" s="7"/>
      <c r="J231" s="5"/>
    </row>
    <row r="232" ht="15.75" customHeight="1">
      <c r="B232" s="2"/>
      <c r="D232" s="7"/>
      <c r="E232" s="7"/>
      <c r="J232" s="5"/>
    </row>
    <row r="233" ht="15.75" customHeight="1">
      <c r="B233" s="2"/>
      <c r="D233" s="7"/>
      <c r="E233" s="7"/>
      <c r="J233" s="5"/>
    </row>
    <row r="234" ht="15.75" customHeight="1">
      <c r="B234" s="2"/>
      <c r="D234" s="7"/>
      <c r="E234" s="7"/>
      <c r="J234" s="5"/>
    </row>
    <row r="235" ht="15.75" customHeight="1">
      <c r="B235" s="2"/>
      <c r="D235" s="7"/>
      <c r="E235" s="7"/>
      <c r="J235" s="5"/>
    </row>
    <row r="236" ht="15.75" customHeight="1">
      <c r="B236" s="2"/>
      <c r="D236" s="7"/>
      <c r="E236" s="7"/>
      <c r="J236" s="5"/>
    </row>
    <row r="237" ht="15.75" customHeight="1">
      <c r="B237" s="2"/>
      <c r="D237" s="7"/>
      <c r="E237" s="7"/>
      <c r="J237" s="5"/>
    </row>
    <row r="238" ht="15.75" customHeight="1">
      <c r="B238" s="2"/>
      <c r="D238" s="7"/>
      <c r="E238" s="7"/>
      <c r="J238" s="5"/>
    </row>
    <row r="239" ht="15.75" customHeight="1">
      <c r="B239" s="2"/>
      <c r="D239" s="7"/>
      <c r="E239" s="7"/>
      <c r="J239" s="5"/>
    </row>
    <row r="240" ht="15.75" customHeight="1">
      <c r="B240" s="2"/>
      <c r="D240" s="7"/>
      <c r="E240" s="7"/>
      <c r="J240" s="5"/>
    </row>
    <row r="241" ht="15.75" customHeight="1">
      <c r="B241" s="2"/>
      <c r="D241" s="7"/>
      <c r="E241" s="7"/>
      <c r="J241" s="5"/>
    </row>
    <row r="242" ht="15.75" customHeight="1">
      <c r="B242" s="2"/>
      <c r="D242" s="7"/>
      <c r="E242" s="7"/>
      <c r="J242" s="5"/>
    </row>
    <row r="243" ht="15.75" customHeight="1">
      <c r="B243" s="2"/>
      <c r="D243" s="7"/>
      <c r="E243" s="7"/>
      <c r="J243" s="5"/>
    </row>
    <row r="244" ht="15.75" customHeight="1">
      <c r="B244" s="2"/>
      <c r="D244" s="7"/>
      <c r="E244" s="7"/>
      <c r="J244" s="5"/>
    </row>
    <row r="245" ht="15.75" customHeight="1">
      <c r="B245" s="2"/>
      <c r="D245" s="7"/>
      <c r="E245" s="7"/>
      <c r="J245" s="5"/>
    </row>
    <row r="246" ht="15.75" customHeight="1">
      <c r="B246" s="2"/>
      <c r="D246" s="7"/>
      <c r="E246" s="7"/>
      <c r="J246" s="5"/>
    </row>
    <row r="247" ht="15.75" customHeight="1">
      <c r="B247" s="2"/>
      <c r="D247" s="7"/>
      <c r="E247" s="7"/>
      <c r="J247" s="5"/>
    </row>
    <row r="248" ht="15.75" customHeight="1">
      <c r="B248" s="2"/>
      <c r="D248" s="7"/>
      <c r="E248" s="7"/>
      <c r="J248" s="5"/>
    </row>
    <row r="249" ht="15.75" customHeight="1">
      <c r="B249" s="2"/>
      <c r="D249" s="7"/>
      <c r="E249" s="7"/>
      <c r="J249" s="5"/>
    </row>
    <row r="250" ht="15.75" customHeight="1">
      <c r="B250" s="2"/>
      <c r="D250" s="7"/>
      <c r="E250" s="7"/>
      <c r="J250" s="5"/>
    </row>
    <row r="251" ht="15.75" customHeight="1">
      <c r="B251" s="2"/>
      <c r="D251" s="7"/>
      <c r="E251" s="7"/>
      <c r="J251" s="5"/>
    </row>
    <row r="252" ht="15.75" customHeight="1">
      <c r="B252" s="2"/>
      <c r="D252" s="7"/>
      <c r="E252" s="7"/>
      <c r="J252" s="5"/>
    </row>
    <row r="253" ht="15.75" customHeight="1">
      <c r="B253" s="2"/>
      <c r="D253" s="7"/>
      <c r="E253" s="7"/>
      <c r="J253" s="5"/>
    </row>
    <row r="254" ht="15.75" customHeight="1">
      <c r="B254" s="2"/>
      <c r="D254" s="7"/>
      <c r="E254" s="7"/>
      <c r="J254" s="5"/>
    </row>
    <row r="255" ht="15.75" customHeight="1">
      <c r="B255" s="2"/>
      <c r="D255" s="7"/>
      <c r="E255" s="7"/>
      <c r="J255" s="5"/>
    </row>
    <row r="256" ht="15.75" customHeight="1">
      <c r="B256" s="2"/>
      <c r="D256" s="7"/>
      <c r="E256" s="7"/>
      <c r="J256" s="5"/>
    </row>
    <row r="257" ht="15.75" customHeight="1">
      <c r="B257" s="2"/>
      <c r="D257" s="7"/>
      <c r="E257" s="7"/>
      <c r="J257" s="5"/>
    </row>
    <row r="258" ht="15.75" customHeight="1">
      <c r="B258" s="2"/>
      <c r="D258" s="7"/>
      <c r="E258" s="7"/>
      <c r="J258" s="5"/>
    </row>
    <row r="259" ht="15.75" customHeight="1">
      <c r="B259" s="2"/>
      <c r="D259" s="7"/>
      <c r="E259" s="7"/>
      <c r="J259" s="5"/>
    </row>
    <row r="260" ht="15.75" customHeight="1">
      <c r="B260" s="2"/>
      <c r="D260" s="7"/>
      <c r="E260" s="7"/>
      <c r="J260" s="5"/>
    </row>
    <row r="261" ht="15.75" customHeight="1">
      <c r="B261" s="2"/>
      <c r="D261" s="7"/>
      <c r="E261" s="7"/>
      <c r="J261" s="5"/>
    </row>
    <row r="262" ht="15.75" customHeight="1">
      <c r="B262" s="2"/>
      <c r="D262" s="7"/>
      <c r="E262" s="7"/>
      <c r="J262" s="5"/>
    </row>
    <row r="263" ht="15.75" customHeight="1">
      <c r="B263" s="2"/>
      <c r="D263" s="7"/>
      <c r="E263" s="7"/>
      <c r="J263" s="5"/>
    </row>
    <row r="264" ht="15.75" customHeight="1">
      <c r="B264" s="2"/>
      <c r="D264" s="7"/>
      <c r="E264" s="7"/>
      <c r="J264" s="5"/>
    </row>
    <row r="265" ht="15.75" customHeight="1">
      <c r="B265" s="2"/>
      <c r="D265" s="7"/>
      <c r="E265" s="7"/>
      <c r="J265" s="5"/>
    </row>
    <row r="266" ht="15.75" customHeight="1">
      <c r="B266" s="2"/>
      <c r="D266" s="7"/>
      <c r="E266" s="7"/>
      <c r="J266" s="5"/>
    </row>
    <row r="267" ht="15.75" customHeight="1">
      <c r="B267" s="2"/>
      <c r="D267" s="7"/>
      <c r="E267" s="7"/>
      <c r="J267" s="5"/>
    </row>
    <row r="268" ht="15.75" customHeight="1">
      <c r="B268" s="2"/>
      <c r="D268" s="7"/>
      <c r="E268" s="7"/>
      <c r="J268" s="5"/>
    </row>
    <row r="269" ht="15.75" customHeight="1">
      <c r="B269" s="2"/>
      <c r="D269" s="7"/>
      <c r="E269" s="7"/>
      <c r="J269" s="5"/>
    </row>
    <row r="270" ht="15.75" customHeight="1">
      <c r="B270" s="2"/>
      <c r="D270" s="7"/>
      <c r="E270" s="7"/>
      <c r="J270" s="5"/>
    </row>
    <row r="271" ht="15.75" customHeight="1">
      <c r="B271" s="2"/>
      <c r="D271" s="7"/>
      <c r="E271" s="7"/>
      <c r="J271" s="5"/>
    </row>
    <row r="272" ht="15.75" customHeight="1">
      <c r="B272" s="2"/>
      <c r="D272" s="7"/>
      <c r="E272" s="7"/>
      <c r="J272" s="5"/>
    </row>
    <row r="273" ht="15.75" customHeight="1">
      <c r="B273" s="2"/>
      <c r="D273" s="7"/>
      <c r="E273" s="7"/>
      <c r="J273" s="5"/>
    </row>
    <row r="274" ht="15.75" customHeight="1">
      <c r="B274" s="2"/>
      <c r="D274" s="7"/>
      <c r="E274" s="7"/>
      <c r="J274" s="5"/>
    </row>
    <row r="275" ht="15.75" customHeight="1">
      <c r="B275" s="2"/>
      <c r="D275" s="7"/>
      <c r="E275" s="7"/>
      <c r="J275" s="5"/>
    </row>
    <row r="276" ht="15.75" customHeight="1">
      <c r="B276" s="2"/>
      <c r="D276" s="7"/>
      <c r="E276" s="7"/>
      <c r="J276" s="5"/>
    </row>
    <row r="277" ht="15.75" customHeight="1">
      <c r="B277" s="2"/>
      <c r="D277" s="7"/>
      <c r="E277" s="7"/>
      <c r="J277" s="5"/>
    </row>
    <row r="278" ht="15.75" customHeight="1">
      <c r="B278" s="2"/>
      <c r="D278" s="7"/>
      <c r="E278" s="7"/>
      <c r="J278" s="5"/>
    </row>
    <row r="279" ht="15.75" customHeight="1">
      <c r="B279" s="2"/>
      <c r="D279" s="7"/>
      <c r="E279" s="7"/>
      <c r="J279" s="5"/>
    </row>
    <row r="280" ht="15.75" customHeight="1">
      <c r="B280" s="2"/>
      <c r="D280" s="7"/>
      <c r="E280" s="7"/>
      <c r="J280" s="5"/>
    </row>
    <row r="281" ht="15.75" customHeight="1">
      <c r="B281" s="2"/>
      <c r="D281" s="7"/>
      <c r="E281" s="7"/>
      <c r="J281" s="5"/>
    </row>
    <row r="282" ht="15.75" customHeight="1">
      <c r="B282" s="2"/>
      <c r="D282" s="7"/>
      <c r="E282" s="7"/>
      <c r="J282" s="5"/>
    </row>
    <row r="283" ht="15.75" customHeight="1">
      <c r="B283" s="2"/>
      <c r="D283" s="7"/>
      <c r="E283" s="7"/>
      <c r="J283" s="5"/>
    </row>
    <row r="284" ht="15.75" customHeight="1">
      <c r="B284" s="2"/>
      <c r="D284" s="7"/>
      <c r="E284" s="7"/>
      <c r="J284" s="5"/>
    </row>
    <row r="285" ht="15.75" customHeight="1">
      <c r="B285" s="2"/>
      <c r="D285" s="7"/>
      <c r="E285" s="7"/>
      <c r="J285" s="5"/>
    </row>
    <row r="286" ht="15.75" customHeight="1">
      <c r="B286" s="2"/>
      <c r="D286" s="7"/>
      <c r="E286" s="7"/>
      <c r="J286" s="5"/>
    </row>
    <row r="287" ht="15.75" customHeight="1">
      <c r="B287" s="2"/>
      <c r="D287" s="7"/>
      <c r="E287" s="7"/>
      <c r="J287" s="5"/>
    </row>
    <row r="288" ht="15.75" customHeight="1">
      <c r="B288" s="2"/>
      <c r="D288" s="7"/>
      <c r="E288" s="7"/>
      <c r="J288" s="5"/>
    </row>
    <row r="289" ht="15.75" customHeight="1">
      <c r="B289" s="2"/>
      <c r="D289" s="7"/>
      <c r="E289" s="7"/>
      <c r="J289" s="5"/>
    </row>
    <row r="290" ht="15.75" customHeight="1">
      <c r="B290" s="2"/>
      <c r="D290" s="7"/>
      <c r="E290" s="7"/>
      <c r="J290" s="5"/>
    </row>
    <row r="291" ht="15.75" customHeight="1">
      <c r="B291" s="2"/>
      <c r="D291" s="7"/>
      <c r="E291" s="7"/>
      <c r="J291" s="5"/>
    </row>
    <row r="292" ht="15.75" customHeight="1">
      <c r="B292" s="2"/>
      <c r="D292" s="7"/>
      <c r="E292" s="7"/>
      <c r="J292" s="5"/>
    </row>
    <row r="293" ht="15.75" customHeight="1">
      <c r="B293" s="2"/>
      <c r="D293" s="7"/>
      <c r="E293" s="7"/>
      <c r="J293" s="5"/>
    </row>
    <row r="294" ht="15.75" customHeight="1">
      <c r="B294" s="2"/>
      <c r="D294" s="7"/>
      <c r="E294" s="7"/>
      <c r="J294" s="5"/>
    </row>
    <row r="295" ht="15.75" customHeight="1">
      <c r="B295" s="2"/>
      <c r="D295" s="7"/>
      <c r="E295" s="7"/>
      <c r="J295" s="5"/>
    </row>
    <row r="296" ht="15.75" customHeight="1">
      <c r="B296" s="2"/>
      <c r="D296" s="7"/>
      <c r="E296" s="7"/>
      <c r="J296" s="5"/>
    </row>
    <row r="297" ht="15.75" customHeight="1">
      <c r="B297" s="2"/>
      <c r="D297" s="7"/>
      <c r="E297" s="7"/>
      <c r="J297" s="5"/>
    </row>
    <row r="298" ht="15.75" customHeight="1">
      <c r="B298" s="2"/>
      <c r="D298" s="7"/>
      <c r="E298" s="7"/>
      <c r="J298" s="5"/>
    </row>
    <row r="299" ht="15.75" customHeight="1">
      <c r="B299" s="2"/>
      <c r="D299" s="7"/>
      <c r="E299" s="7"/>
      <c r="J299" s="5"/>
    </row>
    <row r="300" ht="15.75" customHeight="1">
      <c r="B300" s="2"/>
      <c r="D300" s="7"/>
      <c r="E300" s="7"/>
      <c r="J300" s="5"/>
    </row>
    <row r="301" ht="15.75" customHeight="1">
      <c r="B301" s="2"/>
      <c r="D301" s="7"/>
      <c r="E301" s="7"/>
      <c r="J301" s="5"/>
    </row>
    <row r="302" ht="15.75" customHeight="1">
      <c r="B302" s="2"/>
      <c r="D302" s="7"/>
      <c r="E302" s="7"/>
      <c r="J302" s="5"/>
    </row>
    <row r="303" ht="15.75" customHeight="1">
      <c r="B303" s="2"/>
      <c r="D303" s="7"/>
      <c r="E303" s="7"/>
      <c r="J303" s="5"/>
    </row>
    <row r="304" ht="15.75" customHeight="1">
      <c r="B304" s="2"/>
      <c r="D304" s="7"/>
      <c r="E304" s="7"/>
      <c r="J304" s="5"/>
    </row>
    <row r="305" ht="15.75" customHeight="1">
      <c r="B305" s="2"/>
      <c r="D305" s="7"/>
      <c r="E305" s="7"/>
      <c r="J305" s="5"/>
    </row>
    <row r="306" ht="15.75" customHeight="1">
      <c r="B306" s="2"/>
      <c r="D306" s="7"/>
      <c r="E306" s="7"/>
      <c r="J306" s="5"/>
    </row>
    <row r="307" ht="15.75" customHeight="1">
      <c r="B307" s="2"/>
      <c r="D307" s="7"/>
      <c r="E307" s="7"/>
      <c r="J307" s="5"/>
    </row>
    <row r="308" ht="15.75" customHeight="1">
      <c r="B308" s="2"/>
      <c r="D308" s="7"/>
      <c r="E308" s="7"/>
      <c r="J308" s="5"/>
    </row>
    <row r="309" ht="15.75" customHeight="1">
      <c r="B309" s="2"/>
      <c r="D309" s="7"/>
      <c r="E309" s="7"/>
      <c r="J309" s="5"/>
    </row>
    <row r="310" ht="15.75" customHeight="1">
      <c r="B310" s="2"/>
      <c r="D310" s="7"/>
      <c r="E310" s="7"/>
      <c r="J310" s="5"/>
    </row>
    <row r="311" ht="15.75" customHeight="1">
      <c r="B311" s="2"/>
      <c r="D311" s="7"/>
      <c r="E311" s="7"/>
      <c r="J311" s="5"/>
    </row>
    <row r="312" ht="15.75" customHeight="1">
      <c r="B312" s="2"/>
      <c r="D312" s="7"/>
      <c r="E312" s="7"/>
      <c r="J312" s="5"/>
    </row>
    <row r="313" ht="15.75" customHeight="1">
      <c r="B313" s="2"/>
      <c r="D313" s="7"/>
      <c r="E313" s="7"/>
      <c r="J313" s="5"/>
    </row>
    <row r="314" ht="15.75" customHeight="1">
      <c r="B314" s="2"/>
      <c r="D314" s="7"/>
      <c r="E314" s="7"/>
      <c r="J314" s="5"/>
    </row>
    <row r="315" ht="15.75" customHeight="1">
      <c r="B315" s="2"/>
      <c r="D315" s="7"/>
      <c r="E315" s="7"/>
      <c r="J315" s="5"/>
    </row>
    <row r="316" ht="15.75" customHeight="1">
      <c r="B316" s="2"/>
      <c r="D316" s="7"/>
      <c r="E316" s="7"/>
      <c r="J316" s="5"/>
    </row>
    <row r="317" ht="15.75" customHeight="1">
      <c r="B317" s="2"/>
      <c r="D317" s="7"/>
      <c r="E317" s="7"/>
      <c r="J317" s="5"/>
    </row>
    <row r="318" ht="15.75" customHeight="1">
      <c r="B318" s="2"/>
      <c r="D318" s="7"/>
      <c r="E318" s="7"/>
      <c r="J318" s="5"/>
    </row>
    <row r="319" ht="15.75" customHeight="1">
      <c r="B319" s="2"/>
      <c r="D319" s="7"/>
      <c r="E319" s="7"/>
      <c r="J319" s="5"/>
    </row>
    <row r="320" ht="15.75" customHeight="1">
      <c r="B320" s="2"/>
      <c r="D320" s="7"/>
      <c r="E320" s="7"/>
      <c r="J320" s="5"/>
    </row>
    <row r="321" ht="15.75" customHeight="1">
      <c r="B321" s="2"/>
      <c r="D321" s="7"/>
      <c r="E321" s="7"/>
      <c r="J321" s="5"/>
    </row>
    <row r="322" ht="15.75" customHeight="1">
      <c r="B322" s="2"/>
      <c r="D322" s="7"/>
      <c r="E322" s="7"/>
      <c r="J322" s="5"/>
    </row>
    <row r="323" ht="15.75" customHeight="1">
      <c r="B323" s="2"/>
      <c r="D323" s="7"/>
      <c r="E323" s="7"/>
      <c r="J323" s="5"/>
    </row>
    <row r="324" ht="15.75" customHeight="1">
      <c r="B324" s="2"/>
      <c r="D324" s="7"/>
      <c r="E324" s="7"/>
      <c r="J324" s="5"/>
    </row>
    <row r="325" ht="15.75" customHeight="1">
      <c r="B325" s="2"/>
      <c r="D325" s="7"/>
      <c r="E325" s="7"/>
      <c r="J325" s="5"/>
    </row>
    <row r="326" ht="15.75" customHeight="1">
      <c r="B326" s="2"/>
      <c r="D326" s="7"/>
      <c r="E326" s="7"/>
      <c r="J326" s="5"/>
    </row>
    <row r="327" ht="15.75" customHeight="1">
      <c r="B327" s="2"/>
      <c r="D327" s="7"/>
      <c r="E327" s="7"/>
      <c r="J327" s="5"/>
    </row>
    <row r="328" ht="15.75" customHeight="1">
      <c r="B328" s="2"/>
      <c r="D328" s="7"/>
      <c r="E328" s="7"/>
      <c r="J328" s="5"/>
    </row>
    <row r="329" ht="15.75" customHeight="1">
      <c r="B329" s="2"/>
      <c r="D329" s="7"/>
      <c r="E329" s="7"/>
      <c r="J329" s="5"/>
    </row>
    <row r="330" ht="15.75" customHeight="1">
      <c r="B330" s="2"/>
      <c r="D330" s="7"/>
      <c r="E330" s="7"/>
      <c r="J330" s="5"/>
    </row>
    <row r="331" ht="15.75" customHeight="1">
      <c r="B331" s="2"/>
      <c r="D331" s="7"/>
      <c r="E331" s="7"/>
      <c r="J331" s="5"/>
    </row>
    <row r="332" ht="15.75" customHeight="1">
      <c r="B332" s="2"/>
      <c r="D332" s="7"/>
      <c r="E332" s="7"/>
      <c r="J332" s="5"/>
    </row>
    <row r="333" ht="15.75" customHeight="1">
      <c r="B333" s="2"/>
      <c r="D333" s="7"/>
      <c r="E333" s="7"/>
      <c r="J333" s="5"/>
    </row>
    <row r="334" ht="15.75" customHeight="1">
      <c r="B334" s="2"/>
      <c r="D334" s="7"/>
      <c r="E334" s="7"/>
      <c r="J334" s="5"/>
    </row>
    <row r="335" ht="15.75" customHeight="1">
      <c r="B335" s="2"/>
      <c r="D335" s="7"/>
      <c r="E335" s="7"/>
      <c r="J335" s="5"/>
    </row>
    <row r="336" ht="15.75" customHeight="1">
      <c r="B336" s="2"/>
      <c r="D336" s="7"/>
      <c r="E336" s="7"/>
      <c r="J336" s="5"/>
    </row>
    <row r="337" ht="15.75" customHeight="1">
      <c r="B337" s="2"/>
      <c r="D337" s="7"/>
      <c r="E337" s="7"/>
      <c r="J337" s="5"/>
    </row>
    <row r="338" ht="15.75" customHeight="1">
      <c r="B338" s="2"/>
      <c r="D338" s="7"/>
      <c r="E338" s="7"/>
      <c r="J338" s="5"/>
    </row>
    <row r="339" ht="15.75" customHeight="1">
      <c r="B339" s="2"/>
      <c r="D339" s="7"/>
      <c r="E339" s="7"/>
      <c r="J339" s="5"/>
    </row>
    <row r="340" ht="15.75" customHeight="1">
      <c r="B340" s="2"/>
      <c r="D340" s="7"/>
      <c r="E340" s="7"/>
      <c r="J340" s="5"/>
    </row>
    <row r="341" ht="15.75" customHeight="1">
      <c r="B341" s="2"/>
      <c r="D341" s="7"/>
      <c r="E341" s="7"/>
      <c r="J341" s="5"/>
    </row>
    <row r="342" ht="15.75" customHeight="1">
      <c r="B342" s="2"/>
      <c r="D342" s="7"/>
      <c r="E342" s="7"/>
      <c r="J342" s="5"/>
    </row>
    <row r="343" ht="15.75" customHeight="1">
      <c r="B343" s="2"/>
      <c r="D343" s="7"/>
      <c r="E343" s="7"/>
      <c r="J343" s="5"/>
    </row>
    <row r="344" ht="15.75" customHeight="1">
      <c r="B344" s="2"/>
      <c r="D344" s="7"/>
      <c r="E344" s="7"/>
      <c r="J344" s="5"/>
    </row>
    <row r="345" ht="15.75" customHeight="1">
      <c r="B345" s="2"/>
      <c r="D345" s="7"/>
      <c r="E345" s="7"/>
      <c r="J345" s="5"/>
    </row>
    <row r="346" ht="15.75" customHeight="1">
      <c r="B346" s="2"/>
      <c r="D346" s="7"/>
      <c r="E346" s="7"/>
      <c r="J346" s="5"/>
    </row>
    <row r="347" ht="15.75" customHeight="1">
      <c r="B347" s="2"/>
      <c r="D347" s="7"/>
      <c r="E347" s="7"/>
      <c r="J347" s="5"/>
    </row>
    <row r="348" ht="15.75" customHeight="1">
      <c r="B348" s="2"/>
      <c r="D348" s="7"/>
      <c r="E348" s="7"/>
      <c r="J348" s="5"/>
    </row>
    <row r="349" ht="15.75" customHeight="1">
      <c r="B349" s="2"/>
      <c r="D349" s="7"/>
      <c r="E349" s="7"/>
      <c r="J349" s="5"/>
    </row>
    <row r="350" ht="15.75" customHeight="1">
      <c r="B350" s="2"/>
      <c r="D350" s="7"/>
      <c r="E350" s="7"/>
      <c r="J350" s="5"/>
    </row>
    <row r="351" ht="15.75" customHeight="1">
      <c r="B351" s="2"/>
      <c r="D351" s="7"/>
      <c r="E351" s="7"/>
      <c r="J351" s="5"/>
    </row>
    <row r="352" ht="15.75" customHeight="1">
      <c r="B352" s="2"/>
      <c r="D352" s="7"/>
      <c r="E352" s="7"/>
      <c r="J352" s="5"/>
    </row>
    <row r="353" ht="15.75" customHeight="1">
      <c r="B353" s="2"/>
      <c r="D353" s="7"/>
      <c r="E353" s="7"/>
      <c r="J353" s="5"/>
    </row>
    <row r="354" ht="15.75" customHeight="1">
      <c r="B354" s="2"/>
      <c r="D354" s="7"/>
      <c r="E354" s="7"/>
      <c r="J354" s="5"/>
    </row>
    <row r="355" ht="15.75" customHeight="1">
      <c r="B355" s="2"/>
      <c r="D355" s="7"/>
      <c r="E355" s="7"/>
      <c r="J355" s="5"/>
    </row>
    <row r="356" ht="15.75" customHeight="1">
      <c r="B356" s="2"/>
      <c r="D356" s="7"/>
      <c r="E356" s="7"/>
      <c r="J356" s="5"/>
    </row>
    <row r="357" ht="15.75" customHeight="1">
      <c r="B357" s="2"/>
      <c r="D357" s="7"/>
      <c r="E357" s="7"/>
      <c r="J357" s="5"/>
    </row>
    <row r="358" ht="15.75" customHeight="1">
      <c r="B358" s="2"/>
      <c r="D358" s="7"/>
      <c r="E358" s="7"/>
      <c r="J358" s="5"/>
    </row>
    <row r="359" ht="15.75" customHeight="1">
      <c r="B359" s="2"/>
      <c r="D359" s="7"/>
      <c r="E359" s="7"/>
      <c r="J359" s="5"/>
    </row>
    <row r="360" ht="15.75" customHeight="1">
      <c r="B360" s="2"/>
      <c r="D360" s="7"/>
      <c r="E360" s="7"/>
      <c r="J360" s="5"/>
    </row>
    <row r="361" ht="15.75" customHeight="1">
      <c r="B361" s="2"/>
      <c r="D361" s="7"/>
      <c r="E361" s="7"/>
      <c r="J361" s="5"/>
    </row>
    <row r="362" ht="15.75" customHeight="1">
      <c r="B362" s="2"/>
      <c r="D362" s="7"/>
      <c r="E362" s="7"/>
      <c r="J362" s="5"/>
    </row>
    <row r="363" ht="15.75" customHeight="1">
      <c r="B363" s="2"/>
      <c r="D363" s="7"/>
      <c r="E363" s="7"/>
      <c r="J363" s="5"/>
    </row>
    <row r="364" ht="15.75" customHeight="1">
      <c r="B364" s="2"/>
      <c r="D364" s="7"/>
      <c r="E364" s="7"/>
      <c r="J364" s="5"/>
    </row>
    <row r="365" ht="15.75" customHeight="1">
      <c r="B365" s="2"/>
      <c r="D365" s="7"/>
      <c r="E365" s="7"/>
      <c r="J365" s="5"/>
    </row>
    <row r="366" ht="15.75" customHeight="1">
      <c r="B366" s="2"/>
      <c r="D366" s="7"/>
      <c r="E366" s="7"/>
      <c r="J366" s="5"/>
    </row>
    <row r="367" ht="15.75" customHeight="1">
      <c r="B367" s="2"/>
      <c r="D367" s="7"/>
      <c r="E367" s="7"/>
      <c r="J367" s="5"/>
    </row>
    <row r="368" ht="15.75" customHeight="1">
      <c r="B368" s="2"/>
      <c r="D368" s="7"/>
      <c r="E368" s="7"/>
      <c r="J368" s="5"/>
    </row>
    <row r="369" ht="15.75" customHeight="1">
      <c r="B369" s="2"/>
      <c r="D369" s="7"/>
      <c r="E369" s="7"/>
      <c r="J369" s="5"/>
    </row>
    <row r="370" ht="15.75" customHeight="1">
      <c r="B370" s="2"/>
      <c r="D370" s="7"/>
      <c r="E370" s="7"/>
      <c r="J370" s="5"/>
    </row>
    <row r="371" ht="15.75" customHeight="1">
      <c r="B371" s="2"/>
      <c r="D371" s="7"/>
      <c r="E371" s="7"/>
      <c r="J371" s="5"/>
    </row>
    <row r="372" ht="15.75" customHeight="1">
      <c r="B372" s="2"/>
      <c r="D372" s="7"/>
      <c r="E372" s="7"/>
      <c r="J372" s="5"/>
    </row>
    <row r="373" ht="15.75" customHeight="1">
      <c r="B373" s="2"/>
      <c r="D373" s="7"/>
      <c r="E373" s="7"/>
      <c r="J373" s="5"/>
    </row>
    <row r="374" ht="15.75" customHeight="1">
      <c r="B374" s="2"/>
      <c r="D374" s="7"/>
      <c r="E374" s="7"/>
      <c r="J374" s="5"/>
    </row>
    <row r="375" ht="15.75" customHeight="1">
      <c r="B375" s="2"/>
      <c r="D375" s="7"/>
      <c r="E375" s="7"/>
      <c r="J375" s="5"/>
    </row>
    <row r="376" ht="15.75" customHeight="1">
      <c r="B376" s="2"/>
      <c r="D376" s="7"/>
      <c r="E376" s="7"/>
      <c r="J376" s="5"/>
    </row>
    <row r="377" ht="15.75" customHeight="1">
      <c r="B377" s="2"/>
      <c r="D377" s="7"/>
      <c r="E377" s="7"/>
      <c r="J377" s="5"/>
    </row>
    <row r="378" ht="15.75" customHeight="1">
      <c r="B378" s="2"/>
      <c r="D378" s="7"/>
      <c r="E378" s="7"/>
      <c r="J378" s="5"/>
    </row>
    <row r="379" ht="15.75" customHeight="1">
      <c r="B379" s="2"/>
      <c r="D379" s="7"/>
      <c r="E379" s="7"/>
      <c r="J379" s="5"/>
    </row>
    <row r="380" ht="15.75" customHeight="1">
      <c r="B380" s="2"/>
      <c r="D380" s="7"/>
      <c r="E380" s="7"/>
      <c r="J380" s="5"/>
    </row>
    <row r="381" ht="15.75" customHeight="1">
      <c r="B381" s="2"/>
      <c r="D381" s="7"/>
      <c r="E381" s="7"/>
      <c r="J381" s="5"/>
    </row>
    <row r="382" ht="15.75" customHeight="1">
      <c r="B382" s="2"/>
      <c r="D382" s="7"/>
      <c r="E382" s="7"/>
      <c r="J382" s="5"/>
    </row>
    <row r="383" ht="15.75" customHeight="1">
      <c r="B383" s="2"/>
      <c r="D383" s="7"/>
      <c r="E383" s="7"/>
      <c r="J383" s="5"/>
    </row>
    <row r="384" ht="15.75" customHeight="1">
      <c r="B384" s="2"/>
      <c r="D384" s="7"/>
      <c r="E384" s="7"/>
      <c r="J384" s="5"/>
    </row>
    <row r="385" ht="15.75" customHeight="1">
      <c r="B385" s="2"/>
      <c r="D385" s="7"/>
      <c r="E385" s="7"/>
      <c r="J385" s="5"/>
    </row>
    <row r="386" ht="15.75" customHeight="1">
      <c r="B386" s="2"/>
      <c r="D386" s="7"/>
      <c r="E386" s="7"/>
      <c r="J386" s="5"/>
    </row>
    <row r="387" ht="15.75" customHeight="1">
      <c r="B387" s="2"/>
      <c r="D387" s="7"/>
      <c r="E387" s="7"/>
      <c r="J387" s="5"/>
    </row>
    <row r="388" ht="15.75" customHeight="1">
      <c r="B388" s="2"/>
      <c r="D388" s="7"/>
      <c r="E388" s="7"/>
      <c r="J388" s="5"/>
    </row>
    <row r="389" ht="15.75" customHeight="1">
      <c r="B389" s="2"/>
      <c r="D389" s="7"/>
      <c r="E389" s="7"/>
      <c r="J389" s="5"/>
    </row>
    <row r="390" ht="15.75" customHeight="1">
      <c r="B390" s="2"/>
      <c r="D390" s="7"/>
      <c r="E390" s="7"/>
      <c r="J390" s="5"/>
    </row>
    <row r="391" ht="15.75" customHeight="1">
      <c r="B391" s="2"/>
      <c r="D391" s="7"/>
      <c r="E391" s="7"/>
      <c r="J391" s="5"/>
    </row>
    <row r="392" ht="15.75" customHeight="1">
      <c r="B392" s="2"/>
      <c r="D392" s="7"/>
      <c r="E392" s="7"/>
      <c r="J392" s="5"/>
    </row>
    <row r="393" ht="15.75" customHeight="1">
      <c r="B393" s="2"/>
      <c r="D393" s="7"/>
      <c r="E393" s="7"/>
      <c r="J393" s="5"/>
    </row>
    <row r="394" ht="15.75" customHeight="1">
      <c r="B394" s="2"/>
      <c r="D394" s="7"/>
      <c r="E394" s="7"/>
      <c r="J394" s="5"/>
    </row>
    <row r="395" ht="15.75" customHeight="1">
      <c r="B395" s="2"/>
      <c r="D395" s="7"/>
      <c r="E395" s="7"/>
      <c r="J395" s="5"/>
    </row>
    <row r="396" ht="15.75" customHeight="1">
      <c r="B396" s="2"/>
      <c r="D396" s="7"/>
      <c r="E396" s="7"/>
      <c r="J396" s="5"/>
    </row>
    <row r="397" ht="15.75" customHeight="1">
      <c r="B397" s="2"/>
      <c r="D397" s="7"/>
      <c r="E397" s="7"/>
      <c r="J397" s="5"/>
    </row>
    <row r="398" ht="15.75" customHeight="1">
      <c r="B398" s="2"/>
      <c r="D398" s="7"/>
      <c r="E398" s="7"/>
      <c r="J398" s="5"/>
    </row>
    <row r="399" ht="15.75" customHeight="1">
      <c r="B399" s="2"/>
      <c r="D399" s="7"/>
      <c r="E399" s="7"/>
      <c r="J399" s="5"/>
    </row>
    <row r="400" ht="15.75" customHeight="1">
      <c r="B400" s="2"/>
      <c r="D400" s="7"/>
      <c r="E400" s="7"/>
      <c r="J400" s="5"/>
    </row>
    <row r="401" ht="15.75" customHeight="1">
      <c r="B401" s="2"/>
      <c r="D401" s="7"/>
      <c r="E401" s="7"/>
      <c r="J401" s="5"/>
    </row>
    <row r="402" ht="15.75" customHeight="1">
      <c r="B402" s="2"/>
      <c r="D402" s="7"/>
      <c r="E402" s="7"/>
      <c r="J402" s="5"/>
    </row>
    <row r="403" ht="15.75" customHeight="1">
      <c r="B403" s="2"/>
      <c r="D403" s="7"/>
      <c r="E403" s="7"/>
      <c r="J403" s="5"/>
    </row>
    <row r="404" ht="15.75" customHeight="1">
      <c r="B404" s="2"/>
      <c r="D404" s="7"/>
      <c r="E404" s="7"/>
      <c r="J404" s="5"/>
    </row>
    <row r="405" ht="15.75" customHeight="1">
      <c r="B405" s="2"/>
      <c r="D405" s="7"/>
      <c r="E405" s="7"/>
      <c r="J405" s="5"/>
    </row>
    <row r="406" ht="15.75" customHeight="1">
      <c r="B406" s="2"/>
      <c r="D406" s="7"/>
      <c r="E406" s="7"/>
      <c r="J406" s="5"/>
    </row>
    <row r="407" ht="15.75" customHeight="1">
      <c r="B407" s="2"/>
      <c r="D407" s="7"/>
      <c r="E407" s="7"/>
      <c r="J407" s="5"/>
    </row>
    <row r="408" ht="15.75" customHeight="1">
      <c r="B408" s="2"/>
      <c r="D408" s="7"/>
      <c r="E408" s="7"/>
      <c r="J408" s="5"/>
    </row>
    <row r="409" ht="15.75" customHeight="1">
      <c r="B409" s="2"/>
      <c r="D409" s="7"/>
      <c r="E409" s="7"/>
      <c r="J409" s="5"/>
    </row>
    <row r="410" ht="15.75" customHeight="1">
      <c r="B410" s="2"/>
      <c r="D410" s="7"/>
      <c r="E410" s="7"/>
      <c r="J410" s="5"/>
    </row>
    <row r="411" ht="15.75" customHeight="1">
      <c r="B411" s="2"/>
      <c r="D411" s="7"/>
      <c r="E411" s="7"/>
      <c r="J411" s="5"/>
    </row>
    <row r="412" ht="15.75" customHeight="1">
      <c r="B412" s="2"/>
      <c r="D412" s="7"/>
      <c r="E412" s="7"/>
      <c r="J412" s="5"/>
    </row>
    <row r="413" ht="15.75" customHeight="1">
      <c r="B413" s="2"/>
      <c r="D413" s="7"/>
      <c r="E413" s="7"/>
      <c r="J413" s="5"/>
    </row>
    <row r="414" ht="15.75" customHeight="1">
      <c r="B414" s="2"/>
      <c r="D414" s="7"/>
      <c r="E414" s="7"/>
      <c r="J414" s="5"/>
    </row>
    <row r="415" ht="15.75" customHeight="1">
      <c r="B415" s="2"/>
      <c r="D415" s="7"/>
      <c r="E415" s="7"/>
      <c r="J415" s="5"/>
    </row>
    <row r="416" ht="15.75" customHeight="1">
      <c r="B416" s="2"/>
      <c r="D416" s="7"/>
      <c r="E416" s="7"/>
      <c r="J416" s="5"/>
    </row>
    <row r="417" ht="15.75" customHeight="1">
      <c r="B417" s="2"/>
      <c r="D417" s="7"/>
      <c r="E417" s="7"/>
      <c r="J417" s="5"/>
    </row>
    <row r="418" ht="15.75" customHeight="1">
      <c r="B418" s="2"/>
      <c r="D418" s="7"/>
      <c r="E418" s="7"/>
      <c r="J418" s="5"/>
    </row>
    <row r="419" ht="15.75" customHeight="1">
      <c r="B419" s="2"/>
      <c r="D419" s="7"/>
      <c r="E419" s="7"/>
      <c r="J419" s="5"/>
    </row>
    <row r="420" ht="15.75" customHeight="1">
      <c r="B420" s="2"/>
      <c r="D420" s="7"/>
      <c r="E420" s="7"/>
      <c r="J420" s="5"/>
    </row>
    <row r="421" ht="15.75" customHeight="1">
      <c r="B421" s="2"/>
      <c r="D421" s="7"/>
      <c r="E421" s="7"/>
      <c r="J421" s="5"/>
    </row>
    <row r="422" ht="15.75" customHeight="1">
      <c r="B422" s="2"/>
      <c r="D422" s="7"/>
      <c r="E422" s="7"/>
      <c r="J422" s="5"/>
    </row>
    <row r="423" ht="15.75" customHeight="1">
      <c r="B423" s="2"/>
      <c r="D423" s="7"/>
      <c r="E423" s="7"/>
      <c r="J423" s="5"/>
    </row>
    <row r="424" ht="15.75" customHeight="1">
      <c r="B424" s="2"/>
      <c r="D424" s="7"/>
      <c r="E424" s="7"/>
      <c r="J424" s="5"/>
    </row>
    <row r="425" ht="15.75" customHeight="1">
      <c r="B425" s="2"/>
      <c r="D425" s="7"/>
      <c r="E425" s="7"/>
      <c r="J425" s="5"/>
    </row>
    <row r="426" ht="15.75" customHeight="1">
      <c r="B426" s="2"/>
      <c r="D426" s="7"/>
      <c r="E426" s="7"/>
      <c r="J426" s="5"/>
    </row>
    <row r="427" ht="15.75" customHeight="1">
      <c r="B427" s="2"/>
      <c r="D427" s="7"/>
      <c r="E427" s="7"/>
      <c r="J427" s="5"/>
    </row>
    <row r="428" ht="15.75" customHeight="1">
      <c r="B428" s="2"/>
      <c r="D428" s="7"/>
      <c r="E428" s="7"/>
      <c r="J428" s="5"/>
    </row>
    <row r="429" ht="15.75" customHeight="1">
      <c r="B429" s="2"/>
      <c r="D429" s="7"/>
      <c r="E429" s="7"/>
      <c r="J429" s="5"/>
    </row>
    <row r="430" ht="15.75" customHeight="1">
      <c r="B430" s="2"/>
      <c r="D430" s="7"/>
      <c r="E430" s="7"/>
      <c r="J430" s="5"/>
    </row>
    <row r="431" ht="15.75" customHeight="1">
      <c r="B431" s="2"/>
      <c r="D431" s="7"/>
      <c r="E431" s="7"/>
      <c r="J431" s="5"/>
    </row>
    <row r="432" ht="15.75" customHeight="1">
      <c r="B432" s="2"/>
      <c r="D432" s="7"/>
      <c r="E432" s="7"/>
      <c r="J432" s="5"/>
    </row>
    <row r="433" ht="15.75" customHeight="1">
      <c r="B433" s="2"/>
      <c r="D433" s="7"/>
      <c r="E433" s="7"/>
      <c r="J433" s="5"/>
    </row>
    <row r="434" ht="15.75" customHeight="1">
      <c r="B434" s="2"/>
      <c r="D434" s="7"/>
      <c r="E434" s="7"/>
      <c r="J434" s="5"/>
    </row>
    <row r="435" ht="15.75" customHeight="1">
      <c r="B435" s="2"/>
      <c r="D435" s="7"/>
      <c r="E435" s="7"/>
      <c r="J435" s="5"/>
    </row>
    <row r="436" ht="15.75" customHeight="1">
      <c r="B436" s="2"/>
      <c r="D436" s="7"/>
      <c r="E436" s="7"/>
      <c r="J436" s="5"/>
    </row>
    <row r="437" ht="15.75" customHeight="1">
      <c r="B437" s="2"/>
      <c r="D437" s="7"/>
      <c r="E437" s="7"/>
      <c r="J437" s="5"/>
    </row>
    <row r="438" ht="15.75" customHeight="1">
      <c r="B438" s="2"/>
      <c r="D438" s="7"/>
      <c r="E438" s="7"/>
      <c r="J438" s="5"/>
    </row>
    <row r="439" ht="15.75" customHeight="1">
      <c r="B439" s="2"/>
      <c r="D439" s="7"/>
      <c r="E439" s="7"/>
      <c r="J439" s="5"/>
    </row>
    <row r="440" ht="15.75" customHeight="1">
      <c r="B440" s="2"/>
      <c r="D440" s="7"/>
      <c r="E440" s="7"/>
      <c r="J440" s="5"/>
    </row>
    <row r="441" ht="15.75" customHeight="1">
      <c r="B441" s="2"/>
      <c r="D441" s="7"/>
      <c r="E441" s="7"/>
      <c r="J441" s="5"/>
    </row>
    <row r="442" ht="15.75" customHeight="1">
      <c r="B442" s="2"/>
      <c r="D442" s="7"/>
      <c r="E442" s="7"/>
      <c r="J442" s="5"/>
    </row>
    <row r="443" ht="15.75" customHeight="1">
      <c r="B443" s="2"/>
      <c r="D443" s="7"/>
      <c r="E443" s="7"/>
      <c r="J443" s="5"/>
    </row>
    <row r="444" ht="15.75" customHeight="1">
      <c r="B444" s="2"/>
      <c r="D444" s="7"/>
      <c r="E444" s="7"/>
      <c r="J444" s="5"/>
    </row>
    <row r="445" ht="15.75" customHeight="1">
      <c r="B445" s="2"/>
      <c r="D445" s="7"/>
      <c r="E445" s="7"/>
      <c r="J445" s="5"/>
    </row>
    <row r="446" ht="15.75" customHeight="1">
      <c r="B446" s="2"/>
      <c r="D446" s="7"/>
      <c r="E446" s="7"/>
      <c r="J446" s="5"/>
    </row>
    <row r="447" ht="15.75" customHeight="1">
      <c r="B447" s="2"/>
      <c r="D447" s="7"/>
      <c r="E447" s="7"/>
      <c r="J447" s="5"/>
    </row>
    <row r="448" ht="15.75" customHeight="1">
      <c r="B448" s="2"/>
      <c r="D448" s="7"/>
      <c r="E448" s="7"/>
      <c r="J448" s="5"/>
    </row>
    <row r="449" ht="15.75" customHeight="1">
      <c r="B449" s="2"/>
      <c r="D449" s="7"/>
      <c r="E449" s="7"/>
      <c r="J449" s="5"/>
    </row>
    <row r="450" ht="15.75" customHeight="1">
      <c r="B450" s="2"/>
      <c r="D450" s="7"/>
      <c r="E450" s="7"/>
      <c r="J450" s="5"/>
    </row>
    <row r="451" ht="15.75" customHeight="1">
      <c r="B451" s="2"/>
      <c r="D451" s="7"/>
      <c r="E451" s="7"/>
      <c r="J451" s="5"/>
    </row>
    <row r="452" ht="15.75" customHeight="1">
      <c r="B452" s="2"/>
      <c r="D452" s="7"/>
      <c r="E452" s="7"/>
      <c r="J452" s="5"/>
    </row>
    <row r="453" ht="15.75" customHeight="1">
      <c r="B453" s="2"/>
      <c r="D453" s="7"/>
      <c r="E453" s="7"/>
      <c r="J453" s="5"/>
    </row>
    <row r="454" ht="15.75" customHeight="1">
      <c r="B454" s="2"/>
      <c r="D454" s="7"/>
      <c r="E454" s="7"/>
      <c r="J454" s="5"/>
    </row>
    <row r="455" ht="15.75" customHeight="1">
      <c r="B455" s="2"/>
      <c r="D455" s="7"/>
      <c r="E455" s="7"/>
      <c r="J455" s="5"/>
    </row>
    <row r="456" ht="15.75" customHeight="1">
      <c r="B456" s="2"/>
      <c r="D456" s="7"/>
      <c r="E456" s="7"/>
      <c r="J456" s="5"/>
    </row>
    <row r="457" ht="15.75" customHeight="1">
      <c r="B457" s="2"/>
      <c r="D457" s="7"/>
      <c r="E457" s="7"/>
      <c r="J457" s="5"/>
    </row>
    <row r="458" ht="15.75" customHeight="1">
      <c r="B458" s="2"/>
      <c r="D458" s="7"/>
      <c r="E458" s="7"/>
      <c r="J458" s="5"/>
    </row>
    <row r="459" ht="15.75" customHeight="1">
      <c r="B459" s="2"/>
      <c r="D459" s="7"/>
      <c r="E459" s="7"/>
      <c r="J459" s="5"/>
    </row>
    <row r="460" ht="15.75" customHeight="1">
      <c r="B460" s="2"/>
      <c r="D460" s="7"/>
      <c r="E460" s="7"/>
      <c r="J460" s="5"/>
    </row>
    <row r="461" ht="15.75" customHeight="1">
      <c r="B461" s="2"/>
      <c r="D461" s="7"/>
      <c r="E461" s="7"/>
      <c r="J461" s="5"/>
    </row>
    <row r="462" ht="15.75" customHeight="1">
      <c r="B462" s="2"/>
      <c r="D462" s="7"/>
      <c r="E462" s="7"/>
      <c r="J462" s="5"/>
    </row>
    <row r="463" ht="15.75" customHeight="1">
      <c r="B463" s="2"/>
      <c r="D463" s="7"/>
      <c r="E463" s="7"/>
      <c r="J463" s="5"/>
    </row>
    <row r="464" ht="15.75" customHeight="1">
      <c r="B464" s="2"/>
      <c r="D464" s="7"/>
      <c r="E464" s="7"/>
      <c r="J464" s="5"/>
    </row>
    <row r="465" ht="15.75" customHeight="1">
      <c r="B465" s="2"/>
      <c r="D465" s="7"/>
      <c r="E465" s="7"/>
      <c r="J465" s="5"/>
    </row>
    <row r="466" ht="15.75" customHeight="1">
      <c r="B466" s="2"/>
      <c r="D466" s="7"/>
      <c r="E466" s="7"/>
      <c r="J466" s="5"/>
    </row>
    <row r="467" ht="15.75" customHeight="1">
      <c r="B467" s="2"/>
      <c r="D467" s="7"/>
      <c r="E467" s="7"/>
      <c r="J467" s="5"/>
    </row>
    <row r="468" ht="15.75" customHeight="1">
      <c r="B468" s="2"/>
      <c r="D468" s="7"/>
      <c r="E468" s="7"/>
      <c r="J468" s="5"/>
    </row>
    <row r="469" ht="15.75" customHeight="1">
      <c r="B469" s="2"/>
      <c r="D469" s="7"/>
      <c r="E469" s="7"/>
      <c r="J469" s="5"/>
    </row>
    <row r="470" ht="15.75" customHeight="1">
      <c r="B470" s="2"/>
      <c r="D470" s="7"/>
      <c r="E470" s="7"/>
      <c r="J470" s="5"/>
    </row>
    <row r="471" ht="15.75" customHeight="1">
      <c r="B471" s="2"/>
      <c r="D471" s="7"/>
      <c r="E471" s="7"/>
      <c r="J471" s="5"/>
    </row>
    <row r="472" ht="15.75" customHeight="1">
      <c r="B472" s="2"/>
      <c r="D472" s="7"/>
      <c r="E472" s="7"/>
      <c r="J472" s="5"/>
    </row>
    <row r="473" ht="15.75" customHeight="1">
      <c r="B473" s="2"/>
      <c r="D473" s="7"/>
      <c r="E473" s="7"/>
      <c r="J473" s="5"/>
    </row>
    <row r="474" ht="15.75" customHeight="1">
      <c r="B474" s="2"/>
      <c r="D474" s="7"/>
      <c r="E474" s="7"/>
      <c r="J474" s="5"/>
    </row>
    <row r="475" ht="15.75" customHeight="1">
      <c r="B475" s="2"/>
      <c r="D475" s="7"/>
      <c r="E475" s="7"/>
      <c r="J475" s="5"/>
    </row>
    <row r="476" ht="15.75" customHeight="1">
      <c r="B476" s="2"/>
      <c r="D476" s="7"/>
      <c r="E476" s="7"/>
      <c r="J476" s="5"/>
    </row>
    <row r="477" ht="15.75" customHeight="1">
      <c r="B477" s="2"/>
      <c r="D477" s="7"/>
      <c r="E477" s="7"/>
      <c r="J477" s="5"/>
    </row>
    <row r="478" ht="15.75" customHeight="1">
      <c r="B478" s="2"/>
      <c r="D478" s="7"/>
      <c r="E478" s="7"/>
      <c r="J478" s="5"/>
    </row>
    <row r="479" ht="15.75" customHeight="1">
      <c r="B479" s="2"/>
      <c r="D479" s="7"/>
      <c r="E479" s="7"/>
      <c r="J479" s="5"/>
    </row>
    <row r="480" ht="15.75" customHeight="1">
      <c r="B480" s="2"/>
      <c r="D480" s="7"/>
      <c r="E480" s="7"/>
      <c r="J480" s="5"/>
    </row>
    <row r="481" ht="15.75" customHeight="1">
      <c r="B481" s="2"/>
      <c r="D481" s="7"/>
      <c r="E481" s="7"/>
      <c r="J481" s="5"/>
    </row>
    <row r="482" ht="15.75" customHeight="1">
      <c r="B482" s="2"/>
      <c r="D482" s="7"/>
      <c r="E482" s="7"/>
      <c r="J482" s="5"/>
    </row>
    <row r="483" ht="15.75" customHeight="1">
      <c r="B483" s="2"/>
      <c r="D483" s="7"/>
      <c r="E483" s="7"/>
      <c r="J483" s="5"/>
    </row>
    <row r="484" ht="15.75" customHeight="1">
      <c r="B484" s="2"/>
      <c r="D484" s="7"/>
      <c r="E484" s="7"/>
      <c r="J484" s="5"/>
    </row>
    <row r="485" ht="15.75" customHeight="1">
      <c r="B485" s="2"/>
      <c r="D485" s="7"/>
      <c r="E485" s="7"/>
      <c r="J485" s="5"/>
    </row>
    <row r="486" ht="15.75" customHeight="1">
      <c r="B486" s="2"/>
      <c r="D486" s="7"/>
      <c r="E486" s="7"/>
      <c r="J486" s="5"/>
    </row>
    <row r="487" ht="15.75" customHeight="1">
      <c r="B487" s="2"/>
      <c r="D487" s="7"/>
      <c r="E487" s="7"/>
      <c r="J487" s="5"/>
    </row>
    <row r="488" ht="15.75" customHeight="1">
      <c r="B488" s="2"/>
      <c r="D488" s="7"/>
      <c r="E488" s="7"/>
      <c r="J488" s="5"/>
    </row>
    <row r="489" ht="15.75" customHeight="1">
      <c r="B489" s="2"/>
      <c r="D489" s="7"/>
      <c r="E489" s="7"/>
      <c r="J489" s="5"/>
    </row>
    <row r="490" ht="15.75" customHeight="1">
      <c r="B490" s="2"/>
      <c r="D490" s="7"/>
      <c r="E490" s="7"/>
      <c r="J490" s="5"/>
    </row>
    <row r="491" ht="15.75" customHeight="1">
      <c r="B491" s="2"/>
      <c r="D491" s="7"/>
      <c r="E491" s="7"/>
      <c r="J491" s="5"/>
    </row>
    <row r="492" ht="15.75" customHeight="1">
      <c r="B492" s="2"/>
      <c r="D492" s="7"/>
      <c r="E492" s="7"/>
      <c r="J492" s="5"/>
    </row>
    <row r="493" ht="15.75" customHeight="1">
      <c r="B493" s="2"/>
      <c r="D493" s="7"/>
      <c r="E493" s="7"/>
      <c r="J493" s="5"/>
    </row>
    <row r="494" ht="15.75" customHeight="1">
      <c r="B494" s="2"/>
      <c r="D494" s="7"/>
      <c r="E494" s="7"/>
      <c r="J494" s="5"/>
    </row>
    <row r="495" ht="15.75" customHeight="1">
      <c r="B495" s="2"/>
      <c r="D495" s="7"/>
      <c r="E495" s="7"/>
      <c r="J495" s="5"/>
    </row>
    <row r="496" ht="15.75" customHeight="1">
      <c r="B496" s="2"/>
      <c r="D496" s="7"/>
      <c r="E496" s="7"/>
      <c r="J496" s="5"/>
    </row>
    <row r="497" ht="15.75" customHeight="1">
      <c r="B497" s="2"/>
      <c r="D497" s="7"/>
      <c r="E497" s="7"/>
      <c r="J497" s="5"/>
    </row>
    <row r="498" ht="15.75" customHeight="1">
      <c r="B498" s="2"/>
      <c r="D498" s="7"/>
      <c r="E498" s="7"/>
      <c r="J498" s="5"/>
    </row>
    <row r="499" ht="15.75" customHeight="1">
      <c r="B499" s="2"/>
      <c r="D499" s="7"/>
      <c r="E499" s="7"/>
      <c r="J499" s="5"/>
    </row>
    <row r="500" ht="15.75" customHeight="1">
      <c r="B500" s="2"/>
      <c r="D500" s="7"/>
      <c r="E500" s="7"/>
      <c r="J500" s="5"/>
    </row>
    <row r="501" ht="15.75" customHeight="1">
      <c r="B501" s="2"/>
      <c r="D501" s="7"/>
      <c r="E501" s="7"/>
      <c r="J501" s="5"/>
    </row>
    <row r="502" ht="15.75" customHeight="1">
      <c r="B502" s="2"/>
      <c r="D502" s="7"/>
      <c r="E502" s="7"/>
      <c r="J502" s="5"/>
    </row>
    <row r="503" ht="15.75" customHeight="1">
      <c r="B503" s="2"/>
      <c r="D503" s="7"/>
      <c r="E503" s="7"/>
      <c r="J503" s="5"/>
    </row>
    <row r="504" ht="15.75" customHeight="1">
      <c r="B504" s="2"/>
      <c r="D504" s="7"/>
      <c r="E504" s="7"/>
      <c r="J504" s="5"/>
    </row>
    <row r="505" ht="15.75" customHeight="1">
      <c r="B505" s="2"/>
      <c r="D505" s="7"/>
      <c r="E505" s="7"/>
      <c r="J505" s="5"/>
    </row>
    <row r="506" ht="15.75" customHeight="1">
      <c r="B506" s="2"/>
      <c r="D506" s="7"/>
      <c r="E506" s="7"/>
      <c r="J506" s="5"/>
    </row>
    <row r="507" ht="15.75" customHeight="1">
      <c r="B507" s="2"/>
      <c r="D507" s="7"/>
      <c r="E507" s="7"/>
      <c r="J507" s="5"/>
    </row>
    <row r="508" ht="15.75" customHeight="1">
      <c r="B508" s="2"/>
      <c r="D508" s="7"/>
      <c r="E508" s="7"/>
      <c r="J508" s="5"/>
    </row>
    <row r="509" ht="15.75" customHeight="1">
      <c r="B509" s="2"/>
      <c r="D509" s="7"/>
      <c r="E509" s="7"/>
      <c r="J509" s="5"/>
    </row>
    <row r="510" ht="15.75" customHeight="1">
      <c r="B510" s="2"/>
      <c r="D510" s="7"/>
      <c r="E510" s="7"/>
      <c r="J510" s="5"/>
    </row>
    <row r="511" ht="15.75" customHeight="1">
      <c r="B511" s="2"/>
      <c r="D511" s="7"/>
      <c r="E511" s="7"/>
      <c r="J511" s="5"/>
    </row>
    <row r="512" ht="15.75" customHeight="1">
      <c r="B512" s="2"/>
      <c r="D512" s="7"/>
      <c r="E512" s="7"/>
      <c r="J512" s="5"/>
    </row>
    <row r="513" ht="15.75" customHeight="1">
      <c r="B513" s="2"/>
      <c r="D513" s="7"/>
      <c r="E513" s="7"/>
      <c r="J513" s="5"/>
    </row>
    <row r="514" ht="15.75" customHeight="1">
      <c r="B514" s="2"/>
      <c r="D514" s="7"/>
      <c r="E514" s="7"/>
      <c r="J514" s="5"/>
    </row>
    <row r="515" ht="15.75" customHeight="1">
      <c r="B515" s="2"/>
      <c r="D515" s="7"/>
      <c r="E515" s="7"/>
      <c r="J515" s="5"/>
    </row>
    <row r="516" ht="15.75" customHeight="1">
      <c r="B516" s="2"/>
      <c r="D516" s="7"/>
      <c r="E516" s="7"/>
      <c r="J516" s="5"/>
    </row>
    <row r="517" ht="15.75" customHeight="1">
      <c r="B517" s="2"/>
      <c r="D517" s="7"/>
      <c r="E517" s="7"/>
      <c r="J517" s="5"/>
    </row>
    <row r="518" ht="15.75" customHeight="1">
      <c r="B518" s="2"/>
      <c r="D518" s="7"/>
      <c r="E518" s="7"/>
      <c r="J518" s="5"/>
    </row>
    <row r="519" ht="15.75" customHeight="1">
      <c r="B519" s="2"/>
      <c r="D519" s="7"/>
      <c r="E519" s="7"/>
      <c r="J519" s="5"/>
    </row>
    <row r="520" ht="15.75" customHeight="1">
      <c r="B520" s="2"/>
      <c r="D520" s="7"/>
      <c r="E520" s="7"/>
      <c r="J520" s="5"/>
    </row>
    <row r="521" ht="15.75" customHeight="1">
      <c r="B521" s="2"/>
      <c r="D521" s="7"/>
      <c r="E521" s="7"/>
      <c r="J521" s="5"/>
    </row>
    <row r="522" ht="15.75" customHeight="1">
      <c r="B522" s="2"/>
      <c r="D522" s="7"/>
      <c r="E522" s="7"/>
      <c r="J522" s="5"/>
    </row>
    <row r="523" ht="15.75" customHeight="1">
      <c r="B523" s="2"/>
      <c r="D523" s="7"/>
      <c r="E523" s="7"/>
      <c r="J523" s="5"/>
    </row>
    <row r="524" ht="15.75" customHeight="1">
      <c r="B524" s="2"/>
      <c r="D524" s="7"/>
      <c r="E524" s="7"/>
      <c r="J524" s="5"/>
    </row>
    <row r="525" ht="15.75" customHeight="1">
      <c r="B525" s="2"/>
      <c r="D525" s="7"/>
      <c r="E525" s="7"/>
      <c r="J525" s="5"/>
    </row>
    <row r="526" ht="15.75" customHeight="1">
      <c r="B526" s="2"/>
      <c r="D526" s="7"/>
      <c r="E526" s="7"/>
      <c r="J526" s="5"/>
    </row>
    <row r="527" ht="15.75" customHeight="1">
      <c r="B527" s="2"/>
      <c r="D527" s="7"/>
      <c r="E527" s="7"/>
      <c r="J527" s="5"/>
    </row>
    <row r="528" ht="15.75" customHeight="1">
      <c r="B528" s="2"/>
      <c r="D528" s="7"/>
      <c r="E528" s="7"/>
      <c r="J528" s="5"/>
    </row>
    <row r="529" ht="15.75" customHeight="1">
      <c r="B529" s="2"/>
      <c r="D529" s="7"/>
      <c r="E529" s="7"/>
      <c r="J529" s="5"/>
    </row>
    <row r="530" ht="15.75" customHeight="1">
      <c r="B530" s="2"/>
      <c r="D530" s="7"/>
      <c r="E530" s="7"/>
      <c r="J530" s="5"/>
    </row>
    <row r="531" ht="15.75" customHeight="1">
      <c r="B531" s="2"/>
      <c r="D531" s="7"/>
      <c r="E531" s="7"/>
      <c r="J531" s="5"/>
    </row>
    <row r="532" ht="15.75" customHeight="1">
      <c r="B532" s="2"/>
      <c r="D532" s="7"/>
      <c r="E532" s="7"/>
      <c r="J532" s="5"/>
    </row>
    <row r="533" ht="15.75" customHeight="1">
      <c r="B533" s="2"/>
      <c r="D533" s="7"/>
      <c r="E533" s="7"/>
      <c r="J533" s="5"/>
    </row>
    <row r="534" ht="15.75" customHeight="1">
      <c r="B534" s="2"/>
      <c r="D534" s="7"/>
      <c r="E534" s="7"/>
      <c r="J534" s="5"/>
    </row>
    <row r="535" ht="15.75" customHeight="1">
      <c r="B535" s="2"/>
      <c r="D535" s="7"/>
      <c r="E535" s="7"/>
      <c r="J535" s="5"/>
    </row>
    <row r="536" ht="15.75" customHeight="1">
      <c r="B536" s="2"/>
      <c r="D536" s="7"/>
      <c r="E536" s="7"/>
      <c r="J536" s="5"/>
    </row>
    <row r="537" ht="15.75" customHeight="1">
      <c r="B537" s="2"/>
      <c r="D537" s="7"/>
      <c r="E537" s="7"/>
      <c r="J537" s="5"/>
    </row>
    <row r="538" ht="15.75" customHeight="1">
      <c r="B538" s="2"/>
      <c r="D538" s="7"/>
      <c r="E538" s="7"/>
      <c r="J538" s="5"/>
    </row>
    <row r="539" ht="15.75" customHeight="1">
      <c r="B539" s="2"/>
      <c r="D539" s="7"/>
      <c r="E539" s="7"/>
      <c r="J539" s="5"/>
    </row>
    <row r="540" ht="15.75" customHeight="1">
      <c r="B540" s="2"/>
      <c r="D540" s="7"/>
      <c r="E540" s="7"/>
      <c r="J540" s="5"/>
    </row>
    <row r="541" ht="15.75" customHeight="1">
      <c r="B541" s="2"/>
      <c r="D541" s="7"/>
      <c r="E541" s="7"/>
      <c r="J541" s="5"/>
    </row>
    <row r="542" ht="15.75" customHeight="1">
      <c r="B542" s="2"/>
      <c r="D542" s="7"/>
      <c r="E542" s="7"/>
      <c r="J542" s="5"/>
    </row>
    <row r="543" ht="15.75" customHeight="1">
      <c r="B543" s="2"/>
      <c r="D543" s="7"/>
      <c r="E543" s="7"/>
      <c r="J543" s="5"/>
    </row>
    <row r="544" ht="15.75" customHeight="1">
      <c r="B544" s="2"/>
      <c r="D544" s="7"/>
      <c r="E544" s="7"/>
      <c r="J544" s="5"/>
    </row>
    <row r="545" ht="15.75" customHeight="1">
      <c r="B545" s="2"/>
      <c r="D545" s="7"/>
      <c r="E545" s="7"/>
      <c r="J545" s="5"/>
    </row>
    <row r="546" ht="15.75" customHeight="1">
      <c r="B546" s="2"/>
      <c r="D546" s="7"/>
      <c r="E546" s="7"/>
      <c r="J546" s="5"/>
    </row>
    <row r="547" ht="15.75" customHeight="1">
      <c r="B547" s="2"/>
      <c r="D547" s="7"/>
      <c r="E547" s="7"/>
      <c r="J547" s="5"/>
    </row>
    <row r="548" ht="15.75" customHeight="1">
      <c r="B548" s="2"/>
      <c r="D548" s="7"/>
      <c r="E548" s="7"/>
      <c r="J548" s="5"/>
    </row>
    <row r="549" ht="15.75" customHeight="1">
      <c r="B549" s="2"/>
      <c r="D549" s="7"/>
      <c r="E549" s="7"/>
      <c r="J549" s="5"/>
    </row>
    <row r="550" ht="15.75" customHeight="1">
      <c r="B550" s="2"/>
      <c r="D550" s="7"/>
      <c r="E550" s="7"/>
      <c r="J550" s="5"/>
    </row>
    <row r="551" ht="15.75" customHeight="1">
      <c r="B551" s="2"/>
      <c r="D551" s="7"/>
      <c r="E551" s="7"/>
      <c r="J551" s="5"/>
    </row>
    <row r="552" ht="15.75" customHeight="1">
      <c r="B552" s="2"/>
      <c r="D552" s="7"/>
      <c r="E552" s="7"/>
      <c r="J552" s="5"/>
    </row>
    <row r="553" ht="15.75" customHeight="1">
      <c r="B553" s="2"/>
      <c r="D553" s="7"/>
      <c r="E553" s="7"/>
      <c r="J553" s="5"/>
    </row>
    <row r="554" ht="15.75" customHeight="1">
      <c r="B554" s="2"/>
      <c r="D554" s="7"/>
      <c r="E554" s="7"/>
      <c r="J554" s="5"/>
    </row>
    <row r="555" ht="15.75" customHeight="1">
      <c r="B555" s="2"/>
      <c r="D555" s="7"/>
      <c r="E555" s="7"/>
      <c r="J555" s="5"/>
    </row>
    <row r="556" ht="15.75" customHeight="1">
      <c r="B556" s="2"/>
      <c r="D556" s="7"/>
      <c r="E556" s="7"/>
      <c r="J556" s="5"/>
    </row>
    <row r="557" ht="15.75" customHeight="1">
      <c r="B557" s="2"/>
      <c r="D557" s="7"/>
      <c r="E557" s="7"/>
      <c r="J557" s="5"/>
    </row>
    <row r="558" ht="15.75" customHeight="1">
      <c r="B558" s="2"/>
      <c r="D558" s="7"/>
      <c r="E558" s="7"/>
      <c r="J558" s="5"/>
    </row>
    <row r="559" ht="15.75" customHeight="1">
      <c r="B559" s="2"/>
      <c r="D559" s="7"/>
      <c r="E559" s="7"/>
      <c r="J559" s="5"/>
    </row>
    <row r="560" ht="15.75" customHeight="1">
      <c r="B560" s="2"/>
      <c r="D560" s="7"/>
      <c r="E560" s="7"/>
      <c r="J560" s="5"/>
    </row>
    <row r="561" ht="15.75" customHeight="1">
      <c r="B561" s="2"/>
      <c r="D561" s="7"/>
      <c r="E561" s="7"/>
      <c r="J561" s="5"/>
    </row>
    <row r="562" ht="15.75" customHeight="1">
      <c r="B562" s="2"/>
      <c r="D562" s="7"/>
      <c r="E562" s="7"/>
      <c r="J562" s="5"/>
    </row>
    <row r="563" ht="15.75" customHeight="1">
      <c r="B563" s="2"/>
      <c r="D563" s="7"/>
      <c r="E563" s="7"/>
      <c r="J563" s="5"/>
    </row>
    <row r="564" ht="15.75" customHeight="1">
      <c r="B564" s="2"/>
      <c r="D564" s="7"/>
      <c r="E564" s="7"/>
      <c r="J564" s="5"/>
    </row>
    <row r="565" ht="15.75" customHeight="1">
      <c r="B565" s="2"/>
      <c r="D565" s="7"/>
      <c r="E565" s="7"/>
      <c r="J565" s="5"/>
    </row>
    <row r="566" ht="15.75" customHeight="1">
      <c r="B566" s="2"/>
      <c r="D566" s="7"/>
      <c r="E566" s="7"/>
      <c r="J566" s="5"/>
    </row>
    <row r="567" ht="15.75" customHeight="1">
      <c r="B567" s="2"/>
      <c r="D567" s="7"/>
      <c r="E567" s="7"/>
      <c r="J567" s="5"/>
    </row>
    <row r="568" ht="15.75" customHeight="1">
      <c r="B568" s="2"/>
      <c r="D568" s="7"/>
      <c r="E568" s="7"/>
      <c r="J568" s="5"/>
    </row>
    <row r="569" ht="15.75" customHeight="1">
      <c r="B569" s="2"/>
      <c r="D569" s="7"/>
      <c r="E569" s="7"/>
      <c r="J569" s="5"/>
    </row>
    <row r="570" ht="15.75" customHeight="1">
      <c r="B570" s="2"/>
      <c r="D570" s="7"/>
      <c r="E570" s="7"/>
      <c r="J570" s="5"/>
    </row>
    <row r="571" ht="15.75" customHeight="1">
      <c r="B571" s="2"/>
      <c r="D571" s="7"/>
      <c r="E571" s="7"/>
      <c r="J571" s="5"/>
    </row>
    <row r="572" ht="15.75" customHeight="1">
      <c r="B572" s="2"/>
      <c r="D572" s="7"/>
      <c r="E572" s="7"/>
      <c r="J572" s="5"/>
    </row>
    <row r="573" ht="15.75" customHeight="1">
      <c r="B573" s="2"/>
      <c r="D573" s="7"/>
      <c r="E573" s="7"/>
      <c r="J573" s="5"/>
    </row>
    <row r="574" ht="15.75" customHeight="1">
      <c r="B574" s="2"/>
      <c r="D574" s="7"/>
      <c r="E574" s="7"/>
      <c r="J574" s="5"/>
    </row>
    <row r="575" ht="15.75" customHeight="1">
      <c r="B575" s="2"/>
      <c r="D575" s="7"/>
      <c r="E575" s="7"/>
      <c r="J575" s="5"/>
    </row>
    <row r="576" ht="15.75" customHeight="1">
      <c r="B576" s="2"/>
      <c r="D576" s="7"/>
      <c r="E576" s="7"/>
      <c r="J576" s="5"/>
    </row>
    <row r="577" ht="15.75" customHeight="1">
      <c r="B577" s="2"/>
      <c r="D577" s="7"/>
      <c r="E577" s="7"/>
      <c r="J577" s="5"/>
    </row>
    <row r="578" ht="15.75" customHeight="1">
      <c r="B578" s="2"/>
      <c r="D578" s="7"/>
      <c r="E578" s="7"/>
      <c r="J578" s="5"/>
    </row>
    <row r="579" ht="15.75" customHeight="1">
      <c r="B579" s="2"/>
      <c r="D579" s="7"/>
      <c r="E579" s="7"/>
      <c r="J579" s="5"/>
    </row>
    <row r="580" ht="15.75" customHeight="1">
      <c r="B580" s="2"/>
      <c r="D580" s="7"/>
      <c r="E580" s="7"/>
      <c r="J580" s="5"/>
    </row>
    <row r="581" ht="15.75" customHeight="1">
      <c r="B581" s="2"/>
      <c r="D581" s="7"/>
      <c r="E581" s="7"/>
      <c r="J581" s="5"/>
    </row>
    <row r="582" ht="15.75" customHeight="1">
      <c r="B582" s="2"/>
      <c r="D582" s="7"/>
      <c r="E582" s="7"/>
      <c r="J582" s="5"/>
    </row>
    <row r="583" ht="15.75" customHeight="1">
      <c r="B583" s="2"/>
      <c r="D583" s="7"/>
      <c r="E583" s="7"/>
      <c r="J583" s="5"/>
    </row>
    <row r="584" ht="15.75" customHeight="1">
      <c r="B584" s="2"/>
      <c r="D584" s="7"/>
      <c r="E584" s="7"/>
      <c r="J584" s="5"/>
    </row>
    <row r="585" ht="15.75" customHeight="1">
      <c r="B585" s="2"/>
      <c r="D585" s="7"/>
      <c r="E585" s="7"/>
      <c r="J585" s="5"/>
    </row>
    <row r="586" ht="15.75" customHeight="1">
      <c r="B586" s="2"/>
      <c r="D586" s="7"/>
      <c r="E586" s="7"/>
      <c r="J586" s="5"/>
    </row>
    <row r="587" ht="15.75" customHeight="1">
      <c r="B587" s="2"/>
      <c r="D587" s="7"/>
      <c r="E587" s="7"/>
      <c r="J587" s="5"/>
    </row>
    <row r="588" ht="15.75" customHeight="1">
      <c r="B588" s="2"/>
      <c r="D588" s="7"/>
      <c r="E588" s="7"/>
      <c r="J588" s="5"/>
    </row>
    <row r="589" ht="15.75" customHeight="1">
      <c r="B589" s="2"/>
      <c r="D589" s="7"/>
      <c r="E589" s="7"/>
      <c r="J589" s="5"/>
    </row>
    <row r="590" ht="15.75" customHeight="1">
      <c r="B590" s="2"/>
      <c r="D590" s="7"/>
      <c r="E590" s="7"/>
      <c r="J590" s="5"/>
    </row>
    <row r="591" ht="15.75" customHeight="1">
      <c r="B591" s="2"/>
      <c r="D591" s="7"/>
      <c r="E591" s="7"/>
      <c r="J591" s="5"/>
    </row>
    <row r="592" ht="15.75" customHeight="1">
      <c r="B592" s="2"/>
      <c r="D592" s="7"/>
      <c r="E592" s="7"/>
      <c r="J592" s="5"/>
    </row>
    <row r="593" ht="15.75" customHeight="1">
      <c r="B593" s="2"/>
      <c r="D593" s="7"/>
      <c r="E593" s="7"/>
      <c r="J593" s="5"/>
    </row>
    <row r="594" ht="15.75" customHeight="1">
      <c r="B594" s="2"/>
      <c r="D594" s="7"/>
      <c r="E594" s="7"/>
      <c r="J594" s="5"/>
    </row>
    <row r="595" ht="15.75" customHeight="1">
      <c r="B595" s="2"/>
      <c r="D595" s="7"/>
      <c r="E595" s="7"/>
      <c r="J595" s="5"/>
    </row>
    <row r="596" ht="15.75" customHeight="1">
      <c r="B596" s="2"/>
      <c r="D596" s="7"/>
      <c r="E596" s="7"/>
      <c r="J596" s="5"/>
    </row>
    <row r="597" ht="15.75" customHeight="1">
      <c r="B597" s="2"/>
      <c r="D597" s="7"/>
      <c r="E597" s="7"/>
      <c r="J597" s="5"/>
    </row>
    <row r="598" ht="15.75" customHeight="1">
      <c r="B598" s="2"/>
      <c r="D598" s="7"/>
      <c r="E598" s="7"/>
      <c r="J598" s="5"/>
    </row>
    <row r="599" ht="15.75" customHeight="1">
      <c r="B599" s="2"/>
      <c r="D599" s="7"/>
      <c r="E599" s="7"/>
      <c r="J599" s="5"/>
    </row>
    <row r="600" ht="15.75" customHeight="1">
      <c r="B600" s="2"/>
      <c r="D600" s="7"/>
      <c r="E600" s="7"/>
      <c r="J600" s="5"/>
    </row>
    <row r="601" ht="15.75" customHeight="1">
      <c r="B601" s="2"/>
      <c r="D601" s="7"/>
      <c r="E601" s="7"/>
      <c r="J601" s="5"/>
    </row>
    <row r="602" ht="15.75" customHeight="1">
      <c r="B602" s="2"/>
      <c r="D602" s="7"/>
      <c r="E602" s="7"/>
      <c r="J602" s="5"/>
    </row>
    <row r="603" ht="15.75" customHeight="1">
      <c r="B603" s="2"/>
      <c r="D603" s="7"/>
      <c r="E603" s="7"/>
      <c r="J603" s="5"/>
    </row>
    <row r="604" ht="15.75" customHeight="1">
      <c r="B604" s="2"/>
      <c r="D604" s="7"/>
      <c r="E604" s="7"/>
      <c r="J604" s="5"/>
    </row>
    <row r="605" ht="15.75" customHeight="1">
      <c r="B605" s="2"/>
      <c r="D605" s="7"/>
      <c r="E605" s="7"/>
      <c r="J605" s="5"/>
    </row>
    <row r="606" ht="15.75" customHeight="1">
      <c r="B606" s="2"/>
      <c r="D606" s="7"/>
      <c r="E606" s="7"/>
      <c r="J606" s="5"/>
    </row>
    <row r="607" ht="15.75" customHeight="1">
      <c r="B607" s="2"/>
      <c r="D607" s="7"/>
      <c r="E607" s="7"/>
      <c r="J607" s="5"/>
    </row>
    <row r="608" ht="15.75" customHeight="1">
      <c r="B608" s="2"/>
      <c r="D608" s="7"/>
      <c r="E608" s="7"/>
      <c r="J608" s="5"/>
    </row>
    <row r="609" ht="15.75" customHeight="1">
      <c r="B609" s="2"/>
      <c r="D609" s="7"/>
      <c r="E609" s="7"/>
      <c r="J609" s="5"/>
    </row>
    <row r="610" ht="15.75" customHeight="1">
      <c r="B610" s="2"/>
      <c r="D610" s="7"/>
      <c r="E610" s="7"/>
      <c r="J610" s="5"/>
    </row>
    <row r="611" ht="15.75" customHeight="1">
      <c r="B611" s="2"/>
      <c r="D611" s="7"/>
      <c r="E611" s="7"/>
      <c r="J611" s="5"/>
    </row>
    <row r="612" ht="15.75" customHeight="1">
      <c r="B612" s="2"/>
      <c r="D612" s="7"/>
      <c r="E612" s="7"/>
      <c r="J612" s="5"/>
    </row>
    <row r="613" ht="15.75" customHeight="1">
      <c r="B613" s="2"/>
      <c r="D613" s="7"/>
      <c r="E613" s="7"/>
      <c r="J613" s="5"/>
    </row>
    <row r="614" ht="15.75" customHeight="1">
      <c r="B614" s="2"/>
      <c r="D614" s="7"/>
      <c r="E614" s="7"/>
      <c r="J614" s="5"/>
    </row>
    <row r="615" ht="15.75" customHeight="1">
      <c r="B615" s="2"/>
      <c r="D615" s="7"/>
      <c r="E615" s="7"/>
      <c r="J615" s="5"/>
    </row>
    <row r="616" ht="15.75" customHeight="1">
      <c r="B616" s="2"/>
      <c r="D616" s="7"/>
      <c r="E616" s="7"/>
      <c r="J616" s="5"/>
    </row>
    <row r="617" ht="15.75" customHeight="1">
      <c r="B617" s="2"/>
      <c r="D617" s="7"/>
      <c r="E617" s="7"/>
      <c r="J617" s="5"/>
    </row>
    <row r="618" ht="15.75" customHeight="1">
      <c r="B618" s="2"/>
      <c r="D618" s="7"/>
      <c r="E618" s="7"/>
      <c r="J618" s="5"/>
    </row>
    <row r="619" ht="15.75" customHeight="1">
      <c r="B619" s="2"/>
      <c r="D619" s="7"/>
      <c r="E619" s="7"/>
      <c r="J619" s="5"/>
    </row>
    <row r="620" ht="15.75" customHeight="1">
      <c r="B620" s="2"/>
      <c r="D620" s="7"/>
      <c r="E620" s="7"/>
      <c r="J620" s="5"/>
    </row>
    <row r="621" ht="15.75" customHeight="1">
      <c r="B621" s="2"/>
      <c r="D621" s="7"/>
      <c r="E621" s="7"/>
      <c r="J621" s="5"/>
    </row>
    <row r="622" ht="15.75" customHeight="1">
      <c r="B622" s="2"/>
      <c r="D622" s="7"/>
      <c r="E622" s="7"/>
      <c r="J622" s="5"/>
    </row>
    <row r="623" ht="15.75" customHeight="1">
      <c r="B623" s="2"/>
      <c r="D623" s="7"/>
      <c r="E623" s="7"/>
      <c r="J623" s="5"/>
    </row>
    <row r="624" ht="15.75" customHeight="1">
      <c r="B624" s="2"/>
      <c r="D624" s="7"/>
      <c r="E624" s="7"/>
      <c r="J624" s="5"/>
    </row>
    <row r="625" ht="15.75" customHeight="1">
      <c r="B625" s="2"/>
      <c r="D625" s="7"/>
      <c r="E625" s="7"/>
      <c r="J625" s="5"/>
    </row>
    <row r="626" ht="15.75" customHeight="1">
      <c r="B626" s="2"/>
      <c r="D626" s="7"/>
      <c r="E626" s="7"/>
      <c r="J626" s="5"/>
    </row>
    <row r="627" ht="15.75" customHeight="1">
      <c r="B627" s="2"/>
      <c r="D627" s="7"/>
      <c r="E627" s="7"/>
      <c r="J627" s="5"/>
    </row>
    <row r="628" ht="15.75" customHeight="1">
      <c r="B628" s="2"/>
      <c r="D628" s="7"/>
      <c r="E628" s="7"/>
      <c r="J628" s="5"/>
    </row>
    <row r="629" ht="15.75" customHeight="1">
      <c r="B629" s="2"/>
      <c r="D629" s="7"/>
      <c r="E629" s="7"/>
      <c r="J629" s="5"/>
    </row>
    <row r="630" ht="15.75" customHeight="1">
      <c r="B630" s="2"/>
      <c r="D630" s="7"/>
      <c r="E630" s="7"/>
      <c r="J630" s="5"/>
    </row>
    <row r="631" ht="15.75" customHeight="1">
      <c r="B631" s="2"/>
      <c r="D631" s="7"/>
      <c r="E631" s="7"/>
      <c r="J631" s="5"/>
    </row>
    <row r="632" ht="15.75" customHeight="1">
      <c r="B632" s="2"/>
      <c r="D632" s="7"/>
      <c r="E632" s="7"/>
      <c r="J632" s="5"/>
    </row>
    <row r="633" ht="15.75" customHeight="1">
      <c r="B633" s="2"/>
      <c r="D633" s="7"/>
      <c r="E633" s="7"/>
      <c r="J633" s="5"/>
    </row>
    <row r="634" ht="15.75" customHeight="1">
      <c r="B634" s="2"/>
      <c r="D634" s="7"/>
      <c r="E634" s="7"/>
      <c r="J634" s="5"/>
    </row>
    <row r="635" ht="15.75" customHeight="1">
      <c r="B635" s="2"/>
      <c r="D635" s="7"/>
      <c r="E635" s="7"/>
      <c r="J635" s="5"/>
    </row>
    <row r="636" ht="15.75" customHeight="1">
      <c r="B636" s="2"/>
      <c r="D636" s="7"/>
      <c r="E636" s="7"/>
      <c r="J636" s="5"/>
    </row>
    <row r="637" ht="15.75" customHeight="1">
      <c r="B637" s="2"/>
      <c r="D637" s="7"/>
      <c r="E637" s="7"/>
      <c r="J637" s="5"/>
    </row>
    <row r="638" ht="15.75" customHeight="1">
      <c r="B638" s="2"/>
      <c r="D638" s="7"/>
      <c r="E638" s="7"/>
      <c r="J638" s="5"/>
    </row>
    <row r="639" ht="15.75" customHeight="1">
      <c r="B639" s="2"/>
      <c r="D639" s="7"/>
      <c r="E639" s="7"/>
      <c r="J639" s="5"/>
    </row>
    <row r="640" ht="15.75" customHeight="1">
      <c r="B640" s="2"/>
      <c r="D640" s="7"/>
      <c r="E640" s="7"/>
      <c r="J640" s="5"/>
    </row>
    <row r="641" ht="15.75" customHeight="1">
      <c r="B641" s="2"/>
      <c r="D641" s="7"/>
      <c r="E641" s="7"/>
      <c r="J641" s="5"/>
    </row>
    <row r="642" ht="15.75" customHeight="1">
      <c r="B642" s="2"/>
      <c r="D642" s="7"/>
      <c r="E642" s="7"/>
      <c r="J642" s="5"/>
    </row>
    <row r="643" ht="15.75" customHeight="1">
      <c r="B643" s="2"/>
      <c r="D643" s="7"/>
      <c r="E643" s="7"/>
      <c r="J643" s="5"/>
    </row>
    <row r="644" ht="15.75" customHeight="1">
      <c r="B644" s="2"/>
      <c r="D644" s="7"/>
      <c r="E644" s="7"/>
      <c r="J644" s="5"/>
    </row>
    <row r="645" ht="15.75" customHeight="1">
      <c r="B645" s="2"/>
      <c r="D645" s="7"/>
      <c r="E645" s="7"/>
      <c r="J645" s="5"/>
    </row>
    <row r="646" ht="15.75" customHeight="1">
      <c r="B646" s="2"/>
      <c r="D646" s="7"/>
      <c r="E646" s="7"/>
      <c r="J646" s="5"/>
    </row>
    <row r="647" ht="15.75" customHeight="1">
      <c r="B647" s="2"/>
      <c r="D647" s="7"/>
      <c r="E647" s="7"/>
      <c r="J647" s="5"/>
    </row>
    <row r="648" ht="15.75" customHeight="1">
      <c r="B648" s="2"/>
      <c r="D648" s="7"/>
      <c r="E648" s="7"/>
      <c r="J648" s="5"/>
    </row>
    <row r="649" ht="15.75" customHeight="1">
      <c r="B649" s="2"/>
      <c r="D649" s="7"/>
      <c r="E649" s="7"/>
      <c r="J649" s="5"/>
    </row>
    <row r="650" ht="15.75" customHeight="1">
      <c r="B650" s="2"/>
      <c r="D650" s="7"/>
      <c r="E650" s="7"/>
      <c r="J650" s="5"/>
    </row>
    <row r="651" ht="15.75" customHeight="1">
      <c r="B651" s="2"/>
      <c r="D651" s="7"/>
      <c r="E651" s="7"/>
      <c r="J651" s="5"/>
    </row>
    <row r="652" ht="15.75" customHeight="1">
      <c r="B652" s="2"/>
      <c r="D652" s="7"/>
      <c r="E652" s="7"/>
      <c r="J652" s="5"/>
    </row>
    <row r="653" ht="15.75" customHeight="1">
      <c r="B653" s="2"/>
      <c r="D653" s="7"/>
      <c r="E653" s="7"/>
      <c r="J653" s="5"/>
    </row>
    <row r="654" ht="15.75" customHeight="1">
      <c r="B654" s="2"/>
      <c r="D654" s="7"/>
      <c r="E654" s="7"/>
      <c r="J654" s="5"/>
    </row>
    <row r="655" ht="15.75" customHeight="1">
      <c r="B655" s="2"/>
      <c r="D655" s="7"/>
      <c r="E655" s="7"/>
      <c r="J655" s="5"/>
    </row>
    <row r="656" ht="15.75" customHeight="1">
      <c r="B656" s="2"/>
      <c r="D656" s="7"/>
      <c r="E656" s="7"/>
      <c r="J656" s="5"/>
    </row>
    <row r="657" ht="15.75" customHeight="1">
      <c r="B657" s="2"/>
      <c r="D657" s="7"/>
      <c r="E657" s="7"/>
      <c r="J657" s="5"/>
    </row>
    <row r="658" ht="15.75" customHeight="1">
      <c r="B658" s="2"/>
      <c r="D658" s="7"/>
      <c r="E658" s="7"/>
      <c r="J658" s="5"/>
    </row>
    <row r="659" ht="15.75" customHeight="1">
      <c r="B659" s="2"/>
      <c r="D659" s="7"/>
      <c r="E659" s="7"/>
      <c r="J659" s="5"/>
    </row>
    <row r="660" ht="15.75" customHeight="1">
      <c r="B660" s="2"/>
      <c r="D660" s="7"/>
      <c r="E660" s="7"/>
      <c r="J660" s="5"/>
    </row>
    <row r="661" ht="15.75" customHeight="1">
      <c r="B661" s="2"/>
      <c r="D661" s="7"/>
      <c r="E661" s="7"/>
      <c r="J661" s="5"/>
    </row>
    <row r="662" ht="15.75" customHeight="1">
      <c r="B662" s="2"/>
      <c r="D662" s="7"/>
      <c r="E662" s="7"/>
      <c r="J662" s="5"/>
    </row>
    <row r="663" ht="15.75" customHeight="1">
      <c r="B663" s="2"/>
      <c r="D663" s="7"/>
      <c r="E663" s="7"/>
      <c r="J663" s="5"/>
    </row>
    <row r="664" ht="15.75" customHeight="1">
      <c r="B664" s="2"/>
      <c r="D664" s="7"/>
      <c r="E664" s="7"/>
      <c r="J664" s="5"/>
    </row>
    <row r="665" ht="15.75" customHeight="1">
      <c r="B665" s="2"/>
      <c r="D665" s="7"/>
      <c r="E665" s="7"/>
      <c r="J665" s="5"/>
    </row>
    <row r="666" ht="15.75" customHeight="1">
      <c r="B666" s="2"/>
      <c r="D666" s="7"/>
      <c r="E666" s="7"/>
      <c r="J666" s="5"/>
    </row>
    <row r="667" ht="15.75" customHeight="1">
      <c r="B667" s="2"/>
      <c r="D667" s="7"/>
      <c r="E667" s="7"/>
      <c r="J667" s="5"/>
    </row>
    <row r="668" ht="15.75" customHeight="1">
      <c r="B668" s="2"/>
      <c r="D668" s="7"/>
      <c r="E668" s="7"/>
      <c r="J668" s="5"/>
    </row>
    <row r="669" ht="15.75" customHeight="1">
      <c r="B669" s="2"/>
      <c r="D669" s="7"/>
      <c r="E669" s="7"/>
      <c r="J669" s="5"/>
    </row>
    <row r="670" ht="15.75" customHeight="1">
      <c r="B670" s="2"/>
      <c r="D670" s="7"/>
      <c r="E670" s="7"/>
      <c r="J670" s="5"/>
    </row>
    <row r="671" ht="15.75" customHeight="1">
      <c r="B671" s="2"/>
      <c r="D671" s="7"/>
      <c r="E671" s="7"/>
      <c r="J671" s="5"/>
    </row>
    <row r="672" ht="15.75" customHeight="1">
      <c r="B672" s="2"/>
      <c r="D672" s="7"/>
      <c r="E672" s="7"/>
      <c r="J672" s="5"/>
    </row>
    <row r="673" ht="15.75" customHeight="1">
      <c r="B673" s="2"/>
      <c r="D673" s="7"/>
      <c r="E673" s="7"/>
      <c r="J673" s="5"/>
    </row>
    <row r="674" ht="15.75" customHeight="1">
      <c r="B674" s="2"/>
      <c r="D674" s="7"/>
      <c r="E674" s="7"/>
      <c r="J674" s="5"/>
    </row>
    <row r="675" ht="15.75" customHeight="1">
      <c r="B675" s="2"/>
      <c r="D675" s="7"/>
      <c r="E675" s="7"/>
      <c r="J675" s="5"/>
    </row>
    <row r="676" ht="15.75" customHeight="1">
      <c r="B676" s="2"/>
      <c r="D676" s="7"/>
      <c r="E676" s="7"/>
      <c r="J676" s="5"/>
    </row>
    <row r="677" ht="15.75" customHeight="1">
      <c r="B677" s="2"/>
      <c r="D677" s="7"/>
      <c r="E677" s="7"/>
      <c r="J677" s="5"/>
    </row>
    <row r="678" ht="15.75" customHeight="1">
      <c r="B678" s="2"/>
      <c r="D678" s="7"/>
      <c r="E678" s="7"/>
      <c r="J678" s="5"/>
    </row>
    <row r="679" ht="15.75" customHeight="1">
      <c r="B679" s="2"/>
      <c r="D679" s="7"/>
      <c r="E679" s="7"/>
      <c r="J679" s="5"/>
    </row>
    <row r="680" ht="15.75" customHeight="1">
      <c r="B680" s="2"/>
      <c r="D680" s="7"/>
      <c r="E680" s="7"/>
      <c r="J680" s="5"/>
    </row>
    <row r="681" ht="15.75" customHeight="1">
      <c r="B681" s="2"/>
      <c r="D681" s="7"/>
      <c r="E681" s="7"/>
      <c r="J681" s="5"/>
    </row>
    <row r="682" ht="15.75" customHeight="1">
      <c r="B682" s="2"/>
      <c r="D682" s="7"/>
      <c r="E682" s="7"/>
      <c r="J682" s="5"/>
    </row>
    <row r="683" ht="15.75" customHeight="1">
      <c r="B683" s="2"/>
      <c r="D683" s="7"/>
      <c r="E683" s="7"/>
      <c r="J683" s="5"/>
    </row>
    <row r="684" ht="15.75" customHeight="1">
      <c r="B684" s="2"/>
      <c r="D684" s="7"/>
      <c r="E684" s="7"/>
      <c r="J684" s="5"/>
    </row>
    <row r="685" ht="15.75" customHeight="1">
      <c r="B685" s="2"/>
      <c r="D685" s="7"/>
      <c r="E685" s="7"/>
      <c r="J685" s="5"/>
    </row>
    <row r="686" ht="15.75" customHeight="1">
      <c r="B686" s="2"/>
      <c r="D686" s="7"/>
      <c r="E686" s="7"/>
      <c r="J686" s="5"/>
    </row>
    <row r="687" ht="15.75" customHeight="1">
      <c r="B687" s="2"/>
      <c r="D687" s="7"/>
      <c r="E687" s="7"/>
      <c r="J687" s="5"/>
    </row>
    <row r="688" ht="15.75" customHeight="1">
      <c r="B688" s="2"/>
      <c r="D688" s="7"/>
      <c r="E688" s="7"/>
      <c r="J688" s="5"/>
    </row>
    <row r="689" ht="15.75" customHeight="1">
      <c r="B689" s="2"/>
      <c r="D689" s="7"/>
      <c r="E689" s="7"/>
      <c r="J689" s="5"/>
    </row>
    <row r="690" ht="15.75" customHeight="1">
      <c r="B690" s="2"/>
      <c r="D690" s="7"/>
      <c r="E690" s="7"/>
      <c r="J690" s="5"/>
    </row>
    <row r="691" ht="15.75" customHeight="1">
      <c r="B691" s="2"/>
      <c r="D691" s="7"/>
      <c r="E691" s="7"/>
      <c r="J691" s="5"/>
    </row>
    <row r="692" ht="15.75" customHeight="1">
      <c r="B692" s="2"/>
      <c r="D692" s="7"/>
      <c r="E692" s="7"/>
      <c r="J692" s="5"/>
    </row>
    <row r="693" ht="15.75" customHeight="1">
      <c r="B693" s="2"/>
      <c r="D693" s="7"/>
      <c r="E693" s="7"/>
      <c r="J693" s="5"/>
    </row>
    <row r="694" ht="15.75" customHeight="1">
      <c r="B694" s="2"/>
      <c r="D694" s="7"/>
      <c r="E694" s="7"/>
      <c r="J694" s="5"/>
    </row>
    <row r="695" ht="15.75" customHeight="1">
      <c r="B695" s="2"/>
      <c r="D695" s="7"/>
      <c r="E695" s="7"/>
      <c r="J695" s="5"/>
    </row>
    <row r="696" ht="15.75" customHeight="1">
      <c r="B696" s="2"/>
      <c r="D696" s="7"/>
      <c r="E696" s="7"/>
      <c r="J696" s="5"/>
    </row>
    <row r="697" ht="15.75" customHeight="1">
      <c r="B697" s="2"/>
      <c r="D697" s="7"/>
      <c r="E697" s="7"/>
      <c r="J697" s="5"/>
    </row>
    <row r="698" ht="15.75" customHeight="1">
      <c r="B698" s="2"/>
      <c r="D698" s="7"/>
      <c r="E698" s="7"/>
      <c r="J698" s="5"/>
    </row>
    <row r="699" ht="15.75" customHeight="1">
      <c r="B699" s="2"/>
      <c r="D699" s="7"/>
      <c r="E699" s="7"/>
      <c r="J699" s="5"/>
    </row>
    <row r="700" ht="15.75" customHeight="1">
      <c r="B700" s="2"/>
      <c r="D700" s="7"/>
      <c r="E700" s="7"/>
      <c r="J700" s="5"/>
    </row>
    <row r="701" ht="15.75" customHeight="1">
      <c r="B701" s="2"/>
      <c r="D701" s="7"/>
      <c r="E701" s="7"/>
      <c r="J701" s="5"/>
    </row>
    <row r="702" ht="15.75" customHeight="1">
      <c r="B702" s="2"/>
      <c r="D702" s="7"/>
      <c r="E702" s="7"/>
      <c r="J702" s="5"/>
    </row>
    <row r="703" ht="15.75" customHeight="1">
      <c r="B703" s="2"/>
      <c r="D703" s="7"/>
      <c r="E703" s="7"/>
      <c r="J703" s="5"/>
    </row>
    <row r="704" ht="15.75" customHeight="1">
      <c r="B704" s="2"/>
      <c r="D704" s="7"/>
      <c r="E704" s="7"/>
      <c r="J704" s="5"/>
    </row>
    <row r="705" ht="15.75" customHeight="1">
      <c r="B705" s="2"/>
      <c r="D705" s="7"/>
      <c r="E705" s="7"/>
      <c r="J705" s="5"/>
    </row>
    <row r="706" ht="15.75" customHeight="1">
      <c r="B706" s="2"/>
      <c r="D706" s="7"/>
      <c r="E706" s="7"/>
      <c r="J706" s="5"/>
    </row>
    <row r="707" ht="15.75" customHeight="1">
      <c r="B707" s="2"/>
      <c r="D707" s="7"/>
      <c r="E707" s="7"/>
      <c r="J707" s="5"/>
    </row>
    <row r="708" ht="15.75" customHeight="1">
      <c r="B708" s="2"/>
      <c r="D708" s="7"/>
      <c r="E708" s="7"/>
      <c r="J708" s="5"/>
    </row>
    <row r="709" ht="15.75" customHeight="1">
      <c r="B709" s="2"/>
      <c r="D709" s="7"/>
      <c r="E709" s="7"/>
      <c r="J709" s="5"/>
    </row>
    <row r="710" ht="15.75" customHeight="1">
      <c r="B710" s="2"/>
      <c r="D710" s="7"/>
      <c r="E710" s="7"/>
      <c r="J710" s="5"/>
    </row>
    <row r="711" ht="15.75" customHeight="1">
      <c r="B711" s="2"/>
      <c r="D711" s="7"/>
      <c r="E711" s="7"/>
      <c r="J711" s="5"/>
    </row>
    <row r="712" ht="15.75" customHeight="1">
      <c r="B712" s="2"/>
      <c r="D712" s="7"/>
      <c r="E712" s="7"/>
      <c r="J712" s="5"/>
    </row>
    <row r="713" ht="15.75" customHeight="1">
      <c r="B713" s="2"/>
      <c r="D713" s="7"/>
      <c r="E713" s="7"/>
      <c r="J713" s="5"/>
    </row>
    <row r="714" ht="15.75" customHeight="1">
      <c r="B714" s="2"/>
      <c r="D714" s="7"/>
      <c r="E714" s="7"/>
      <c r="J714" s="5"/>
    </row>
    <row r="715" ht="15.75" customHeight="1">
      <c r="B715" s="2"/>
      <c r="D715" s="7"/>
      <c r="E715" s="7"/>
      <c r="J715" s="5"/>
    </row>
    <row r="716" ht="15.75" customHeight="1">
      <c r="B716" s="2"/>
      <c r="D716" s="7"/>
      <c r="E716" s="7"/>
      <c r="J716" s="5"/>
    </row>
    <row r="717" ht="15.75" customHeight="1">
      <c r="B717" s="2"/>
      <c r="D717" s="7"/>
      <c r="E717" s="7"/>
      <c r="J717" s="5"/>
    </row>
    <row r="718" ht="15.75" customHeight="1">
      <c r="B718" s="2"/>
      <c r="D718" s="7"/>
      <c r="E718" s="7"/>
      <c r="J718" s="5"/>
    </row>
    <row r="719" ht="15.75" customHeight="1">
      <c r="B719" s="2"/>
      <c r="D719" s="7"/>
      <c r="E719" s="7"/>
      <c r="J719" s="5"/>
    </row>
    <row r="720" ht="15.75" customHeight="1">
      <c r="B720" s="2"/>
      <c r="D720" s="7"/>
      <c r="E720" s="7"/>
      <c r="J720" s="5"/>
    </row>
    <row r="721" ht="15.75" customHeight="1">
      <c r="B721" s="2"/>
      <c r="D721" s="7"/>
      <c r="E721" s="7"/>
      <c r="J721" s="5"/>
    </row>
    <row r="722" ht="15.75" customHeight="1">
      <c r="B722" s="2"/>
      <c r="D722" s="7"/>
      <c r="E722" s="7"/>
      <c r="J722" s="5"/>
    </row>
    <row r="723" ht="15.75" customHeight="1">
      <c r="B723" s="2"/>
      <c r="D723" s="7"/>
      <c r="E723" s="7"/>
      <c r="J723" s="5"/>
    </row>
    <row r="724" ht="15.75" customHeight="1">
      <c r="B724" s="2"/>
      <c r="D724" s="7"/>
      <c r="E724" s="7"/>
      <c r="J724" s="5"/>
    </row>
    <row r="725" ht="15.75" customHeight="1">
      <c r="B725" s="2"/>
      <c r="D725" s="7"/>
      <c r="E725" s="7"/>
      <c r="J725" s="5"/>
    </row>
    <row r="726" ht="15.75" customHeight="1">
      <c r="B726" s="2"/>
      <c r="D726" s="7"/>
      <c r="E726" s="7"/>
      <c r="J726" s="5"/>
    </row>
    <row r="727" ht="15.75" customHeight="1">
      <c r="B727" s="2"/>
      <c r="D727" s="7"/>
      <c r="E727" s="7"/>
      <c r="J727" s="5"/>
    </row>
    <row r="728" ht="15.75" customHeight="1">
      <c r="B728" s="2"/>
      <c r="D728" s="7"/>
      <c r="E728" s="7"/>
      <c r="J728" s="5"/>
    </row>
    <row r="729" ht="15.75" customHeight="1">
      <c r="B729" s="2"/>
      <c r="D729" s="7"/>
      <c r="E729" s="7"/>
      <c r="J729" s="5"/>
    </row>
    <row r="730" ht="15.75" customHeight="1">
      <c r="B730" s="2"/>
      <c r="D730" s="7"/>
      <c r="E730" s="7"/>
      <c r="J730" s="5"/>
    </row>
    <row r="731" ht="15.75" customHeight="1">
      <c r="B731" s="2"/>
      <c r="D731" s="7"/>
      <c r="E731" s="7"/>
      <c r="J731" s="5"/>
    </row>
    <row r="732" ht="15.75" customHeight="1">
      <c r="B732" s="2"/>
      <c r="D732" s="7"/>
      <c r="E732" s="7"/>
      <c r="J732" s="5"/>
    </row>
    <row r="733" ht="15.75" customHeight="1">
      <c r="B733" s="2"/>
      <c r="D733" s="7"/>
      <c r="E733" s="7"/>
      <c r="J733" s="5"/>
    </row>
    <row r="734" ht="15.75" customHeight="1">
      <c r="B734" s="2"/>
      <c r="D734" s="7"/>
      <c r="E734" s="7"/>
      <c r="J734" s="5"/>
    </row>
    <row r="735" ht="15.75" customHeight="1">
      <c r="B735" s="2"/>
      <c r="D735" s="7"/>
      <c r="E735" s="7"/>
      <c r="J735" s="5"/>
    </row>
    <row r="736" ht="15.75" customHeight="1">
      <c r="B736" s="2"/>
      <c r="D736" s="7"/>
      <c r="E736" s="7"/>
      <c r="J736" s="5"/>
    </row>
    <row r="737" ht="15.75" customHeight="1">
      <c r="B737" s="2"/>
      <c r="D737" s="7"/>
      <c r="E737" s="7"/>
      <c r="J737" s="5"/>
    </row>
    <row r="738" ht="15.75" customHeight="1">
      <c r="B738" s="2"/>
      <c r="D738" s="7"/>
      <c r="E738" s="7"/>
      <c r="J738" s="5"/>
    </row>
    <row r="739" ht="15.75" customHeight="1">
      <c r="B739" s="2"/>
      <c r="D739" s="7"/>
      <c r="E739" s="7"/>
      <c r="J739" s="5"/>
    </row>
    <row r="740" ht="15.75" customHeight="1">
      <c r="B740" s="2"/>
      <c r="D740" s="7"/>
      <c r="E740" s="7"/>
      <c r="J740" s="5"/>
    </row>
    <row r="741" ht="15.75" customHeight="1">
      <c r="B741" s="2"/>
      <c r="D741" s="7"/>
      <c r="E741" s="7"/>
      <c r="J741" s="5"/>
    </row>
    <row r="742" ht="15.75" customHeight="1">
      <c r="B742" s="2"/>
      <c r="D742" s="7"/>
      <c r="E742" s="7"/>
      <c r="J742" s="5"/>
    </row>
    <row r="743" ht="15.75" customHeight="1">
      <c r="B743" s="2"/>
      <c r="D743" s="7"/>
      <c r="E743" s="7"/>
      <c r="J743" s="5"/>
    </row>
    <row r="744" ht="15.75" customHeight="1">
      <c r="B744" s="2"/>
      <c r="D744" s="7"/>
      <c r="E744" s="7"/>
      <c r="J744" s="5"/>
    </row>
    <row r="745" ht="15.75" customHeight="1">
      <c r="B745" s="2"/>
      <c r="D745" s="7"/>
      <c r="E745" s="7"/>
      <c r="J745" s="5"/>
    </row>
    <row r="746" ht="15.75" customHeight="1">
      <c r="B746" s="2"/>
      <c r="D746" s="7"/>
      <c r="E746" s="7"/>
      <c r="J746" s="5"/>
    </row>
    <row r="747" ht="15.75" customHeight="1">
      <c r="B747" s="2"/>
      <c r="D747" s="7"/>
      <c r="E747" s="7"/>
      <c r="J747" s="5"/>
    </row>
    <row r="748" ht="15.75" customHeight="1">
      <c r="B748" s="2"/>
      <c r="D748" s="7"/>
      <c r="E748" s="7"/>
      <c r="J748" s="5"/>
    </row>
    <row r="749" ht="15.75" customHeight="1">
      <c r="B749" s="2"/>
      <c r="D749" s="7"/>
      <c r="E749" s="7"/>
      <c r="J749" s="5"/>
    </row>
    <row r="750" ht="15.75" customHeight="1">
      <c r="B750" s="2"/>
      <c r="D750" s="7"/>
      <c r="E750" s="7"/>
      <c r="J750" s="5"/>
    </row>
    <row r="751" ht="15.75" customHeight="1">
      <c r="B751" s="2"/>
      <c r="D751" s="7"/>
      <c r="E751" s="7"/>
      <c r="J751" s="5"/>
    </row>
    <row r="752" ht="15.75" customHeight="1">
      <c r="B752" s="2"/>
      <c r="D752" s="7"/>
      <c r="E752" s="7"/>
      <c r="J752" s="5"/>
    </row>
    <row r="753" ht="15.75" customHeight="1">
      <c r="B753" s="2"/>
      <c r="D753" s="7"/>
      <c r="E753" s="7"/>
      <c r="J753" s="5"/>
    </row>
    <row r="754" ht="15.75" customHeight="1">
      <c r="B754" s="2"/>
      <c r="D754" s="7"/>
      <c r="E754" s="7"/>
      <c r="J754" s="5"/>
    </row>
    <row r="755" ht="15.75" customHeight="1">
      <c r="B755" s="2"/>
      <c r="D755" s="7"/>
      <c r="E755" s="7"/>
      <c r="J755" s="5"/>
    </row>
    <row r="756" ht="15.75" customHeight="1">
      <c r="B756" s="2"/>
      <c r="D756" s="7"/>
      <c r="E756" s="7"/>
      <c r="J756" s="5"/>
    </row>
    <row r="757" ht="15.75" customHeight="1">
      <c r="B757" s="2"/>
      <c r="D757" s="7"/>
      <c r="E757" s="7"/>
      <c r="J757" s="5"/>
    </row>
    <row r="758" ht="15.75" customHeight="1">
      <c r="B758" s="2"/>
      <c r="D758" s="7"/>
      <c r="E758" s="7"/>
      <c r="J758" s="5"/>
    </row>
    <row r="759" ht="15.75" customHeight="1">
      <c r="B759" s="2"/>
      <c r="D759" s="7"/>
      <c r="E759" s="7"/>
      <c r="J759" s="5"/>
    </row>
    <row r="760" ht="15.75" customHeight="1">
      <c r="B760" s="2"/>
      <c r="D760" s="7"/>
      <c r="E760" s="7"/>
      <c r="J760" s="5"/>
    </row>
    <row r="761" ht="15.75" customHeight="1">
      <c r="B761" s="2"/>
      <c r="D761" s="7"/>
      <c r="E761" s="7"/>
      <c r="J761" s="5"/>
    </row>
    <row r="762" ht="15.75" customHeight="1">
      <c r="B762" s="2"/>
      <c r="D762" s="7"/>
      <c r="E762" s="7"/>
      <c r="J762" s="5"/>
    </row>
    <row r="763" ht="15.75" customHeight="1">
      <c r="B763" s="2"/>
      <c r="D763" s="7"/>
      <c r="E763" s="7"/>
      <c r="J763" s="5"/>
    </row>
    <row r="764" ht="15.75" customHeight="1">
      <c r="B764" s="2"/>
      <c r="D764" s="7"/>
      <c r="E764" s="7"/>
      <c r="J764" s="5"/>
    </row>
    <row r="765" ht="15.75" customHeight="1">
      <c r="B765" s="2"/>
      <c r="D765" s="7"/>
      <c r="E765" s="7"/>
      <c r="J765" s="5"/>
    </row>
    <row r="766" ht="15.75" customHeight="1">
      <c r="B766" s="2"/>
      <c r="D766" s="7"/>
      <c r="E766" s="7"/>
      <c r="J766" s="5"/>
    </row>
    <row r="767" ht="15.75" customHeight="1">
      <c r="B767" s="2"/>
      <c r="D767" s="7"/>
      <c r="E767" s="7"/>
      <c r="J767" s="5"/>
    </row>
    <row r="768" ht="15.75" customHeight="1">
      <c r="B768" s="2"/>
      <c r="D768" s="7"/>
      <c r="E768" s="7"/>
      <c r="J768" s="5"/>
    </row>
    <row r="769" ht="15.75" customHeight="1">
      <c r="B769" s="2"/>
      <c r="D769" s="7"/>
      <c r="E769" s="7"/>
      <c r="J769" s="5"/>
    </row>
    <row r="770" ht="15.75" customHeight="1">
      <c r="B770" s="2"/>
      <c r="D770" s="7"/>
      <c r="E770" s="7"/>
      <c r="J770" s="5"/>
    </row>
    <row r="771" ht="15.75" customHeight="1">
      <c r="B771" s="2"/>
      <c r="D771" s="7"/>
      <c r="E771" s="7"/>
      <c r="J771" s="5"/>
    </row>
    <row r="772" ht="15.75" customHeight="1">
      <c r="B772" s="2"/>
      <c r="D772" s="7"/>
      <c r="E772" s="7"/>
      <c r="J772" s="5"/>
    </row>
    <row r="773" ht="15.75" customHeight="1">
      <c r="B773" s="2"/>
      <c r="D773" s="7"/>
      <c r="E773" s="7"/>
      <c r="J773" s="5"/>
    </row>
    <row r="774" ht="15.75" customHeight="1">
      <c r="B774" s="2"/>
      <c r="D774" s="7"/>
      <c r="E774" s="7"/>
      <c r="J774" s="5"/>
    </row>
    <row r="775" ht="15.75" customHeight="1">
      <c r="B775" s="2"/>
      <c r="D775" s="7"/>
      <c r="E775" s="7"/>
      <c r="J775" s="5"/>
    </row>
    <row r="776" ht="15.75" customHeight="1">
      <c r="B776" s="2"/>
      <c r="D776" s="7"/>
      <c r="E776" s="7"/>
      <c r="J776" s="5"/>
    </row>
    <row r="777" ht="15.75" customHeight="1">
      <c r="B777" s="2"/>
      <c r="D777" s="7"/>
      <c r="E777" s="7"/>
      <c r="J777" s="5"/>
    </row>
    <row r="778" ht="15.75" customHeight="1">
      <c r="B778" s="2"/>
      <c r="D778" s="7"/>
      <c r="E778" s="7"/>
      <c r="J778" s="5"/>
    </row>
    <row r="779" ht="15.75" customHeight="1">
      <c r="B779" s="2"/>
      <c r="D779" s="7"/>
      <c r="E779" s="7"/>
      <c r="J779" s="5"/>
    </row>
    <row r="780" ht="15.75" customHeight="1">
      <c r="B780" s="2"/>
      <c r="D780" s="7"/>
      <c r="E780" s="7"/>
      <c r="J780" s="5"/>
    </row>
    <row r="781" ht="15.75" customHeight="1">
      <c r="B781" s="2"/>
      <c r="D781" s="7"/>
      <c r="E781" s="7"/>
      <c r="J781" s="5"/>
    </row>
    <row r="782" ht="15.75" customHeight="1">
      <c r="B782" s="2"/>
      <c r="D782" s="7"/>
      <c r="E782" s="7"/>
      <c r="J782" s="5"/>
    </row>
    <row r="783" ht="15.75" customHeight="1">
      <c r="B783" s="2"/>
      <c r="D783" s="7"/>
      <c r="E783" s="7"/>
      <c r="J783" s="5"/>
    </row>
    <row r="784" ht="15.75" customHeight="1">
      <c r="B784" s="2"/>
      <c r="D784" s="7"/>
      <c r="E784" s="7"/>
      <c r="J784" s="5"/>
    </row>
    <row r="785" ht="15.75" customHeight="1">
      <c r="B785" s="2"/>
      <c r="D785" s="7"/>
      <c r="E785" s="7"/>
      <c r="J785" s="5"/>
    </row>
    <row r="786" ht="15.75" customHeight="1">
      <c r="B786" s="2"/>
      <c r="D786" s="7"/>
      <c r="E786" s="7"/>
      <c r="J786" s="5"/>
    </row>
    <row r="787" ht="15.75" customHeight="1">
      <c r="B787" s="2"/>
      <c r="D787" s="7"/>
      <c r="E787" s="7"/>
      <c r="J787" s="5"/>
    </row>
    <row r="788" ht="15.75" customHeight="1">
      <c r="B788" s="2"/>
      <c r="D788" s="7"/>
      <c r="E788" s="7"/>
      <c r="J788" s="5"/>
    </row>
    <row r="789" ht="15.75" customHeight="1">
      <c r="B789" s="2"/>
      <c r="D789" s="7"/>
      <c r="E789" s="7"/>
      <c r="J789" s="5"/>
    </row>
    <row r="790" ht="15.75" customHeight="1">
      <c r="B790" s="2"/>
      <c r="D790" s="7"/>
      <c r="E790" s="7"/>
      <c r="J790" s="5"/>
    </row>
    <row r="791" ht="15.75" customHeight="1">
      <c r="B791" s="2"/>
      <c r="D791" s="7"/>
      <c r="E791" s="7"/>
      <c r="J791" s="5"/>
    </row>
    <row r="792" ht="15.75" customHeight="1">
      <c r="B792" s="2"/>
      <c r="D792" s="7"/>
      <c r="E792" s="7"/>
      <c r="J792" s="5"/>
    </row>
    <row r="793" ht="15.75" customHeight="1">
      <c r="B793" s="2"/>
      <c r="D793" s="7"/>
      <c r="E793" s="7"/>
      <c r="J793" s="5"/>
    </row>
    <row r="794" ht="15.75" customHeight="1">
      <c r="B794" s="2"/>
      <c r="D794" s="7"/>
      <c r="E794" s="7"/>
      <c r="J794" s="5"/>
    </row>
    <row r="795" ht="15.75" customHeight="1">
      <c r="B795" s="2"/>
      <c r="D795" s="7"/>
      <c r="E795" s="7"/>
      <c r="J795" s="5"/>
    </row>
    <row r="796" ht="15.75" customHeight="1">
      <c r="B796" s="2"/>
      <c r="D796" s="7"/>
      <c r="E796" s="7"/>
      <c r="J796" s="5"/>
    </row>
    <row r="797" ht="15.75" customHeight="1">
      <c r="B797" s="2"/>
      <c r="D797" s="7"/>
      <c r="E797" s="7"/>
      <c r="J797" s="5"/>
    </row>
    <row r="798" ht="15.75" customHeight="1">
      <c r="B798" s="2"/>
      <c r="D798" s="7"/>
      <c r="E798" s="7"/>
      <c r="J798" s="5"/>
    </row>
    <row r="799" ht="15.75" customHeight="1">
      <c r="B799" s="2"/>
      <c r="D799" s="7"/>
      <c r="E799" s="7"/>
      <c r="J799" s="5"/>
    </row>
    <row r="800" ht="15.75" customHeight="1">
      <c r="B800" s="2"/>
      <c r="D800" s="7"/>
      <c r="E800" s="7"/>
      <c r="J800" s="5"/>
    </row>
    <row r="801" ht="15.75" customHeight="1">
      <c r="B801" s="2"/>
      <c r="D801" s="7"/>
      <c r="E801" s="7"/>
      <c r="J801" s="5"/>
    </row>
    <row r="802" ht="15.75" customHeight="1">
      <c r="B802" s="2"/>
      <c r="D802" s="7"/>
      <c r="E802" s="7"/>
      <c r="J802" s="5"/>
    </row>
    <row r="803" ht="15.75" customHeight="1">
      <c r="B803" s="2"/>
      <c r="D803" s="7"/>
      <c r="E803" s="7"/>
      <c r="J803" s="5"/>
    </row>
    <row r="804" ht="15.75" customHeight="1">
      <c r="B804" s="2"/>
      <c r="D804" s="7"/>
      <c r="E804" s="7"/>
      <c r="J804" s="5"/>
    </row>
    <row r="805" ht="15.75" customHeight="1">
      <c r="B805" s="2"/>
      <c r="D805" s="7"/>
      <c r="E805" s="7"/>
      <c r="J805" s="5"/>
    </row>
    <row r="806" ht="15.75" customHeight="1">
      <c r="B806" s="2"/>
      <c r="D806" s="7"/>
      <c r="E806" s="7"/>
      <c r="J806" s="5"/>
    </row>
    <row r="807" ht="15.75" customHeight="1">
      <c r="B807" s="2"/>
      <c r="D807" s="7"/>
      <c r="E807" s="7"/>
      <c r="J807" s="5"/>
    </row>
    <row r="808" ht="15.75" customHeight="1">
      <c r="B808" s="2"/>
      <c r="D808" s="7"/>
      <c r="E808" s="7"/>
      <c r="J808" s="5"/>
    </row>
    <row r="809" ht="15.75" customHeight="1">
      <c r="B809" s="2"/>
      <c r="D809" s="7"/>
      <c r="E809" s="7"/>
      <c r="J809" s="5"/>
    </row>
    <row r="810" ht="15.75" customHeight="1">
      <c r="B810" s="2"/>
      <c r="D810" s="7"/>
      <c r="E810" s="7"/>
      <c r="J810" s="5"/>
    </row>
    <row r="811" ht="15.75" customHeight="1">
      <c r="B811" s="2"/>
      <c r="D811" s="7"/>
      <c r="E811" s="7"/>
      <c r="J811" s="5"/>
    </row>
    <row r="812" ht="15.75" customHeight="1">
      <c r="B812" s="2"/>
      <c r="D812" s="7"/>
      <c r="E812" s="7"/>
      <c r="J812" s="5"/>
    </row>
    <row r="813" ht="15.75" customHeight="1">
      <c r="B813" s="2"/>
      <c r="D813" s="7"/>
      <c r="E813" s="7"/>
      <c r="J813" s="5"/>
    </row>
    <row r="814" ht="15.75" customHeight="1">
      <c r="B814" s="2"/>
      <c r="D814" s="7"/>
      <c r="E814" s="7"/>
      <c r="J814" s="5"/>
    </row>
    <row r="815" ht="15.75" customHeight="1">
      <c r="B815" s="2"/>
      <c r="D815" s="7"/>
      <c r="E815" s="7"/>
      <c r="J815" s="5"/>
    </row>
    <row r="816" ht="15.75" customHeight="1">
      <c r="B816" s="2"/>
      <c r="D816" s="7"/>
      <c r="E816" s="7"/>
      <c r="J816" s="5"/>
    </row>
    <row r="817" ht="15.75" customHeight="1">
      <c r="B817" s="2"/>
      <c r="D817" s="7"/>
      <c r="E817" s="7"/>
      <c r="J817" s="5"/>
    </row>
    <row r="818" ht="15.75" customHeight="1">
      <c r="B818" s="2"/>
      <c r="D818" s="7"/>
      <c r="E818" s="7"/>
      <c r="J818" s="5"/>
    </row>
    <row r="819" ht="15.75" customHeight="1">
      <c r="B819" s="2"/>
      <c r="D819" s="7"/>
      <c r="E819" s="7"/>
      <c r="J819" s="5"/>
    </row>
    <row r="820" ht="15.75" customHeight="1">
      <c r="B820" s="2"/>
      <c r="D820" s="7"/>
      <c r="E820" s="7"/>
      <c r="J820" s="5"/>
    </row>
    <row r="821" ht="15.75" customHeight="1">
      <c r="B821" s="2"/>
      <c r="D821" s="7"/>
      <c r="E821" s="7"/>
      <c r="J821" s="5"/>
    </row>
    <row r="822" ht="15.75" customHeight="1">
      <c r="B822" s="2"/>
      <c r="D822" s="7"/>
      <c r="E822" s="7"/>
      <c r="J822" s="5"/>
    </row>
    <row r="823" ht="15.75" customHeight="1">
      <c r="B823" s="2"/>
      <c r="D823" s="7"/>
      <c r="E823" s="7"/>
      <c r="J823" s="5"/>
    </row>
    <row r="824" ht="15.75" customHeight="1">
      <c r="B824" s="2"/>
      <c r="D824" s="7"/>
      <c r="E824" s="7"/>
      <c r="J824" s="5"/>
    </row>
    <row r="825" ht="15.75" customHeight="1">
      <c r="B825" s="2"/>
      <c r="D825" s="7"/>
      <c r="E825" s="7"/>
      <c r="J825" s="5"/>
    </row>
    <row r="826" ht="15.75" customHeight="1">
      <c r="B826" s="2"/>
      <c r="D826" s="7"/>
      <c r="E826" s="7"/>
      <c r="J826" s="5"/>
    </row>
    <row r="827" ht="15.75" customHeight="1">
      <c r="B827" s="2"/>
      <c r="D827" s="7"/>
      <c r="E827" s="7"/>
      <c r="J827" s="5"/>
    </row>
    <row r="828" ht="15.75" customHeight="1">
      <c r="B828" s="2"/>
      <c r="D828" s="7"/>
      <c r="E828" s="7"/>
      <c r="J828" s="5"/>
    </row>
    <row r="829" ht="15.75" customHeight="1">
      <c r="B829" s="2"/>
      <c r="D829" s="7"/>
      <c r="E829" s="7"/>
      <c r="J829" s="5"/>
    </row>
    <row r="830" ht="15.75" customHeight="1">
      <c r="B830" s="2"/>
      <c r="D830" s="7"/>
      <c r="E830" s="7"/>
      <c r="J830" s="5"/>
    </row>
    <row r="831" ht="15.75" customHeight="1">
      <c r="B831" s="2"/>
      <c r="D831" s="7"/>
      <c r="E831" s="7"/>
      <c r="J831" s="5"/>
    </row>
    <row r="832" ht="15.75" customHeight="1">
      <c r="B832" s="2"/>
      <c r="D832" s="7"/>
      <c r="E832" s="7"/>
      <c r="J832" s="5"/>
    </row>
    <row r="833" ht="15.75" customHeight="1">
      <c r="B833" s="2"/>
      <c r="D833" s="7"/>
      <c r="E833" s="7"/>
      <c r="J833" s="5"/>
    </row>
    <row r="834" ht="15.75" customHeight="1">
      <c r="B834" s="2"/>
      <c r="D834" s="7"/>
      <c r="E834" s="7"/>
      <c r="J834" s="5"/>
    </row>
    <row r="835" ht="15.75" customHeight="1">
      <c r="B835" s="2"/>
      <c r="D835" s="7"/>
      <c r="E835" s="7"/>
      <c r="J835" s="5"/>
    </row>
    <row r="836" ht="15.75" customHeight="1">
      <c r="B836" s="2"/>
      <c r="D836" s="7"/>
      <c r="E836" s="7"/>
      <c r="J836" s="5"/>
    </row>
    <row r="837" ht="15.75" customHeight="1">
      <c r="B837" s="2"/>
      <c r="D837" s="7"/>
      <c r="E837" s="7"/>
      <c r="J837" s="5"/>
    </row>
    <row r="838" ht="15.75" customHeight="1">
      <c r="B838" s="2"/>
      <c r="D838" s="7"/>
      <c r="E838" s="7"/>
      <c r="J838" s="5"/>
    </row>
    <row r="839" ht="15.75" customHeight="1">
      <c r="B839" s="2"/>
      <c r="D839" s="7"/>
      <c r="E839" s="7"/>
      <c r="J839" s="5"/>
    </row>
    <row r="840" ht="15.75" customHeight="1">
      <c r="B840" s="2"/>
      <c r="D840" s="7"/>
      <c r="E840" s="7"/>
      <c r="J840" s="5"/>
    </row>
    <row r="841" ht="15.75" customHeight="1">
      <c r="B841" s="2"/>
      <c r="D841" s="7"/>
      <c r="E841" s="7"/>
      <c r="J841" s="5"/>
    </row>
    <row r="842" ht="15.75" customHeight="1">
      <c r="B842" s="2"/>
      <c r="D842" s="7"/>
      <c r="E842" s="7"/>
      <c r="J842" s="5"/>
    </row>
    <row r="843" ht="15.75" customHeight="1">
      <c r="B843" s="2"/>
      <c r="D843" s="7"/>
      <c r="E843" s="7"/>
      <c r="J843" s="5"/>
    </row>
    <row r="844" ht="15.75" customHeight="1">
      <c r="B844" s="2"/>
      <c r="D844" s="7"/>
      <c r="E844" s="7"/>
      <c r="J844" s="5"/>
    </row>
    <row r="845" ht="15.75" customHeight="1">
      <c r="B845" s="2"/>
      <c r="D845" s="7"/>
      <c r="E845" s="7"/>
      <c r="J845" s="5"/>
    </row>
    <row r="846" ht="15.75" customHeight="1">
      <c r="B846" s="2"/>
      <c r="D846" s="7"/>
      <c r="E846" s="7"/>
      <c r="J846" s="5"/>
    </row>
    <row r="847" ht="15.75" customHeight="1">
      <c r="B847" s="2"/>
      <c r="D847" s="7"/>
      <c r="E847" s="7"/>
      <c r="J847" s="5"/>
    </row>
    <row r="848" ht="15.75" customHeight="1">
      <c r="B848" s="2"/>
      <c r="D848" s="7"/>
      <c r="E848" s="7"/>
      <c r="J848" s="5"/>
    </row>
    <row r="849" ht="15.75" customHeight="1">
      <c r="B849" s="2"/>
      <c r="D849" s="7"/>
      <c r="E849" s="7"/>
      <c r="J849" s="5"/>
    </row>
    <row r="850" ht="15.75" customHeight="1">
      <c r="B850" s="2"/>
      <c r="D850" s="7"/>
      <c r="E850" s="7"/>
      <c r="J850" s="5"/>
    </row>
    <row r="851" ht="15.75" customHeight="1">
      <c r="B851" s="2"/>
      <c r="D851" s="7"/>
      <c r="E851" s="7"/>
      <c r="J851" s="5"/>
    </row>
    <row r="852" ht="15.75" customHeight="1">
      <c r="B852" s="2"/>
      <c r="D852" s="7"/>
      <c r="E852" s="7"/>
      <c r="J852" s="5"/>
    </row>
    <row r="853" ht="15.75" customHeight="1">
      <c r="B853" s="2"/>
      <c r="D853" s="7"/>
      <c r="E853" s="7"/>
      <c r="J853" s="5"/>
    </row>
    <row r="854" ht="15.75" customHeight="1">
      <c r="B854" s="2"/>
      <c r="D854" s="7"/>
      <c r="E854" s="7"/>
      <c r="J854" s="5"/>
    </row>
    <row r="855" ht="15.75" customHeight="1">
      <c r="B855" s="2"/>
      <c r="D855" s="7"/>
      <c r="E855" s="7"/>
      <c r="J855" s="5"/>
    </row>
    <row r="856" ht="15.75" customHeight="1">
      <c r="B856" s="2"/>
      <c r="D856" s="7"/>
      <c r="E856" s="7"/>
      <c r="J856" s="5"/>
    </row>
    <row r="857" ht="15.75" customHeight="1">
      <c r="B857" s="2"/>
      <c r="D857" s="7"/>
      <c r="E857" s="7"/>
      <c r="J857" s="5"/>
    </row>
    <row r="858" ht="15.75" customHeight="1">
      <c r="B858" s="2"/>
      <c r="D858" s="7"/>
      <c r="E858" s="7"/>
      <c r="J858" s="5"/>
    </row>
    <row r="859" ht="15.75" customHeight="1">
      <c r="B859" s="2"/>
      <c r="D859" s="7"/>
      <c r="E859" s="7"/>
      <c r="J859" s="5"/>
    </row>
    <row r="860" ht="15.75" customHeight="1">
      <c r="B860" s="2"/>
      <c r="D860" s="7"/>
      <c r="E860" s="7"/>
      <c r="J860" s="5"/>
    </row>
    <row r="861" ht="15.75" customHeight="1">
      <c r="B861" s="2"/>
      <c r="D861" s="7"/>
      <c r="E861" s="7"/>
      <c r="J861" s="5"/>
    </row>
    <row r="862" ht="15.75" customHeight="1">
      <c r="B862" s="2"/>
      <c r="D862" s="7"/>
      <c r="E862" s="7"/>
      <c r="J862" s="5"/>
    </row>
    <row r="863" ht="15.75" customHeight="1">
      <c r="B863" s="2"/>
      <c r="D863" s="7"/>
      <c r="E863" s="7"/>
      <c r="J863" s="5"/>
    </row>
    <row r="864" ht="15.75" customHeight="1">
      <c r="B864" s="2"/>
      <c r="D864" s="7"/>
      <c r="E864" s="7"/>
      <c r="J864" s="5"/>
    </row>
    <row r="865" ht="15.75" customHeight="1">
      <c r="B865" s="2"/>
      <c r="D865" s="7"/>
      <c r="E865" s="7"/>
      <c r="J865" s="5"/>
    </row>
    <row r="866" ht="15.75" customHeight="1">
      <c r="B866" s="2"/>
      <c r="D866" s="7"/>
      <c r="E866" s="7"/>
      <c r="J866" s="5"/>
    </row>
    <row r="867" ht="15.75" customHeight="1">
      <c r="B867" s="2"/>
      <c r="D867" s="7"/>
      <c r="E867" s="7"/>
      <c r="J867" s="5"/>
    </row>
    <row r="868" ht="15.75" customHeight="1">
      <c r="B868" s="2"/>
      <c r="D868" s="7"/>
      <c r="E868" s="7"/>
      <c r="J868" s="5"/>
    </row>
    <row r="869" ht="15.75" customHeight="1">
      <c r="B869" s="2"/>
      <c r="D869" s="7"/>
      <c r="E869" s="7"/>
      <c r="J869" s="5"/>
    </row>
    <row r="870" ht="15.75" customHeight="1">
      <c r="B870" s="2"/>
      <c r="D870" s="7"/>
      <c r="E870" s="7"/>
      <c r="J870" s="5"/>
    </row>
    <row r="871" ht="15.75" customHeight="1">
      <c r="B871" s="2"/>
      <c r="D871" s="7"/>
      <c r="E871" s="7"/>
      <c r="J871" s="5"/>
    </row>
    <row r="872" ht="15.75" customHeight="1">
      <c r="B872" s="2"/>
      <c r="D872" s="7"/>
      <c r="E872" s="7"/>
      <c r="J872" s="5"/>
    </row>
    <row r="873" ht="15.75" customHeight="1">
      <c r="B873" s="2"/>
      <c r="D873" s="7"/>
      <c r="E873" s="7"/>
      <c r="J873" s="5"/>
    </row>
    <row r="874" ht="15.75" customHeight="1">
      <c r="B874" s="2"/>
      <c r="D874" s="7"/>
      <c r="E874" s="7"/>
      <c r="J874" s="5"/>
    </row>
    <row r="875" ht="15.75" customHeight="1">
      <c r="B875" s="2"/>
      <c r="D875" s="7"/>
      <c r="E875" s="7"/>
      <c r="J875" s="5"/>
    </row>
    <row r="876" ht="15.75" customHeight="1">
      <c r="B876" s="2"/>
      <c r="D876" s="7"/>
      <c r="E876" s="7"/>
      <c r="J876" s="5"/>
    </row>
    <row r="877" ht="15.75" customHeight="1">
      <c r="B877" s="2"/>
      <c r="D877" s="7"/>
      <c r="E877" s="7"/>
      <c r="J877" s="5"/>
    </row>
    <row r="878" ht="15.75" customHeight="1">
      <c r="B878" s="2"/>
      <c r="D878" s="7"/>
      <c r="E878" s="7"/>
      <c r="J878" s="5"/>
    </row>
    <row r="879" ht="15.75" customHeight="1">
      <c r="B879" s="2"/>
      <c r="D879" s="7"/>
      <c r="E879" s="7"/>
      <c r="J879" s="5"/>
    </row>
    <row r="880" ht="15.75" customHeight="1">
      <c r="B880" s="2"/>
      <c r="D880" s="7"/>
      <c r="E880" s="7"/>
      <c r="J880" s="5"/>
    </row>
    <row r="881" ht="15.75" customHeight="1">
      <c r="B881" s="2"/>
      <c r="D881" s="7"/>
      <c r="E881" s="7"/>
      <c r="J881" s="5"/>
    </row>
    <row r="882" ht="15.75" customHeight="1">
      <c r="B882" s="2"/>
      <c r="D882" s="7"/>
      <c r="E882" s="7"/>
      <c r="J882" s="5"/>
    </row>
    <row r="883" ht="15.75" customHeight="1">
      <c r="B883" s="2"/>
      <c r="D883" s="7"/>
      <c r="E883" s="7"/>
      <c r="J883" s="5"/>
    </row>
    <row r="884" ht="15.75" customHeight="1">
      <c r="B884" s="2"/>
      <c r="D884" s="7"/>
      <c r="E884" s="7"/>
      <c r="J884" s="5"/>
    </row>
    <row r="885" ht="15.75" customHeight="1">
      <c r="B885" s="2"/>
      <c r="D885" s="7"/>
      <c r="E885" s="7"/>
      <c r="J885" s="5"/>
    </row>
    <row r="886" ht="15.75" customHeight="1">
      <c r="B886" s="2"/>
      <c r="D886" s="7"/>
      <c r="E886" s="7"/>
      <c r="J886" s="5"/>
    </row>
    <row r="887" ht="15.75" customHeight="1">
      <c r="B887" s="2"/>
      <c r="D887" s="7"/>
      <c r="E887" s="7"/>
      <c r="J887" s="5"/>
    </row>
    <row r="888" ht="15.75" customHeight="1">
      <c r="B888" s="2"/>
      <c r="D888" s="7"/>
      <c r="E888" s="7"/>
      <c r="J888" s="5"/>
    </row>
    <row r="889" ht="15.75" customHeight="1">
      <c r="B889" s="2"/>
      <c r="D889" s="7"/>
      <c r="E889" s="7"/>
      <c r="J889" s="5"/>
    </row>
    <row r="890" ht="15.75" customHeight="1">
      <c r="B890" s="2"/>
      <c r="D890" s="7"/>
      <c r="E890" s="7"/>
      <c r="J890" s="5"/>
    </row>
    <row r="891" ht="15.75" customHeight="1">
      <c r="B891" s="2"/>
      <c r="D891" s="7"/>
      <c r="E891" s="7"/>
      <c r="J891" s="5"/>
    </row>
    <row r="892" ht="15.75" customHeight="1">
      <c r="B892" s="2"/>
      <c r="D892" s="7"/>
      <c r="E892" s="7"/>
      <c r="J892" s="5"/>
    </row>
    <row r="893" ht="15.75" customHeight="1">
      <c r="B893" s="2"/>
      <c r="D893" s="7"/>
      <c r="E893" s="7"/>
      <c r="J893" s="5"/>
    </row>
    <row r="894" ht="15.75" customHeight="1">
      <c r="B894" s="2"/>
      <c r="D894" s="7"/>
      <c r="E894" s="7"/>
      <c r="J894" s="5"/>
    </row>
    <row r="895" ht="15.75" customHeight="1">
      <c r="B895" s="2"/>
      <c r="D895" s="7"/>
      <c r="E895" s="7"/>
      <c r="J895" s="5"/>
    </row>
    <row r="896" ht="15.75" customHeight="1">
      <c r="B896" s="2"/>
      <c r="D896" s="7"/>
      <c r="E896" s="7"/>
      <c r="J896" s="5"/>
    </row>
    <row r="897" ht="15.75" customHeight="1">
      <c r="B897" s="2"/>
      <c r="D897" s="7"/>
      <c r="E897" s="7"/>
      <c r="J897" s="5"/>
    </row>
    <row r="898" ht="15.75" customHeight="1">
      <c r="B898" s="2"/>
      <c r="D898" s="7"/>
      <c r="E898" s="7"/>
      <c r="J898" s="5"/>
    </row>
    <row r="899" ht="15.75" customHeight="1">
      <c r="B899" s="2"/>
      <c r="D899" s="7"/>
      <c r="E899" s="7"/>
      <c r="J899" s="5"/>
    </row>
    <row r="900" ht="15.75" customHeight="1">
      <c r="B900" s="2"/>
      <c r="D900" s="7"/>
      <c r="E900" s="7"/>
      <c r="J900" s="5"/>
    </row>
    <row r="901" ht="15.75" customHeight="1">
      <c r="B901" s="2"/>
      <c r="D901" s="7"/>
      <c r="E901" s="7"/>
      <c r="J901" s="5"/>
    </row>
    <row r="902" ht="15.75" customHeight="1">
      <c r="B902" s="2"/>
      <c r="D902" s="7"/>
      <c r="E902" s="7"/>
      <c r="J902" s="5"/>
    </row>
    <row r="903" ht="15.75" customHeight="1">
      <c r="B903" s="2"/>
      <c r="D903" s="7"/>
      <c r="E903" s="7"/>
      <c r="J903" s="5"/>
    </row>
    <row r="904" ht="15.75" customHeight="1">
      <c r="B904" s="2"/>
      <c r="D904" s="7"/>
      <c r="E904" s="7"/>
      <c r="J904" s="5"/>
    </row>
    <row r="905" ht="15.75" customHeight="1">
      <c r="B905" s="2"/>
      <c r="D905" s="7"/>
      <c r="E905" s="7"/>
      <c r="J905" s="5"/>
    </row>
    <row r="906" ht="15.75" customHeight="1">
      <c r="B906" s="2"/>
      <c r="D906" s="7"/>
      <c r="E906" s="7"/>
      <c r="J906" s="5"/>
    </row>
    <row r="907" ht="15.75" customHeight="1">
      <c r="B907" s="2"/>
      <c r="D907" s="7"/>
      <c r="E907" s="7"/>
      <c r="J907" s="5"/>
    </row>
    <row r="908" ht="15.75" customHeight="1">
      <c r="B908" s="2"/>
      <c r="D908" s="7"/>
      <c r="E908" s="7"/>
      <c r="J908" s="5"/>
    </row>
    <row r="909" ht="15.75" customHeight="1">
      <c r="B909" s="2"/>
      <c r="D909" s="7"/>
      <c r="E909" s="7"/>
      <c r="J909" s="5"/>
    </row>
    <row r="910" ht="15.75" customHeight="1">
      <c r="B910" s="2"/>
      <c r="D910" s="7"/>
      <c r="E910" s="7"/>
      <c r="J910" s="5"/>
    </row>
    <row r="911" ht="15.75" customHeight="1">
      <c r="B911" s="2"/>
      <c r="D911" s="7"/>
      <c r="E911" s="7"/>
      <c r="J911" s="5"/>
    </row>
    <row r="912" ht="15.75" customHeight="1">
      <c r="B912" s="2"/>
      <c r="D912" s="7"/>
      <c r="E912" s="7"/>
      <c r="J912" s="5"/>
    </row>
    <row r="913" ht="15.75" customHeight="1">
      <c r="B913" s="2"/>
      <c r="D913" s="7"/>
      <c r="E913" s="7"/>
      <c r="J913" s="5"/>
    </row>
    <row r="914" ht="15.75" customHeight="1">
      <c r="B914" s="2"/>
      <c r="D914" s="7"/>
      <c r="E914" s="7"/>
      <c r="J914" s="5"/>
    </row>
    <row r="915" ht="15.75" customHeight="1">
      <c r="B915" s="2"/>
      <c r="D915" s="7"/>
      <c r="E915" s="7"/>
      <c r="J915" s="5"/>
    </row>
    <row r="916" ht="15.75" customHeight="1">
      <c r="B916" s="2"/>
      <c r="D916" s="7"/>
      <c r="E916" s="7"/>
      <c r="J916" s="5"/>
    </row>
    <row r="917" ht="15.75" customHeight="1">
      <c r="B917" s="2"/>
      <c r="D917" s="7"/>
      <c r="E917" s="7"/>
      <c r="J917" s="5"/>
    </row>
    <row r="918" ht="15.75" customHeight="1">
      <c r="B918" s="2"/>
      <c r="D918" s="7"/>
      <c r="E918" s="7"/>
      <c r="J918" s="5"/>
    </row>
    <row r="919" ht="15.75" customHeight="1">
      <c r="B919" s="2"/>
      <c r="D919" s="7"/>
      <c r="E919" s="7"/>
      <c r="J919" s="5"/>
    </row>
    <row r="920" ht="15.75" customHeight="1">
      <c r="B920" s="2"/>
      <c r="D920" s="7"/>
      <c r="E920" s="7"/>
      <c r="J920" s="5"/>
    </row>
    <row r="921" ht="15.75" customHeight="1">
      <c r="B921" s="2"/>
      <c r="D921" s="7"/>
      <c r="E921" s="7"/>
      <c r="J921" s="5"/>
    </row>
    <row r="922" ht="15.75" customHeight="1">
      <c r="B922" s="2"/>
      <c r="D922" s="7"/>
      <c r="E922" s="7"/>
      <c r="J922" s="5"/>
    </row>
    <row r="923" ht="15.75" customHeight="1">
      <c r="B923" s="2"/>
      <c r="D923" s="7"/>
      <c r="E923" s="7"/>
      <c r="J923" s="5"/>
    </row>
    <row r="924" ht="15.75" customHeight="1">
      <c r="B924" s="2"/>
      <c r="D924" s="7"/>
      <c r="E924" s="7"/>
      <c r="J924" s="5"/>
    </row>
    <row r="925" ht="15.75" customHeight="1">
      <c r="B925" s="2"/>
      <c r="D925" s="7"/>
      <c r="E925" s="7"/>
      <c r="J925" s="5"/>
    </row>
    <row r="926" ht="15.75" customHeight="1">
      <c r="B926" s="2"/>
      <c r="D926" s="7"/>
      <c r="E926" s="7"/>
      <c r="J926" s="5"/>
    </row>
    <row r="927" ht="15.75" customHeight="1">
      <c r="B927" s="2"/>
      <c r="D927" s="7"/>
      <c r="E927" s="7"/>
      <c r="J927" s="5"/>
    </row>
    <row r="928" ht="15.75" customHeight="1">
      <c r="B928" s="2"/>
      <c r="D928" s="7"/>
      <c r="E928" s="7"/>
      <c r="J928" s="5"/>
    </row>
    <row r="929" ht="15.75" customHeight="1">
      <c r="B929" s="2"/>
      <c r="D929" s="7"/>
      <c r="E929" s="7"/>
      <c r="J929" s="5"/>
    </row>
    <row r="930" ht="15.75" customHeight="1">
      <c r="B930" s="2"/>
      <c r="D930" s="7"/>
      <c r="E930" s="7"/>
      <c r="J930" s="5"/>
    </row>
    <row r="931" ht="15.75" customHeight="1">
      <c r="B931" s="2"/>
      <c r="D931" s="7"/>
      <c r="E931" s="7"/>
      <c r="J931" s="5"/>
    </row>
    <row r="932" ht="15.75" customHeight="1">
      <c r="B932" s="2"/>
      <c r="D932" s="7"/>
      <c r="E932" s="7"/>
      <c r="J932" s="5"/>
    </row>
    <row r="933" ht="15.75" customHeight="1">
      <c r="B933" s="2"/>
      <c r="D933" s="7"/>
      <c r="E933" s="7"/>
      <c r="J933" s="5"/>
    </row>
    <row r="934" ht="15.75" customHeight="1">
      <c r="B934" s="2"/>
      <c r="D934" s="7"/>
      <c r="E934" s="7"/>
      <c r="J934" s="5"/>
    </row>
    <row r="935" ht="15.75" customHeight="1">
      <c r="B935" s="2"/>
      <c r="D935" s="7"/>
      <c r="E935" s="7"/>
      <c r="J935" s="5"/>
    </row>
    <row r="936" ht="15.75" customHeight="1">
      <c r="B936" s="2"/>
      <c r="D936" s="7"/>
      <c r="E936" s="7"/>
      <c r="J936" s="5"/>
    </row>
    <row r="937" ht="15.75" customHeight="1">
      <c r="B937" s="2"/>
      <c r="D937" s="7"/>
      <c r="E937" s="7"/>
      <c r="J937" s="5"/>
    </row>
    <row r="938" ht="15.75" customHeight="1">
      <c r="B938" s="2"/>
      <c r="D938" s="7"/>
      <c r="E938" s="7"/>
      <c r="J938" s="5"/>
    </row>
    <row r="939" ht="15.75" customHeight="1">
      <c r="B939" s="2"/>
      <c r="D939" s="7"/>
      <c r="E939" s="7"/>
      <c r="J939" s="5"/>
    </row>
    <row r="940" ht="15.75" customHeight="1">
      <c r="B940" s="2"/>
      <c r="D940" s="7"/>
      <c r="E940" s="7"/>
      <c r="J940" s="5"/>
    </row>
    <row r="941" ht="15.75" customHeight="1">
      <c r="B941" s="2"/>
      <c r="D941" s="7"/>
      <c r="E941" s="7"/>
      <c r="J941" s="5"/>
    </row>
    <row r="942" ht="15.75" customHeight="1">
      <c r="B942" s="2"/>
      <c r="D942" s="7"/>
      <c r="E942" s="7"/>
      <c r="J942" s="5"/>
    </row>
    <row r="943" ht="15.75" customHeight="1">
      <c r="B943" s="2"/>
      <c r="D943" s="7"/>
      <c r="E943" s="7"/>
      <c r="J943" s="5"/>
    </row>
    <row r="944" ht="15.75" customHeight="1">
      <c r="B944" s="2"/>
      <c r="D944" s="7"/>
      <c r="E944" s="7"/>
      <c r="J944" s="5"/>
    </row>
    <row r="945" ht="15.75" customHeight="1">
      <c r="B945" s="2"/>
      <c r="D945" s="7"/>
      <c r="E945" s="7"/>
      <c r="J945" s="5"/>
    </row>
    <row r="946" ht="15.75" customHeight="1">
      <c r="B946" s="2"/>
      <c r="D946" s="7"/>
      <c r="E946" s="7"/>
      <c r="J946" s="5"/>
    </row>
    <row r="947" ht="15.75" customHeight="1">
      <c r="B947" s="2"/>
      <c r="D947" s="7"/>
      <c r="E947" s="7"/>
      <c r="J947" s="5"/>
    </row>
    <row r="948" ht="15.75" customHeight="1">
      <c r="B948" s="2"/>
      <c r="D948" s="7"/>
      <c r="E948" s="7"/>
      <c r="J948" s="5"/>
    </row>
    <row r="949" ht="15.75" customHeight="1">
      <c r="B949" s="2"/>
      <c r="D949" s="7"/>
      <c r="E949" s="7"/>
      <c r="J949" s="5"/>
    </row>
    <row r="950" ht="15.75" customHeight="1">
      <c r="B950" s="2"/>
      <c r="D950" s="7"/>
      <c r="E950" s="7"/>
      <c r="J950" s="5"/>
    </row>
    <row r="951" ht="15.75" customHeight="1">
      <c r="B951" s="2"/>
      <c r="D951" s="7"/>
      <c r="E951" s="7"/>
      <c r="J951" s="5"/>
    </row>
    <row r="952" ht="15.75" customHeight="1">
      <c r="B952" s="2"/>
      <c r="D952" s="7"/>
      <c r="E952" s="7"/>
      <c r="J952" s="5"/>
    </row>
    <row r="953" ht="15.75" customHeight="1">
      <c r="B953" s="2"/>
      <c r="D953" s="7"/>
      <c r="E953" s="7"/>
      <c r="J953" s="5"/>
    </row>
    <row r="954" ht="15.75" customHeight="1">
      <c r="B954" s="2"/>
      <c r="D954" s="7"/>
      <c r="E954" s="7"/>
      <c r="J954" s="5"/>
    </row>
    <row r="955" ht="15.75" customHeight="1">
      <c r="B955" s="2"/>
      <c r="D955" s="7"/>
      <c r="E955" s="7"/>
      <c r="J955" s="5"/>
    </row>
    <row r="956" ht="15.75" customHeight="1">
      <c r="B956" s="2"/>
      <c r="D956" s="7"/>
      <c r="E956" s="7"/>
      <c r="J956" s="5"/>
    </row>
    <row r="957" ht="15.75" customHeight="1">
      <c r="B957" s="2"/>
      <c r="D957" s="7"/>
      <c r="E957" s="7"/>
      <c r="J957" s="5"/>
    </row>
    <row r="958" ht="15.75" customHeight="1">
      <c r="B958" s="2"/>
      <c r="D958" s="7"/>
      <c r="E958" s="7"/>
      <c r="J958" s="5"/>
    </row>
    <row r="959" ht="15.75" customHeight="1">
      <c r="B959" s="2"/>
      <c r="D959" s="7"/>
      <c r="E959" s="7"/>
      <c r="J959" s="5"/>
    </row>
    <row r="960" ht="15.75" customHeight="1">
      <c r="B960" s="2"/>
      <c r="D960" s="7"/>
      <c r="E960" s="7"/>
      <c r="J960" s="5"/>
    </row>
    <row r="961" ht="15.75" customHeight="1">
      <c r="B961" s="2"/>
      <c r="D961" s="7"/>
      <c r="E961" s="7"/>
      <c r="J961" s="5"/>
    </row>
    <row r="962" ht="15.75" customHeight="1">
      <c r="B962" s="2"/>
      <c r="D962" s="7"/>
      <c r="E962" s="7"/>
      <c r="J962" s="5"/>
    </row>
    <row r="963" ht="15.75" customHeight="1">
      <c r="B963" s="2"/>
      <c r="D963" s="7"/>
      <c r="E963" s="7"/>
      <c r="J963" s="5"/>
    </row>
    <row r="964" ht="15.75" customHeight="1">
      <c r="B964" s="2"/>
      <c r="D964" s="7"/>
      <c r="E964" s="7"/>
      <c r="J964" s="5"/>
    </row>
    <row r="965" ht="15.75" customHeight="1">
      <c r="B965" s="2"/>
      <c r="D965" s="7"/>
      <c r="E965" s="7"/>
      <c r="J965" s="5"/>
    </row>
    <row r="966" ht="15.75" customHeight="1">
      <c r="B966" s="2"/>
      <c r="D966" s="7"/>
      <c r="E966" s="7"/>
      <c r="J966" s="5"/>
    </row>
    <row r="967" ht="15.75" customHeight="1">
      <c r="B967" s="2"/>
      <c r="D967" s="7"/>
      <c r="E967" s="7"/>
      <c r="J967" s="5"/>
    </row>
    <row r="968" ht="15.75" customHeight="1">
      <c r="B968" s="2"/>
      <c r="D968" s="7"/>
      <c r="E968" s="7"/>
      <c r="J968" s="5"/>
    </row>
    <row r="969" ht="15.75" customHeight="1">
      <c r="B969" s="2"/>
      <c r="D969" s="7"/>
      <c r="E969" s="7"/>
      <c r="J969" s="5"/>
    </row>
    <row r="970" ht="15.75" customHeight="1">
      <c r="B970" s="2"/>
      <c r="D970" s="7"/>
      <c r="E970" s="7"/>
      <c r="J970" s="5"/>
    </row>
    <row r="971" ht="15.75" customHeight="1">
      <c r="B971" s="2"/>
      <c r="D971" s="7"/>
      <c r="E971" s="7"/>
      <c r="J971" s="5"/>
    </row>
    <row r="972" ht="15.75" customHeight="1">
      <c r="B972" s="2"/>
      <c r="D972" s="7"/>
      <c r="E972" s="7"/>
      <c r="J972" s="5"/>
    </row>
    <row r="973" ht="15.75" customHeight="1">
      <c r="B973" s="2"/>
      <c r="D973" s="7"/>
      <c r="E973" s="7"/>
      <c r="J973" s="5"/>
    </row>
    <row r="974" ht="15.75" customHeight="1">
      <c r="B974" s="2"/>
      <c r="D974" s="7"/>
      <c r="E974" s="7"/>
      <c r="J974" s="5"/>
    </row>
    <row r="975" ht="15.75" customHeight="1">
      <c r="B975" s="2"/>
      <c r="D975" s="7"/>
      <c r="E975" s="7"/>
      <c r="J975" s="5"/>
    </row>
    <row r="976" ht="15.75" customHeight="1">
      <c r="B976" s="2"/>
      <c r="D976" s="7"/>
      <c r="E976" s="7"/>
      <c r="J976" s="5"/>
    </row>
    <row r="977" ht="15.75" customHeight="1">
      <c r="B977" s="2"/>
      <c r="D977" s="7"/>
      <c r="E977" s="7"/>
      <c r="J977" s="5"/>
    </row>
    <row r="978" ht="15.75" customHeight="1">
      <c r="B978" s="2"/>
      <c r="D978" s="7"/>
      <c r="E978" s="7"/>
      <c r="J978" s="5"/>
    </row>
    <row r="979" ht="15.75" customHeight="1">
      <c r="B979" s="2"/>
      <c r="D979" s="7"/>
      <c r="E979" s="7"/>
      <c r="J979" s="5"/>
    </row>
    <row r="980" ht="15.75" customHeight="1">
      <c r="B980" s="2"/>
      <c r="D980" s="7"/>
      <c r="E980" s="7"/>
      <c r="J980" s="5"/>
    </row>
    <row r="981" ht="15.75" customHeight="1">
      <c r="B981" s="2"/>
      <c r="D981" s="7"/>
      <c r="E981" s="7"/>
      <c r="J981" s="5"/>
    </row>
    <row r="982" ht="15.75" customHeight="1">
      <c r="B982" s="2"/>
      <c r="D982" s="7"/>
      <c r="E982" s="7"/>
      <c r="J982" s="5"/>
    </row>
    <row r="983" ht="15.75" customHeight="1">
      <c r="B983" s="2"/>
      <c r="D983" s="7"/>
      <c r="E983" s="7"/>
      <c r="J983" s="5"/>
    </row>
    <row r="984" ht="15.75" customHeight="1">
      <c r="B984" s="2"/>
      <c r="D984" s="7"/>
      <c r="E984" s="7"/>
      <c r="J984" s="5"/>
    </row>
    <row r="985" ht="15.75" customHeight="1">
      <c r="B985" s="2"/>
      <c r="D985" s="7"/>
      <c r="E985" s="7"/>
      <c r="J985" s="5"/>
    </row>
    <row r="986" ht="15.75" customHeight="1">
      <c r="B986" s="2"/>
      <c r="D986" s="7"/>
      <c r="E986" s="7"/>
      <c r="J986" s="5"/>
    </row>
    <row r="987" ht="15.75" customHeight="1">
      <c r="B987" s="2"/>
      <c r="D987" s="7"/>
      <c r="E987" s="7"/>
      <c r="J987" s="5"/>
    </row>
    <row r="988" ht="15.75" customHeight="1">
      <c r="B988" s="2"/>
      <c r="D988" s="7"/>
      <c r="E988" s="7"/>
      <c r="J988" s="5"/>
    </row>
    <row r="989" ht="15.75" customHeight="1">
      <c r="B989" s="2"/>
      <c r="D989" s="7"/>
      <c r="E989" s="7"/>
      <c r="J989" s="5"/>
    </row>
    <row r="990" ht="15.75" customHeight="1">
      <c r="B990" s="2"/>
      <c r="D990" s="7"/>
      <c r="E990" s="7"/>
      <c r="J990" s="5"/>
    </row>
    <row r="991" ht="15.75" customHeight="1">
      <c r="B991" s="2"/>
      <c r="D991" s="7"/>
      <c r="E991" s="7"/>
      <c r="J991" s="5"/>
    </row>
    <row r="992" ht="15.75" customHeight="1">
      <c r="B992" s="2"/>
      <c r="D992" s="7"/>
      <c r="E992" s="7"/>
      <c r="J992" s="5"/>
    </row>
    <row r="993" ht="15.75" customHeight="1">
      <c r="B993" s="2"/>
      <c r="D993" s="7"/>
      <c r="E993" s="7"/>
      <c r="J993" s="5"/>
    </row>
    <row r="994" ht="15.75" customHeight="1">
      <c r="B994" s="2"/>
      <c r="D994" s="7"/>
      <c r="E994" s="7"/>
      <c r="J994" s="5"/>
    </row>
    <row r="995" ht="15.75" customHeight="1">
      <c r="B995" s="2"/>
      <c r="D995" s="7"/>
      <c r="E995" s="7"/>
      <c r="J995" s="5"/>
    </row>
    <row r="996" ht="15.75" customHeight="1">
      <c r="B996" s="2"/>
      <c r="D996" s="7"/>
      <c r="E996" s="7"/>
      <c r="J996" s="5"/>
    </row>
    <row r="997" ht="15.75" customHeight="1">
      <c r="B997" s="2"/>
      <c r="D997" s="7"/>
      <c r="E997" s="7"/>
      <c r="J997" s="5"/>
    </row>
    <row r="998" ht="15.75" customHeight="1">
      <c r="B998" s="2"/>
      <c r="D998" s="7"/>
      <c r="E998" s="7"/>
      <c r="J998" s="5"/>
    </row>
    <row r="999" ht="15.75" customHeight="1">
      <c r="B999" s="2"/>
      <c r="D999" s="7"/>
      <c r="E999" s="7"/>
      <c r="J999" s="5"/>
    </row>
    <row r="1000" ht="15.75" customHeight="1">
      <c r="B1000" s="2"/>
      <c r="D1000" s="7"/>
      <c r="E1000" s="7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7.0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142</v>
      </c>
      <c r="H1" s="57" t="s">
        <v>143</v>
      </c>
      <c r="J1" s="5"/>
    </row>
    <row r="2" ht="15.75" customHeight="1">
      <c r="B2" s="2"/>
      <c r="C2" s="1" t="s">
        <v>6</v>
      </c>
      <c r="D2" s="6">
        <f>+A5*10%</f>
        <v>10519600</v>
      </c>
      <c r="E2" s="7"/>
      <c r="J2" s="5"/>
    </row>
    <row r="3" ht="15.75" customHeight="1">
      <c r="B3" s="2"/>
      <c r="C3" s="1" t="s">
        <v>7</v>
      </c>
      <c r="D3" s="8">
        <f>+A5-D2</f>
        <v>94676400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1.05196E8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2106024.227</v>
      </c>
      <c r="E6" s="12"/>
      <c r="H6" s="5"/>
      <c r="J6" s="5"/>
    </row>
    <row r="7" ht="15.75" customHeight="1">
      <c r="B7" s="2"/>
      <c r="C7" s="1" t="s">
        <v>12</v>
      </c>
      <c r="D7" s="15" t="s">
        <v>146</v>
      </c>
      <c r="H7" s="5"/>
      <c r="J7" s="5"/>
    </row>
    <row r="8" ht="15.75" customHeight="1">
      <c r="B8" s="2"/>
      <c r="C8" s="1" t="s">
        <v>16</v>
      </c>
      <c r="D8" s="18">
        <v>9.4526871E7</v>
      </c>
      <c r="H8" s="5"/>
      <c r="I8" s="17"/>
      <c r="J8" s="19"/>
      <c r="K8" s="17"/>
      <c r="L8" s="21" t="s">
        <v>149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94676400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1.36881054E8</v>
      </c>
      <c r="U10" s="25"/>
    </row>
    <row r="11" ht="15.75" customHeight="1">
      <c r="A11" s="29">
        <v>45965.0</v>
      </c>
      <c r="B11" s="2" t="s">
        <v>152</v>
      </c>
      <c r="C11" s="30">
        <v>45966.0</v>
      </c>
      <c r="D11" s="8">
        <f t="shared" ref="D11:D70" si="1">$D$6</f>
        <v>2106024.227</v>
      </c>
      <c r="E11" s="15"/>
      <c r="F11" s="8">
        <f t="shared" ref="F11:F70" si="2">+H10*$D$4</f>
        <v>946764</v>
      </c>
      <c r="G11" s="8">
        <f t="shared" ref="G11:G70" si="3">+D11+E11-F11</f>
        <v>1159260.227</v>
      </c>
      <c r="H11" s="8">
        <f t="shared" ref="H11:H70" si="4">+H10-G11</f>
        <v>93517139.77</v>
      </c>
      <c r="J11" s="5"/>
      <c r="L11" s="33">
        <v>45875.0</v>
      </c>
      <c r="M11" s="34" t="s">
        <v>44</v>
      </c>
      <c r="N11" s="35" t="s">
        <v>158</v>
      </c>
      <c r="O11" s="36"/>
      <c r="P11" s="36">
        <v>1250000.0</v>
      </c>
      <c r="Q11" s="36"/>
      <c r="R11" s="36"/>
      <c r="S11" s="36">
        <f t="shared" ref="S11:S17" si="5">SUM(O11:R11)</f>
        <v>1250000</v>
      </c>
      <c r="T11" s="36">
        <f t="shared" ref="T11:T17" si="6">T10-S11</f>
        <v>135631054</v>
      </c>
      <c r="U11" s="34"/>
    </row>
    <row r="12" ht="15.75" customHeight="1">
      <c r="A12" s="29">
        <v>46003.0</v>
      </c>
      <c r="B12" s="2" t="s">
        <v>160</v>
      </c>
      <c r="C12" s="30">
        <v>45996.0</v>
      </c>
      <c r="D12" s="8">
        <f t="shared" si="1"/>
        <v>2106024.227</v>
      </c>
      <c r="E12" s="15"/>
      <c r="F12" s="8">
        <f t="shared" si="2"/>
        <v>935171.3977</v>
      </c>
      <c r="G12" s="8">
        <f t="shared" si="3"/>
        <v>1170852.829</v>
      </c>
      <c r="H12" s="8">
        <f t="shared" si="4"/>
        <v>92346286.94</v>
      </c>
      <c r="J12" s="5"/>
      <c r="L12" s="33">
        <v>45975.0</v>
      </c>
      <c r="M12" s="34" t="s">
        <v>44</v>
      </c>
      <c r="N12" s="35" t="s">
        <v>162</v>
      </c>
      <c r="O12" s="36"/>
      <c r="P12" s="36">
        <v>9520000.0</v>
      </c>
      <c r="Q12" s="36"/>
      <c r="R12" s="36"/>
      <c r="S12" s="36">
        <f t="shared" si="5"/>
        <v>9520000</v>
      </c>
      <c r="T12" s="36">
        <f t="shared" si="6"/>
        <v>126111054</v>
      </c>
      <c r="U12" s="34"/>
    </row>
    <row r="13" ht="15.75" customHeight="1">
      <c r="A13" s="29">
        <v>46059.0</v>
      </c>
      <c r="B13" s="2" t="s">
        <v>163</v>
      </c>
      <c r="C13" s="30">
        <v>46027.0</v>
      </c>
      <c r="D13" s="8">
        <f t="shared" si="1"/>
        <v>2106024.227</v>
      </c>
      <c r="E13" s="15"/>
      <c r="F13" s="8">
        <f t="shared" si="2"/>
        <v>923462.8694</v>
      </c>
      <c r="G13" s="8">
        <f t="shared" si="3"/>
        <v>1182561.357</v>
      </c>
      <c r="H13" s="8">
        <f t="shared" si="4"/>
        <v>91163725.59</v>
      </c>
      <c r="J13" s="5" t="s">
        <v>56</v>
      </c>
      <c r="L13" s="33">
        <v>45965.0</v>
      </c>
      <c r="M13" s="34" t="s">
        <v>73</v>
      </c>
      <c r="N13" s="35" t="s">
        <v>152</v>
      </c>
      <c r="O13" s="36"/>
      <c r="P13" s="36">
        <v>1500000.0</v>
      </c>
      <c r="Q13" s="36"/>
      <c r="R13" s="36"/>
      <c r="S13" s="36">
        <f t="shared" si="5"/>
        <v>1500000</v>
      </c>
      <c r="T13" s="36">
        <f t="shared" si="6"/>
        <v>124611054</v>
      </c>
      <c r="U13" s="34"/>
    </row>
    <row r="14" ht="15.75" customHeight="1">
      <c r="A14" s="29">
        <v>46136.0</v>
      </c>
      <c r="B14" s="2" t="s">
        <v>164</v>
      </c>
      <c r="C14" s="30">
        <v>46058.0</v>
      </c>
      <c r="D14" s="8">
        <f t="shared" si="1"/>
        <v>2106024.227</v>
      </c>
      <c r="E14" s="15"/>
      <c r="F14" s="8">
        <f t="shared" si="2"/>
        <v>911637.2559</v>
      </c>
      <c r="G14" s="8">
        <f t="shared" si="3"/>
        <v>1194386.971</v>
      </c>
      <c r="H14" s="8">
        <f t="shared" si="4"/>
        <v>89969338.62</v>
      </c>
      <c r="J14" s="8">
        <f>+H10</f>
        <v>94676400</v>
      </c>
      <c r="L14" s="33">
        <v>46003.0</v>
      </c>
      <c r="M14" s="34" t="s">
        <v>78</v>
      </c>
      <c r="N14" s="35" t="s">
        <v>160</v>
      </c>
      <c r="O14" s="36"/>
      <c r="P14" s="36">
        <v>1500001.0</v>
      </c>
      <c r="Q14" s="36"/>
      <c r="R14" s="36"/>
      <c r="S14" s="36">
        <f t="shared" si="5"/>
        <v>1500001</v>
      </c>
      <c r="T14" s="36">
        <f t="shared" si="6"/>
        <v>123111053</v>
      </c>
      <c r="U14" s="34"/>
    </row>
    <row r="15" ht="15.75" customHeight="1">
      <c r="A15" s="29">
        <v>46171.0</v>
      </c>
      <c r="B15" s="2" t="s">
        <v>166</v>
      </c>
      <c r="C15" s="30">
        <v>46086.0</v>
      </c>
      <c r="D15" s="8">
        <f t="shared" si="1"/>
        <v>2106024.227</v>
      </c>
      <c r="E15" s="15"/>
      <c r="F15" s="8">
        <f t="shared" si="2"/>
        <v>899693.3862</v>
      </c>
      <c r="G15" s="8">
        <f t="shared" si="3"/>
        <v>1206330.841</v>
      </c>
      <c r="H15" s="8">
        <f t="shared" si="4"/>
        <v>88763007.78</v>
      </c>
      <c r="J15" s="5"/>
      <c r="L15" s="33">
        <v>46059.0</v>
      </c>
      <c r="M15" s="34" t="s">
        <v>83</v>
      </c>
      <c r="N15" s="35" t="s">
        <v>163</v>
      </c>
      <c r="O15" s="36"/>
      <c r="P15" s="36">
        <v>1500000.0</v>
      </c>
      <c r="Q15" s="36"/>
      <c r="R15" s="36"/>
      <c r="S15" s="36">
        <f t="shared" si="5"/>
        <v>1500000</v>
      </c>
      <c r="T15" s="36">
        <f t="shared" si="6"/>
        <v>121611053</v>
      </c>
      <c r="U15" s="34"/>
    </row>
    <row r="16" ht="15.75" customHeight="1">
      <c r="A16" s="37"/>
      <c r="B16" s="2"/>
      <c r="C16" s="30">
        <v>46117.0</v>
      </c>
      <c r="D16" s="8">
        <f t="shared" si="1"/>
        <v>2106024.227</v>
      </c>
      <c r="E16" s="15"/>
      <c r="F16" s="8">
        <f t="shared" si="2"/>
        <v>887630.0778</v>
      </c>
      <c r="G16" s="8">
        <f t="shared" si="3"/>
        <v>1218394.149</v>
      </c>
      <c r="H16" s="8">
        <f t="shared" si="4"/>
        <v>87544613.63</v>
      </c>
      <c r="J16" s="5"/>
      <c r="L16" s="33">
        <v>46136.0</v>
      </c>
      <c r="M16" s="34" t="s">
        <v>85</v>
      </c>
      <c r="N16" s="35" t="s">
        <v>164</v>
      </c>
      <c r="O16" s="36"/>
      <c r="P16" s="36">
        <v>1500001.0</v>
      </c>
      <c r="Q16" s="36"/>
      <c r="R16" s="36"/>
      <c r="S16" s="36">
        <f t="shared" si="5"/>
        <v>1500001</v>
      </c>
      <c r="T16" s="36">
        <f t="shared" si="6"/>
        <v>120111052</v>
      </c>
      <c r="U16" s="34"/>
    </row>
    <row r="17" ht="15.75" customHeight="1">
      <c r="A17" s="37"/>
      <c r="B17" s="2"/>
      <c r="C17" s="30">
        <v>46147.0</v>
      </c>
      <c r="D17" s="8">
        <f t="shared" si="1"/>
        <v>2106024.227</v>
      </c>
      <c r="E17" s="15"/>
      <c r="F17" s="8">
        <f t="shared" si="2"/>
        <v>875446.1363</v>
      </c>
      <c r="G17" s="8">
        <f t="shared" si="3"/>
        <v>1230578.091</v>
      </c>
      <c r="H17" s="8">
        <f t="shared" si="4"/>
        <v>86314035.54</v>
      </c>
      <c r="J17" s="5"/>
      <c r="L17" s="33">
        <v>46171.0</v>
      </c>
      <c r="M17" s="34" t="s">
        <v>89</v>
      </c>
      <c r="N17" s="35" t="s">
        <v>166</v>
      </c>
      <c r="O17" s="36"/>
      <c r="P17" s="36">
        <v>1500000.0</v>
      </c>
      <c r="Q17" s="36"/>
      <c r="R17" s="36"/>
      <c r="S17" s="36">
        <f t="shared" si="5"/>
        <v>1500000</v>
      </c>
      <c r="T17" s="36">
        <f t="shared" si="6"/>
        <v>118611052</v>
      </c>
      <c r="U17" s="34"/>
    </row>
    <row r="18" ht="15.75" customHeight="1">
      <c r="A18" s="37"/>
      <c r="B18" s="2"/>
      <c r="C18" s="30">
        <v>46178.0</v>
      </c>
      <c r="D18" s="8">
        <f t="shared" si="1"/>
        <v>2106024.227</v>
      </c>
      <c r="E18" s="15"/>
      <c r="F18" s="8">
        <f t="shared" si="2"/>
        <v>863140.3554</v>
      </c>
      <c r="G18" s="8">
        <f t="shared" si="3"/>
        <v>1242883.871</v>
      </c>
      <c r="H18" s="8">
        <f t="shared" si="4"/>
        <v>85071151.66</v>
      </c>
      <c r="J18" s="5"/>
      <c r="L18" s="25"/>
      <c r="M18" s="38" t="s">
        <v>69</v>
      </c>
      <c r="N18" s="39"/>
      <c r="O18" s="27">
        <f t="shared" ref="O18:S18" si="7">SUM(O11:O17)</f>
        <v>0</v>
      </c>
      <c r="P18" s="27">
        <f t="shared" si="7"/>
        <v>18270002</v>
      </c>
      <c r="Q18" s="27">
        <f t="shared" si="7"/>
        <v>0</v>
      </c>
      <c r="R18" s="27">
        <f t="shared" si="7"/>
        <v>0</v>
      </c>
      <c r="S18" s="27">
        <f t="shared" si="7"/>
        <v>18270002</v>
      </c>
      <c r="T18" s="27">
        <f>T17</f>
        <v>118611052</v>
      </c>
      <c r="U18" s="25"/>
    </row>
    <row r="19" ht="15.75" customHeight="1">
      <c r="A19" s="37"/>
      <c r="B19" s="2"/>
      <c r="C19" s="30">
        <v>46208.0</v>
      </c>
      <c r="D19" s="8">
        <f t="shared" si="1"/>
        <v>2106024.227</v>
      </c>
      <c r="E19" s="15"/>
      <c r="F19" s="8">
        <f t="shared" si="2"/>
        <v>850711.5166</v>
      </c>
      <c r="G19" s="8">
        <f t="shared" si="3"/>
        <v>1255312.71</v>
      </c>
      <c r="H19" s="8">
        <f t="shared" si="4"/>
        <v>83815838.95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46239.0</v>
      </c>
      <c r="D20" s="8">
        <f t="shared" si="1"/>
        <v>2106024.227</v>
      </c>
      <c r="E20" s="15"/>
      <c r="F20" s="8">
        <f t="shared" si="2"/>
        <v>838158.3895</v>
      </c>
      <c r="G20" s="8">
        <f t="shared" si="3"/>
        <v>1267865.837</v>
      </c>
      <c r="H20" s="8">
        <f t="shared" si="4"/>
        <v>82547973.12</v>
      </c>
      <c r="J20" s="5"/>
    </row>
    <row r="21" ht="15.75" customHeight="1">
      <c r="A21" s="37"/>
      <c r="B21" s="2"/>
      <c r="C21" s="30">
        <v>46270.0</v>
      </c>
      <c r="D21" s="8">
        <f t="shared" si="1"/>
        <v>2106024.227</v>
      </c>
      <c r="E21" s="15"/>
      <c r="F21" s="8">
        <f t="shared" si="2"/>
        <v>825479.7312</v>
      </c>
      <c r="G21" s="8">
        <f t="shared" si="3"/>
        <v>1280544.496</v>
      </c>
      <c r="H21" s="8">
        <f t="shared" si="4"/>
        <v>81267428.62</v>
      </c>
      <c r="J21" s="5"/>
    </row>
    <row r="22" ht="15.75" customHeight="1">
      <c r="A22" s="37"/>
      <c r="B22" s="2"/>
      <c r="C22" s="30">
        <v>46300.0</v>
      </c>
      <c r="D22" s="8">
        <f t="shared" si="1"/>
        <v>2106024.227</v>
      </c>
      <c r="E22" s="15"/>
      <c r="F22" s="8">
        <f t="shared" si="2"/>
        <v>812674.2862</v>
      </c>
      <c r="G22" s="8">
        <f t="shared" si="3"/>
        <v>1293349.941</v>
      </c>
      <c r="H22" s="8">
        <f t="shared" si="4"/>
        <v>79974078.68</v>
      </c>
      <c r="J22" s="5"/>
    </row>
    <row r="23" ht="15.75" customHeight="1">
      <c r="A23" s="37"/>
      <c r="B23" s="2"/>
      <c r="C23" s="30">
        <v>46331.0</v>
      </c>
      <c r="D23" s="8">
        <f t="shared" si="1"/>
        <v>2106024.227</v>
      </c>
      <c r="E23" s="46"/>
      <c r="F23" s="8">
        <f t="shared" si="2"/>
        <v>799740.7868</v>
      </c>
      <c r="G23" s="8">
        <f t="shared" si="3"/>
        <v>1306283.44</v>
      </c>
      <c r="H23" s="8">
        <f t="shared" si="4"/>
        <v>78667795.24</v>
      </c>
      <c r="J23" s="5"/>
    </row>
    <row r="24" ht="15.75" customHeight="1">
      <c r="A24" s="37"/>
      <c r="B24" s="2"/>
      <c r="C24" s="30">
        <v>46361.0</v>
      </c>
      <c r="D24" s="8">
        <f t="shared" si="1"/>
        <v>2106024.227</v>
      </c>
      <c r="E24" s="46"/>
      <c r="F24" s="8">
        <f t="shared" si="2"/>
        <v>786677.9524</v>
      </c>
      <c r="G24" s="8">
        <f t="shared" si="3"/>
        <v>1319346.274</v>
      </c>
      <c r="H24" s="8">
        <f t="shared" si="4"/>
        <v>77348448.97</v>
      </c>
      <c r="J24" s="5"/>
    </row>
    <row r="25" ht="15.75" customHeight="1">
      <c r="B25" s="2"/>
      <c r="C25" s="30">
        <v>46392.0</v>
      </c>
      <c r="D25" s="8">
        <f t="shared" si="1"/>
        <v>2106024.227</v>
      </c>
      <c r="E25" s="46"/>
      <c r="F25" s="8">
        <f t="shared" si="2"/>
        <v>773484.4897</v>
      </c>
      <c r="G25" s="8">
        <f t="shared" si="3"/>
        <v>1332539.737</v>
      </c>
      <c r="H25" s="8">
        <f t="shared" si="4"/>
        <v>76015909.23</v>
      </c>
      <c r="J25" s="5"/>
    </row>
    <row r="26" ht="15.75" customHeight="1">
      <c r="B26" s="2"/>
      <c r="C26" s="30">
        <v>46423.0</v>
      </c>
      <c r="D26" s="8">
        <f t="shared" si="1"/>
        <v>2106024.227</v>
      </c>
      <c r="E26" s="46"/>
      <c r="F26" s="8">
        <f t="shared" si="2"/>
        <v>760159.0923</v>
      </c>
      <c r="G26" s="8">
        <f t="shared" si="3"/>
        <v>1345865.135</v>
      </c>
      <c r="H26" s="8">
        <f t="shared" si="4"/>
        <v>74670044.09</v>
      </c>
      <c r="J26" s="5"/>
    </row>
    <row r="27" ht="15.75" customHeight="1">
      <c r="B27" s="2"/>
      <c r="C27" s="30">
        <v>46451.0</v>
      </c>
      <c r="D27" s="8">
        <f t="shared" si="1"/>
        <v>2106024.227</v>
      </c>
      <c r="E27" s="46"/>
      <c r="F27" s="8">
        <f t="shared" si="2"/>
        <v>746700.4409</v>
      </c>
      <c r="G27" s="8">
        <f t="shared" si="3"/>
        <v>1359323.786</v>
      </c>
      <c r="H27" s="8">
        <f t="shared" si="4"/>
        <v>73310720.31</v>
      </c>
      <c r="J27" s="5"/>
    </row>
    <row r="28" ht="15.75" customHeight="1">
      <c r="B28" s="2"/>
      <c r="C28" s="30">
        <v>46482.0</v>
      </c>
      <c r="D28" s="8">
        <f t="shared" si="1"/>
        <v>2106024.227</v>
      </c>
      <c r="E28" s="46"/>
      <c r="F28" s="8">
        <f t="shared" si="2"/>
        <v>733107.2031</v>
      </c>
      <c r="G28" s="8">
        <f t="shared" si="3"/>
        <v>1372917.024</v>
      </c>
      <c r="H28" s="8">
        <f t="shared" si="4"/>
        <v>71937803.29</v>
      </c>
      <c r="J28" s="5"/>
    </row>
    <row r="29" ht="15.75" customHeight="1">
      <c r="B29" s="2"/>
      <c r="C29" s="30">
        <v>46512.0</v>
      </c>
      <c r="D29" s="8">
        <f t="shared" si="1"/>
        <v>2106024.227</v>
      </c>
      <c r="E29" s="46"/>
      <c r="F29" s="8">
        <f t="shared" si="2"/>
        <v>719378.0329</v>
      </c>
      <c r="G29" s="8">
        <f t="shared" si="3"/>
        <v>1386646.194</v>
      </c>
      <c r="H29" s="8">
        <f t="shared" si="4"/>
        <v>70551157.09</v>
      </c>
      <c r="J29" s="5"/>
    </row>
    <row r="30" ht="15.75" customHeight="1">
      <c r="B30" s="2"/>
      <c r="C30" s="30">
        <v>46543.0</v>
      </c>
      <c r="D30" s="8">
        <f t="shared" si="1"/>
        <v>2106024.227</v>
      </c>
      <c r="E30" s="46"/>
      <c r="F30" s="8">
        <f t="shared" si="2"/>
        <v>705511.5709</v>
      </c>
      <c r="G30" s="8">
        <f t="shared" si="3"/>
        <v>1400512.656</v>
      </c>
      <c r="H30" s="8">
        <f t="shared" si="4"/>
        <v>69150644.44</v>
      </c>
      <c r="J30" s="5"/>
    </row>
    <row r="31" ht="15.75" customHeight="1">
      <c r="B31" s="2"/>
      <c r="C31" s="30">
        <v>46573.0</v>
      </c>
      <c r="D31" s="8">
        <f t="shared" si="1"/>
        <v>2106024.227</v>
      </c>
      <c r="E31" s="46"/>
      <c r="F31" s="8">
        <f t="shared" si="2"/>
        <v>691506.4444</v>
      </c>
      <c r="G31" s="8">
        <f t="shared" si="3"/>
        <v>1414517.782</v>
      </c>
      <c r="H31" s="8">
        <f t="shared" si="4"/>
        <v>67736126.65</v>
      </c>
      <c r="J31" s="5"/>
    </row>
    <row r="32" ht="15.75" customHeight="1">
      <c r="B32" s="2"/>
      <c r="C32" s="30">
        <v>46604.0</v>
      </c>
      <c r="D32" s="8">
        <f t="shared" si="1"/>
        <v>2106024.227</v>
      </c>
      <c r="E32" s="46"/>
      <c r="F32" s="8">
        <f t="shared" si="2"/>
        <v>677361.2665</v>
      </c>
      <c r="G32" s="8">
        <f t="shared" si="3"/>
        <v>1428662.96</v>
      </c>
      <c r="H32" s="8">
        <f t="shared" si="4"/>
        <v>66307463.69</v>
      </c>
      <c r="J32" s="5"/>
    </row>
    <row r="33" ht="15.75" customHeight="1">
      <c r="B33" s="2"/>
      <c r="C33" s="30">
        <v>46635.0</v>
      </c>
      <c r="D33" s="8">
        <f t="shared" si="1"/>
        <v>2106024.227</v>
      </c>
      <c r="E33" s="46"/>
      <c r="F33" s="8">
        <f t="shared" si="2"/>
        <v>663074.6369</v>
      </c>
      <c r="G33" s="8">
        <f t="shared" si="3"/>
        <v>1442949.59</v>
      </c>
      <c r="H33" s="8">
        <f t="shared" si="4"/>
        <v>64864514.1</v>
      </c>
      <c r="J33" s="5"/>
    </row>
    <row r="34" ht="15.75" customHeight="1">
      <c r="B34" s="2"/>
      <c r="C34" s="30">
        <v>46665.0</v>
      </c>
      <c r="D34" s="8">
        <f t="shared" si="1"/>
        <v>2106024.227</v>
      </c>
      <c r="E34" s="46"/>
      <c r="F34" s="8">
        <f t="shared" si="2"/>
        <v>648645.141</v>
      </c>
      <c r="G34" s="8">
        <f t="shared" si="3"/>
        <v>1457379.086</v>
      </c>
      <c r="H34" s="8">
        <f t="shared" si="4"/>
        <v>63407135.02</v>
      </c>
      <c r="J34" s="5"/>
    </row>
    <row r="35" ht="15.75" customHeight="1">
      <c r="B35" s="2"/>
      <c r="C35" s="30">
        <v>46696.0</v>
      </c>
      <c r="D35" s="8">
        <f t="shared" si="1"/>
        <v>2106024.227</v>
      </c>
      <c r="E35" s="46"/>
      <c r="F35" s="8">
        <f t="shared" si="2"/>
        <v>634071.3502</v>
      </c>
      <c r="G35" s="8">
        <f t="shared" si="3"/>
        <v>1471952.877</v>
      </c>
      <c r="H35" s="8">
        <f t="shared" si="4"/>
        <v>61935182.14</v>
      </c>
      <c r="J35" s="5"/>
    </row>
    <row r="36" ht="15.75" customHeight="1">
      <c r="B36" s="2"/>
      <c r="C36" s="30">
        <v>46726.0</v>
      </c>
      <c r="D36" s="8">
        <f t="shared" si="1"/>
        <v>2106024.227</v>
      </c>
      <c r="E36" s="46"/>
      <c r="F36" s="8">
        <f t="shared" si="2"/>
        <v>619351.8214</v>
      </c>
      <c r="G36" s="8">
        <f t="shared" si="3"/>
        <v>1486672.405</v>
      </c>
      <c r="H36" s="8">
        <f t="shared" si="4"/>
        <v>60448509.73</v>
      </c>
      <c r="J36" s="5"/>
    </row>
    <row r="37" ht="15.75" customHeight="1">
      <c r="B37" s="2"/>
      <c r="C37" s="30">
        <v>46757.0</v>
      </c>
      <c r="D37" s="8">
        <f t="shared" si="1"/>
        <v>2106024.227</v>
      </c>
      <c r="E37" s="46"/>
      <c r="F37" s="8">
        <f t="shared" si="2"/>
        <v>604485.0973</v>
      </c>
      <c r="G37" s="8">
        <f t="shared" si="3"/>
        <v>1501539.129</v>
      </c>
      <c r="H37" s="8">
        <f t="shared" si="4"/>
        <v>58946970.61</v>
      </c>
      <c r="J37" s="5"/>
    </row>
    <row r="38" ht="15.75" customHeight="1">
      <c r="B38" s="2"/>
      <c r="C38" s="30">
        <v>46788.0</v>
      </c>
      <c r="D38" s="8">
        <f t="shared" si="1"/>
        <v>2106024.227</v>
      </c>
      <c r="E38" s="46"/>
      <c r="F38" s="8">
        <f t="shared" si="2"/>
        <v>589469.7061</v>
      </c>
      <c r="G38" s="8">
        <f t="shared" si="3"/>
        <v>1516554.521</v>
      </c>
      <c r="H38" s="8">
        <f t="shared" si="4"/>
        <v>57430416.08</v>
      </c>
      <c r="J38" s="5"/>
    </row>
    <row r="39" ht="15.75" customHeight="1">
      <c r="B39" s="2"/>
      <c r="C39" s="30">
        <v>46817.0</v>
      </c>
      <c r="D39" s="8">
        <f t="shared" si="1"/>
        <v>2106024.227</v>
      </c>
      <c r="E39" s="46"/>
      <c r="F39" s="8">
        <f t="shared" si="2"/>
        <v>574304.1608</v>
      </c>
      <c r="G39" s="8">
        <f t="shared" si="3"/>
        <v>1531720.066</v>
      </c>
      <c r="H39" s="8">
        <f t="shared" si="4"/>
        <v>55898696.02</v>
      </c>
      <c r="J39" s="5"/>
    </row>
    <row r="40" ht="15.75" customHeight="1">
      <c r="B40" s="2"/>
      <c r="C40" s="30">
        <v>46848.0</v>
      </c>
      <c r="D40" s="8">
        <f t="shared" si="1"/>
        <v>2106024.227</v>
      </c>
      <c r="E40" s="46"/>
      <c r="F40" s="8">
        <f t="shared" si="2"/>
        <v>558986.9602</v>
      </c>
      <c r="G40" s="8">
        <f t="shared" si="3"/>
        <v>1547037.267</v>
      </c>
      <c r="H40" s="8">
        <f t="shared" si="4"/>
        <v>54351658.75</v>
      </c>
      <c r="J40" s="5"/>
    </row>
    <row r="41" ht="15.75" customHeight="1">
      <c r="B41" s="2"/>
      <c r="C41" s="30">
        <v>46878.0</v>
      </c>
      <c r="D41" s="8">
        <f t="shared" si="1"/>
        <v>2106024.227</v>
      </c>
      <c r="E41" s="46"/>
      <c r="F41" s="8">
        <f t="shared" si="2"/>
        <v>543516.5875</v>
      </c>
      <c r="G41" s="8">
        <f t="shared" si="3"/>
        <v>1562507.639</v>
      </c>
      <c r="H41" s="8">
        <f t="shared" si="4"/>
        <v>52789151.11</v>
      </c>
      <c r="J41" s="5"/>
    </row>
    <row r="42" ht="15.75" customHeight="1">
      <c r="B42" s="2"/>
      <c r="C42" s="30">
        <v>46909.0</v>
      </c>
      <c r="D42" s="8">
        <f t="shared" si="1"/>
        <v>2106024.227</v>
      </c>
      <c r="E42" s="46"/>
      <c r="F42" s="8">
        <f t="shared" si="2"/>
        <v>527891.5111</v>
      </c>
      <c r="G42" s="8">
        <f t="shared" si="3"/>
        <v>1578132.716</v>
      </c>
      <c r="H42" s="8">
        <f t="shared" si="4"/>
        <v>51211018.4</v>
      </c>
      <c r="J42" s="5"/>
    </row>
    <row r="43" ht="15.75" customHeight="1">
      <c r="B43" s="2"/>
      <c r="C43" s="30">
        <v>46939.0</v>
      </c>
      <c r="D43" s="8">
        <f t="shared" si="1"/>
        <v>2106024.227</v>
      </c>
      <c r="E43" s="46"/>
      <c r="F43" s="8">
        <f t="shared" si="2"/>
        <v>512110.184</v>
      </c>
      <c r="G43" s="8">
        <f t="shared" si="3"/>
        <v>1593914.043</v>
      </c>
      <c r="H43" s="8">
        <f t="shared" si="4"/>
        <v>49617104.35</v>
      </c>
      <c r="J43" s="5"/>
    </row>
    <row r="44" ht="15.75" customHeight="1">
      <c r="B44" s="2"/>
      <c r="C44" s="30">
        <v>46970.0</v>
      </c>
      <c r="D44" s="8">
        <f t="shared" si="1"/>
        <v>2106024.227</v>
      </c>
      <c r="E44" s="46"/>
      <c r="F44" s="8">
        <f t="shared" si="2"/>
        <v>496171.0435</v>
      </c>
      <c r="G44" s="8">
        <f t="shared" si="3"/>
        <v>1609853.183</v>
      </c>
      <c r="H44" s="8">
        <f t="shared" si="4"/>
        <v>48007251.17</v>
      </c>
      <c r="J44" s="5"/>
    </row>
    <row r="45" ht="15.75" customHeight="1">
      <c r="B45" s="2"/>
      <c r="C45" s="30">
        <v>47001.0</v>
      </c>
      <c r="D45" s="8">
        <f t="shared" si="1"/>
        <v>2106024.227</v>
      </c>
      <c r="E45" s="46"/>
      <c r="F45" s="8">
        <f t="shared" si="2"/>
        <v>480072.5117</v>
      </c>
      <c r="G45" s="8">
        <f t="shared" si="3"/>
        <v>1625951.715</v>
      </c>
      <c r="H45" s="8">
        <f t="shared" si="4"/>
        <v>46381299.46</v>
      </c>
      <c r="J45" s="5"/>
    </row>
    <row r="46" ht="15.75" customHeight="1">
      <c r="B46" s="2"/>
      <c r="C46" s="30">
        <v>47031.0</v>
      </c>
      <c r="D46" s="8">
        <f t="shared" si="1"/>
        <v>2106024.227</v>
      </c>
      <c r="E46" s="46"/>
      <c r="F46" s="8">
        <f t="shared" si="2"/>
        <v>463812.9946</v>
      </c>
      <c r="G46" s="8">
        <f t="shared" si="3"/>
        <v>1642211.232</v>
      </c>
      <c r="H46" s="8">
        <f t="shared" si="4"/>
        <v>44739088.22</v>
      </c>
      <c r="J46" s="5"/>
    </row>
    <row r="47" ht="15.75" customHeight="1">
      <c r="B47" s="2"/>
      <c r="C47" s="30">
        <v>47062.0</v>
      </c>
      <c r="D47" s="8">
        <f t="shared" si="1"/>
        <v>2106024.227</v>
      </c>
      <c r="E47" s="46"/>
      <c r="F47" s="8">
        <f t="shared" si="2"/>
        <v>447390.8822</v>
      </c>
      <c r="G47" s="8">
        <f t="shared" si="3"/>
        <v>1658633.345</v>
      </c>
      <c r="H47" s="8">
        <f t="shared" si="4"/>
        <v>43080454.88</v>
      </c>
      <c r="J47" s="5"/>
    </row>
    <row r="48" ht="15.75" customHeight="1">
      <c r="B48" s="2"/>
      <c r="C48" s="30">
        <v>47092.0</v>
      </c>
      <c r="D48" s="8">
        <f t="shared" si="1"/>
        <v>2106024.227</v>
      </c>
      <c r="E48" s="46"/>
      <c r="F48" s="8">
        <f t="shared" si="2"/>
        <v>430804.5488</v>
      </c>
      <c r="G48" s="8">
        <f t="shared" si="3"/>
        <v>1675219.678</v>
      </c>
      <c r="H48" s="8">
        <f t="shared" si="4"/>
        <v>41405235.2</v>
      </c>
      <c r="J48" s="5"/>
    </row>
    <row r="49" ht="15.75" customHeight="1">
      <c r="B49" s="2"/>
      <c r="C49" s="30">
        <v>47123.0</v>
      </c>
      <c r="D49" s="8">
        <f t="shared" si="1"/>
        <v>2106024.227</v>
      </c>
      <c r="E49" s="46"/>
      <c r="F49" s="8">
        <f t="shared" si="2"/>
        <v>414052.352</v>
      </c>
      <c r="G49" s="8">
        <f t="shared" si="3"/>
        <v>1691971.875</v>
      </c>
      <c r="H49" s="8">
        <f t="shared" si="4"/>
        <v>39713263.33</v>
      </c>
      <c r="J49" s="5"/>
    </row>
    <row r="50" ht="15.75" customHeight="1">
      <c r="B50" s="2"/>
      <c r="C50" s="30">
        <v>47154.0</v>
      </c>
      <c r="D50" s="8">
        <f t="shared" si="1"/>
        <v>2106024.227</v>
      </c>
      <c r="E50" s="46"/>
      <c r="F50" s="8">
        <f t="shared" si="2"/>
        <v>397132.6333</v>
      </c>
      <c r="G50" s="8">
        <f t="shared" si="3"/>
        <v>1708891.594</v>
      </c>
      <c r="H50" s="8">
        <f t="shared" si="4"/>
        <v>38004371.73</v>
      </c>
      <c r="J50" s="5"/>
    </row>
    <row r="51" ht="15.75" customHeight="1">
      <c r="B51" s="2"/>
      <c r="C51" s="30">
        <v>47182.0</v>
      </c>
      <c r="D51" s="8">
        <f t="shared" si="1"/>
        <v>2106024.227</v>
      </c>
      <c r="E51" s="46"/>
      <c r="F51" s="8">
        <f t="shared" si="2"/>
        <v>380043.7173</v>
      </c>
      <c r="G51" s="8">
        <f t="shared" si="3"/>
        <v>1725980.509</v>
      </c>
      <c r="H51" s="8">
        <f t="shared" si="4"/>
        <v>36278391.22</v>
      </c>
      <c r="J51" s="5"/>
    </row>
    <row r="52" ht="15.75" customHeight="1">
      <c r="B52" s="2"/>
      <c r="C52" s="30">
        <v>47213.0</v>
      </c>
      <c r="D52" s="8">
        <f t="shared" si="1"/>
        <v>2106024.227</v>
      </c>
      <c r="E52" s="46"/>
      <c r="F52" s="8">
        <f t="shared" si="2"/>
        <v>362783.9122</v>
      </c>
      <c r="G52" s="8">
        <f t="shared" si="3"/>
        <v>1743240.315</v>
      </c>
      <c r="H52" s="8">
        <f t="shared" si="4"/>
        <v>34535150.91</v>
      </c>
      <c r="J52" s="5"/>
    </row>
    <row r="53" ht="15.75" customHeight="1">
      <c r="B53" s="2"/>
      <c r="C53" s="30">
        <v>47243.0</v>
      </c>
      <c r="D53" s="8">
        <f t="shared" si="1"/>
        <v>2106024.227</v>
      </c>
      <c r="E53" s="46"/>
      <c r="F53" s="8">
        <f t="shared" si="2"/>
        <v>345351.5091</v>
      </c>
      <c r="G53" s="8">
        <f t="shared" si="3"/>
        <v>1760672.718</v>
      </c>
      <c r="H53" s="8">
        <f t="shared" si="4"/>
        <v>32774478.19</v>
      </c>
      <c r="J53" s="5"/>
    </row>
    <row r="54" ht="15.75" customHeight="1">
      <c r="B54" s="2"/>
      <c r="C54" s="30">
        <v>47274.0</v>
      </c>
      <c r="D54" s="8">
        <f t="shared" si="1"/>
        <v>2106024.227</v>
      </c>
      <c r="E54" s="46"/>
      <c r="F54" s="8">
        <f t="shared" si="2"/>
        <v>327744.7819</v>
      </c>
      <c r="G54" s="8">
        <f t="shared" si="3"/>
        <v>1778279.445</v>
      </c>
      <c r="H54" s="8">
        <f t="shared" si="4"/>
        <v>30996198.75</v>
      </c>
      <c r="J54" s="5"/>
    </row>
    <row r="55" ht="15.75" customHeight="1">
      <c r="B55" s="2"/>
      <c r="C55" s="30">
        <v>47304.0</v>
      </c>
      <c r="D55" s="8">
        <f t="shared" si="1"/>
        <v>2106024.227</v>
      </c>
      <c r="E55" s="46"/>
      <c r="F55" s="8">
        <f t="shared" si="2"/>
        <v>309961.9875</v>
      </c>
      <c r="G55" s="8">
        <f t="shared" si="3"/>
        <v>1796062.239</v>
      </c>
      <c r="H55" s="8">
        <f t="shared" si="4"/>
        <v>29200136.51</v>
      </c>
      <c r="J55" s="5"/>
    </row>
    <row r="56" ht="15.75" customHeight="1">
      <c r="B56" s="2"/>
      <c r="C56" s="30">
        <v>47335.0</v>
      </c>
      <c r="D56" s="8">
        <f t="shared" si="1"/>
        <v>2106024.227</v>
      </c>
      <c r="E56" s="46"/>
      <c r="F56" s="8">
        <f t="shared" si="2"/>
        <v>292001.3651</v>
      </c>
      <c r="G56" s="8">
        <f t="shared" si="3"/>
        <v>1814022.862</v>
      </c>
      <c r="H56" s="8">
        <f t="shared" si="4"/>
        <v>27386113.65</v>
      </c>
      <c r="J56" s="5"/>
    </row>
    <row r="57" ht="15.75" customHeight="1">
      <c r="B57" s="2"/>
      <c r="C57" s="30">
        <v>47366.0</v>
      </c>
      <c r="D57" s="8">
        <f t="shared" si="1"/>
        <v>2106024.227</v>
      </c>
      <c r="E57" s="46"/>
      <c r="F57" s="8">
        <f t="shared" si="2"/>
        <v>273861.1365</v>
      </c>
      <c r="G57" s="8">
        <f t="shared" si="3"/>
        <v>1832163.09</v>
      </c>
      <c r="H57" s="8">
        <f t="shared" si="4"/>
        <v>25553950.55</v>
      </c>
      <c r="J57" s="5"/>
    </row>
    <row r="58" ht="15.75" customHeight="1">
      <c r="B58" s="2"/>
      <c r="C58" s="30">
        <v>47396.0</v>
      </c>
      <c r="D58" s="8">
        <f t="shared" si="1"/>
        <v>2106024.227</v>
      </c>
      <c r="E58" s="46"/>
      <c r="F58" s="8">
        <f t="shared" si="2"/>
        <v>255539.5055</v>
      </c>
      <c r="G58" s="8">
        <f t="shared" si="3"/>
        <v>1850484.721</v>
      </c>
      <c r="H58" s="8">
        <f t="shared" si="4"/>
        <v>23703465.83</v>
      </c>
      <c r="J58" s="5"/>
    </row>
    <row r="59" ht="15.75" customHeight="1">
      <c r="B59" s="2"/>
      <c r="C59" s="30">
        <v>47427.0</v>
      </c>
      <c r="D59" s="8">
        <f t="shared" si="1"/>
        <v>2106024.227</v>
      </c>
      <c r="E59" s="46"/>
      <c r="F59" s="8">
        <f t="shared" si="2"/>
        <v>237034.6583</v>
      </c>
      <c r="G59" s="8">
        <f t="shared" si="3"/>
        <v>1868989.568</v>
      </c>
      <c r="H59" s="8">
        <f t="shared" si="4"/>
        <v>21834476.27</v>
      </c>
      <c r="J59" s="5"/>
    </row>
    <row r="60" ht="15.75" customHeight="1">
      <c r="B60" s="2"/>
      <c r="C60" s="30">
        <v>47457.0</v>
      </c>
      <c r="D60" s="8">
        <f t="shared" si="1"/>
        <v>2106024.227</v>
      </c>
      <c r="E60" s="46"/>
      <c r="F60" s="8">
        <f t="shared" si="2"/>
        <v>218344.7627</v>
      </c>
      <c r="G60" s="8">
        <f t="shared" si="3"/>
        <v>1887679.464</v>
      </c>
      <c r="H60" s="8">
        <f t="shared" si="4"/>
        <v>19946796.8</v>
      </c>
      <c r="J60" s="5"/>
    </row>
    <row r="61" ht="15.75" customHeight="1">
      <c r="B61" s="2"/>
      <c r="C61" s="30">
        <v>47488.0</v>
      </c>
      <c r="D61" s="8">
        <f t="shared" si="1"/>
        <v>2106024.227</v>
      </c>
      <c r="E61" s="46"/>
      <c r="F61" s="8">
        <f t="shared" si="2"/>
        <v>199467.968</v>
      </c>
      <c r="G61" s="8">
        <f t="shared" si="3"/>
        <v>1906556.259</v>
      </c>
      <c r="H61" s="8">
        <f t="shared" si="4"/>
        <v>18040240.54</v>
      </c>
      <c r="J61" s="5"/>
    </row>
    <row r="62" ht="15.75" customHeight="1">
      <c r="B62" s="2"/>
      <c r="C62" s="30">
        <v>47519.0</v>
      </c>
      <c r="D62" s="8">
        <f t="shared" si="1"/>
        <v>2106024.227</v>
      </c>
      <c r="E62" s="46"/>
      <c r="F62" s="8">
        <f t="shared" si="2"/>
        <v>180402.4054</v>
      </c>
      <c r="G62" s="8">
        <f t="shared" si="3"/>
        <v>1925621.821</v>
      </c>
      <c r="H62" s="8">
        <f t="shared" si="4"/>
        <v>16114618.72</v>
      </c>
      <c r="J62" s="5"/>
    </row>
    <row r="63" ht="15.75" customHeight="1">
      <c r="B63" s="2"/>
      <c r="C63" s="30">
        <v>47547.0</v>
      </c>
      <c r="D63" s="8">
        <f t="shared" si="1"/>
        <v>2106024.227</v>
      </c>
      <c r="E63" s="46"/>
      <c r="F63" s="8">
        <f t="shared" si="2"/>
        <v>161146.1872</v>
      </c>
      <c r="G63" s="8">
        <f t="shared" si="3"/>
        <v>1944878.04</v>
      </c>
      <c r="H63" s="8">
        <f t="shared" si="4"/>
        <v>14169740.68</v>
      </c>
      <c r="J63" s="5"/>
    </row>
    <row r="64" ht="15.75" customHeight="1">
      <c r="B64" s="2"/>
      <c r="C64" s="30">
        <v>47578.0</v>
      </c>
      <c r="D64" s="8">
        <f t="shared" si="1"/>
        <v>2106024.227</v>
      </c>
      <c r="E64" s="46"/>
      <c r="F64" s="8">
        <f t="shared" si="2"/>
        <v>141697.4068</v>
      </c>
      <c r="G64" s="8">
        <f t="shared" si="3"/>
        <v>1964326.82</v>
      </c>
      <c r="H64" s="8">
        <f t="shared" si="4"/>
        <v>12205413.86</v>
      </c>
      <c r="J64" s="5"/>
    </row>
    <row r="65" ht="15.75" customHeight="1">
      <c r="B65" s="2"/>
      <c r="C65" s="30">
        <v>47608.0</v>
      </c>
      <c r="D65" s="8">
        <f t="shared" si="1"/>
        <v>2106024.227</v>
      </c>
      <c r="E65" s="46"/>
      <c r="F65" s="8">
        <f t="shared" si="2"/>
        <v>122054.1386</v>
      </c>
      <c r="G65" s="8">
        <f t="shared" si="3"/>
        <v>1983970.088</v>
      </c>
      <c r="H65" s="8">
        <f t="shared" si="4"/>
        <v>10221443.77</v>
      </c>
      <c r="J65" s="5"/>
    </row>
    <row r="66" ht="15.75" customHeight="1">
      <c r="B66" s="2"/>
      <c r="C66" s="30">
        <v>47639.0</v>
      </c>
      <c r="D66" s="8">
        <f t="shared" si="1"/>
        <v>2106024.227</v>
      </c>
      <c r="E66" s="46"/>
      <c r="F66" s="8">
        <f t="shared" si="2"/>
        <v>102214.4377</v>
      </c>
      <c r="G66" s="8">
        <f t="shared" si="3"/>
        <v>2003809.789</v>
      </c>
      <c r="H66" s="8">
        <f t="shared" si="4"/>
        <v>8217633.984</v>
      </c>
      <c r="J66" s="5"/>
    </row>
    <row r="67" ht="15.75" customHeight="1">
      <c r="B67" s="2"/>
      <c r="C67" s="30">
        <v>47669.0</v>
      </c>
      <c r="D67" s="8">
        <f t="shared" si="1"/>
        <v>2106024.227</v>
      </c>
      <c r="E67" s="46"/>
      <c r="F67" s="8">
        <f t="shared" si="2"/>
        <v>82176.33984</v>
      </c>
      <c r="G67" s="8">
        <f t="shared" si="3"/>
        <v>2023847.887</v>
      </c>
      <c r="H67" s="8">
        <f t="shared" si="4"/>
        <v>6193786.097</v>
      </c>
      <c r="J67" s="5"/>
    </row>
    <row r="68" ht="15.75" customHeight="1">
      <c r="B68" s="2"/>
      <c r="C68" s="30">
        <v>47700.0</v>
      </c>
      <c r="D68" s="8">
        <f t="shared" si="1"/>
        <v>2106024.227</v>
      </c>
      <c r="E68" s="46"/>
      <c r="F68" s="8">
        <f t="shared" si="2"/>
        <v>61937.86097</v>
      </c>
      <c r="G68" s="8">
        <f t="shared" si="3"/>
        <v>2044086.366</v>
      </c>
      <c r="H68" s="8">
        <f t="shared" si="4"/>
        <v>4149699.731</v>
      </c>
      <c r="J68" s="5"/>
    </row>
    <row r="69" ht="15.75" customHeight="1">
      <c r="B69" s="2"/>
      <c r="C69" s="30">
        <v>47731.0</v>
      </c>
      <c r="D69" s="8">
        <f t="shared" si="1"/>
        <v>2106024.227</v>
      </c>
      <c r="E69" s="46"/>
      <c r="F69" s="8">
        <f t="shared" si="2"/>
        <v>41496.99731</v>
      </c>
      <c r="G69" s="8">
        <f t="shared" si="3"/>
        <v>2064527.229</v>
      </c>
      <c r="H69" s="8">
        <f t="shared" si="4"/>
        <v>2085172.502</v>
      </c>
      <c r="J69" s="5"/>
    </row>
    <row r="70" ht="15.75" customHeight="1">
      <c r="B70" s="2"/>
      <c r="C70" s="30">
        <v>47761.0</v>
      </c>
      <c r="D70" s="8">
        <f t="shared" si="1"/>
        <v>2106024.227</v>
      </c>
      <c r="E70" s="46"/>
      <c r="F70" s="8">
        <f t="shared" si="2"/>
        <v>20851.72502</v>
      </c>
      <c r="G70" s="8">
        <f t="shared" si="3"/>
        <v>2085172.502</v>
      </c>
      <c r="H70" s="8">
        <f t="shared" si="4"/>
        <v>0.0000001464504749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C1" s="1" t="s">
        <v>0</v>
      </c>
      <c r="D1" s="3" t="s">
        <v>1</v>
      </c>
      <c r="E1" s="4"/>
      <c r="G1" s="1" t="s">
        <v>147</v>
      </c>
      <c r="J1" s="5"/>
    </row>
    <row r="2" ht="15.75" customHeight="1">
      <c r="C2" s="1" t="s">
        <v>6</v>
      </c>
      <c r="D2" s="6">
        <f>+A5*10%</f>
        <v>11328800</v>
      </c>
      <c r="E2" s="7"/>
      <c r="J2" s="5"/>
    </row>
    <row r="3" ht="15.75" customHeight="1">
      <c r="C3" s="1" t="s">
        <v>7</v>
      </c>
      <c r="D3" s="8">
        <f>+A5-D2</f>
        <v>101959200</v>
      </c>
      <c r="E3" s="9"/>
      <c r="H3" s="5"/>
      <c r="J3" s="5"/>
    </row>
    <row r="4" ht="15.75" customHeight="1">
      <c r="A4" s="10" t="s">
        <v>8</v>
      </c>
      <c r="C4" s="1" t="s">
        <v>9</v>
      </c>
      <c r="D4" s="11">
        <v>0.01</v>
      </c>
      <c r="E4" s="12"/>
      <c r="H4" s="5"/>
      <c r="J4" s="5"/>
    </row>
    <row r="5" ht="15.75" customHeight="1">
      <c r="A5" s="8">
        <v>1.13288E8</v>
      </c>
      <c r="C5" s="1" t="s">
        <v>10</v>
      </c>
      <c r="D5" s="13">
        <v>60.0</v>
      </c>
      <c r="E5" s="12"/>
      <c r="H5" s="5"/>
      <c r="J5" s="5"/>
    </row>
    <row r="6" ht="15.75" customHeight="1">
      <c r="C6" s="1" t="s">
        <v>11</v>
      </c>
      <c r="D6" s="8">
        <f>PMT(D4,D5,-D3)</f>
        <v>2268026.09</v>
      </c>
      <c r="E6" s="12"/>
      <c r="H6" s="5"/>
      <c r="J6" s="5"/>
    </row>
    <row r="7" ht="33.0" customHeight="1">
      <c r="C7" s="1" t="s">
        <v>12</v>
      </c>
      <c r="D7" s="14" t="s">
        <v>154</v>
      </c>
      <c r="H7" s="5"/>
      <c r="J7" s="5"/>
    </row>
    <row r="8" ht="15.75" customHeight="1">
      <c r="C8" s="1" t="s">
        <v>16</v>
      </c>
      <c r="D8" s="16" t="s">
        <v>155</v>
      </c>
      <c r="H8" s="5"/>
      <c r="I8" s="17"/>
      <c r="J8" s="19"/>
      <c r="K8" s="17"/>
      <c r="L8" s="21" t="s">
        <v>156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1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C10" s="13"/>
      <c r="D10" s="8"/>
      <c r="E10" s="9"/>
      <c r="F10" s="8"/>
      <c r="G10" s="8"/>
      <c r="H10" s="8">
        <f>+D3</f>
        <v>101959200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1.47410365E8</v>
      </c>
      <c r="U10" s="25"/>
    </row>
    <row r="11" ht="15.75" customHeight="1">
      <c r="A11" s="29">
        <v>46197.0</v>
      </c>
      <c r="B11" s="2" t="s">
        <v>161</v>
      </c>
      <c r="C11" s="58">
        <v>46188.0</v>
      </c>
      <c r="D11" s="8">
        <f t="shared" ref="D11:D70" si="1">$D$6</f>
        <v>2268026.09</v>
      </c>
      <c r="E11" s="15">
        <f t="shared" ref="E11:E12" si="2">2268400-D11</f>
        <v>373.9096056</v>
      </c>
      <c r="F11" s="8">
        <f t="shared" ref="F11:F70" si="3">+H10*$D$4</f>
        <v>1019592</v>
      </c>
      <c r="G11" s="8">
        <f t="shared" ref="G11:G70" si="4">+D11+E11-F11</f>
        <v>1248808</v>
      </c>
      <c r="H11" s="8">
        <f t="shared" ref="H11:H70" si="5">+H10-G11</f>
        <v>100710392</v>
      </c>
      <c r="J11" s="5"/>
      <c r="L11" s="33">
        <v>46130.0</v>
      </c>
      <c r="M11" s="34" t="s">
        <v>44</v>
      </c>
      <c r="N11" s="35" t="s">
        <v>165</v>
      </c>
      <c r="O11" s="36"/>
      <c r="P11" s="36">
        <v>1000000.0</v>
      </c>
      <c r="Q11" s="36"/>
      <c r="R11" s="36"/>
      <c r="S11" s="36">
        <f t="shared" ref="S11:S14" si="6">SUM(O11:R11)</f>
        <v>1000000</v>
      </c>
      <c r="T11" s="36">
        <f t="shared" ref="T11:T14" si="7">T10-S11</f>
        <v>146410365</v>
      </c>
      <c r="U11" s="34"/>
    </row>
    <row r="12" ht="15.75" customHeight="1">
      <c r="A12" s="29">
        <v>46234.0</v>
      </c>
      <c r="B12" s="2" t="s">
        <v>167</v>
      </c>
      <c r="C12" s="30">
        <v>46218.0</v>
      </c>
      <c r="D12" s="8">
        <f t="shared" si="1"/>
        <v>2268026.09</v>
      </c>
      <c r="E12" s="15">
        <f t="shared" si="2"/>
        <v>373.9096056</v>
      </c>
      <c r="F12" s="8">
        <f t="shared" si="3"/>
        <v>1007103.92</v>
      </c>
      <c r="G12" s="8">
        <f t="shared" si="4"/>
        <v>1261296.08</v>
      </c>
      <c r="H12" s="8">
        <f t="shared" si="5"/>
        <v>99449095.92</v>
      </c>
      <c r="J12" s="5"/>
      <c r="L12" s="40">
        <v>46153.0</v>
      </c>
      <c r="M12" s="34" t="s">
        <v>44</v>
      </c>
      <c r="N12" s="35" t="s">
        <v>168</v>
      </c>
      <c r="O12" s="36"/>
      <c r="P12" s="36">
        <v>1.03288E7</v>
      </c>
      <c r="Q12" s="36"/>
      <c r="R12" s="36"/>
      <c r="S12" s="36">
        <f t="shared" si="6"/>
        <v>10328800</v>
      </c>
      <c r="T12" s="36">
        <f t="shared" si="7"/>
        <v>136081565</v>
      </c>
      <c r="U12" s="34" t="s">
        <v>169</v>
      </c>
    </row>
    <row r="13" ht="15.75" customHeight="1">
      <c r="B13" s="2"/>
      <c r="C13" s="30">
        <v>46249.0</v>
      </c>
      <c r="D13" s="8">
        <f t="shared" si="1"/>
        <v>2268026.09</v>
      </c>
      <c r="E13" s="15"/>
      <c r="F13" s="8">
        <f t="shared" si="3"/>
        <v>994490.9592</v>
      </c>
      <c r="G13" s="8">
        <f t="shared" si="4"/>
        <v>1273535.131</v>
      </c>
      <c r="H13" s="8">
        <f t="shared" si="5"/>
        <v>98175560.79</v>
      </c>
      <c r="J13" s="5" t="s">
        <v>56</v>
      </c>
      <c r="L13" s="33">
        <v>46197.0</v>
      </c>
      <c r="M13" s="34" t="s">
        <v>73</v>
      </c>
      <c r="N13" s="35" t="s">
        <v>161</v>
      </c>
      <c r="O13" s="36"/>
      <c r="P13" s="36">
        <v>2268400.0</v>
      </c>
      <c r="Q13" s="36"/>
      <c r="R13" s="36"/>
      <c r="S13" s="36">
        <f t="shared" si="6"/>
        <v>2268400</v>
      </c>
      <c r="T13" s="36">
        <f t="shared" si="7"/>
        <v>133813165</v>
      </c>
      <c r="U13" s="34"/>
    </row>
    <row r="14" ht="15.75" customHeight="1">
      <c r="B14" s="2"/>
      <c r="C14" s="30">
        <v>46280.0</v>
      </c>
      <c r="D14" s="8">
        <f t="shared" si="1"/>
        <v>2268026.09</v>
      </c>
      <c r="E14" s="15"/>
      <c r="F14" s="8">
        <f t="shared" si="3"/>
        <v>981755.6079</v>
      </c>
      <c r="G14" s="8">
        <f t="shared" si="4"/>
        <v>1286270.483</v>
      </c>
      <c r="H14" s="8">
        <f t="shared" si="5"/>
        <v>96889290.31</v>
      </c>
      <c r="J14" s="8">
        <f>+H10</f>
        <v>101959200</v>
      </c>
      <c r="L14" s="33">
        <v>46234.0</v>
      </c>
      <c r="M14" s="34" t="s">
        <v>78</v>
      </c>
      <c r="N14" s="35" t="s">
        <v>167</v>
      </c>
      <c r="O14" s="36"/>
      <c r="P14" s="36">
        <v>2268400.0</v>
      </c>
      <c r="Q14" s="36"/>
      <c r="R14" s="36"/>
      <c r="S14" s="36">
        <f t="shared" si="6"/>
        <v>2268400</v>
      </c>
      <c r="T14" s="36">
        <f t="shared" si="7"/>
        <v>131544765</v>
      </c>
      <c r="U14" s="34"/>
    </row>
    <row r="15" ht="15.75" customHeight="1">
      <c r="A15" s="37"/>
      <c r="B15" s="2"/>
      <c r="C15" s="30">
        <v>46310.0</v>
      </c>
      <c r="D15" s="8">
        <f t="shared" si="1"/>
        <v>2268026.09</v>
      </c>
      <c r="E15" s="15"/>
      <c r="F15" s="8">
        <f t="shared" si="3"/>
        <v>968892.9031</v>
      </c>
      <c r="G15" s="8">
        <f t="shared" si="4"/>
        <v>1299133.187</v>
      </c>
      <c r="H15" s="8">
        <f t="shared" si="5"/>
        <v>95590157.12</v>
      </c>
      <c r="J15" s="5"/>
      <c r="L15" s="25"/>
      <c r="M15" s="38" t="s">
        <v>69</v>
      </c>
      <c r="N15" s="39"/>
      <c r="O15" s="27">
        <f t="shared" ref="O15:S15" si="8">SUM(O11:O14)</f>
        <v>0</v>
      </c>
      <c r="P15" s="27">
        <f t="shared" si="8"/>
        <v>15865600</v>
      </c>
      <c r="Q15" s="27">
        <f t="shared" si="8"/>
        <v>0</v>
      </c>
      <c r="R15" s="27">
        <f t="shared" si="8"/>
        <v>0</v>
      </c>
      <c r="S15" s="27">
        <f t="shared" si="8"/>
        <v>15865600</v>
      </c>
      <c r="T15" s="27">
        <f>T14</f>
        <v>131544765</v>
      </c>
      <c r="U15" s="25"/>
    </row>
    <row r="16" ht="15.75" customHeight="1">
      <c r="A16" s="37"/>
      <c r="B16" s="2"/>
      <c r="C16" s="30">
        <v>46341.0</v>
      </c>
      <c r="D16" s="8">
        <f t="shared" si="1"/>
        <v>2268026.09</v>
      </c>
      <c r="E16" s="15"/>
      <c r="F16" s="8">
        <f t="shared" si="3"/>
        <v>955901.5712</v>
      </c>
      <c r="G16" s="8">
        <f t="shared" si="4"/>
        <v>1312124.519</v>
      </c>
      <c r="H16" s="8">
        <f t="shared" si="5"/>
        <v>94278032.6</v>
      </c>
      <c r="J16" s="5"/>
    </row>
    <row r="17" ht="15.75" customHeight="1">
      <c r="A17" s="37"/>
      <c r="B17" s="2"/>
      <c r="C17" s="30">
        <v>46371.0</v>
      </c>
      <c r="D17" s="8">
        <f t="shared" si="1"/>
        <v>2268026.09</v>
      </c>
      <c r="E17" s="15"/>
      <c r="F17" s="8">
        <f t="shared" si="3"/>
        <v>942780.326</v>
      </c>
      <c r="G17" s="8">
        <f t="shared" si="4"/>
        <v>1325245.764</v>
      </c>
      <c r="H17" s="8">
        <f t="shared" si="5"/>
        <v>92952786.84</v>
      </c>
      <c r="J17" s="5"/>
    </row>
    <row r="18" ht="15.75" customHeight="1">
      <c r="A18" s="37"/>
      <c r="B18" s="2"/>
      <c r="C18" s="30">
        <v>46402.0</v>
      </c>
      <c r="D18" s="8">
        <f t="shared" si="1"/>
        <v>2268026.09</v>
      </c>
      <c r="E18" s="15"/>
      <c r="F18" s="8">
        <f t="shared" si="3"/>
        <v>929527.8684</v>
      </c>
      <c r="G18" s="8">
        <f t="shared" si="4"/>
        <v>1338498.222</v>
      </c>
      <c r="H18" s="8">
        <f t="shared" si="5"/>
        <v>91614288.61</v>
      </c>
      <c r="J18" s="5"/>
    </row>
    <row r="19" ht="15.75" customHeight="1">
      <c r="A19" s="37"/>
      <c r="B19" s="2"/>
      <c r="C19" s="30">
        <v>46433.0</v>
      </c>
      <c r="D19" s="8">
        <f t="shared" si="1"/>
        <v>2268026.09</v>
      </c>
      <c r="E19" s="15"/>
      <c r="F19" s="8">
        <f t="shared" si="3"/>
        <v>916142.8861</v>
      </c>
      <c r="G19" s="8">
        <f t="shared" si="4"/>
        <v>1351883.204</v>
      </c>
      <c r="H19" s="8">
        <f t="shared" si="5"/>
        <v>90262405.41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46461.0</v>
      </c>
      <c r="D20" s="8">
        <f t="shared" si="1"/>
        <v>2268026.09</v>
      </c>
      <c r="E20" s="15"/>
      <c r="F20" s="8">
        <f t="shared" si="3"/>
        <v>902624.0541</v>
      </c>
      <c r="G20" s="8">
        <f t="shared" si="4"/>
        <v>1365402.036</v>
      </c>
      <c r="H20" s="8">
        <f t="shared" si="5"/>
        <v>88897003.37</v>
      </c>
      <c r="J20" s="5"/>
    </row>
    <row r="21" ht="15.75" customHeight="1">
      <c r="A21" s="37"/>
      <c r="B21" s="2"/>
      <c r="C21" s="30">
        <v>46492.0</v>
      </c>
      <c r="D21" s="8">
        <f t="shared" si="1"/>
        <v>2268026.09</v>
      </c>
      <c r="E21" s="15"/>
      <c r="F21" s="8">
        <f t="shared" si="3"/>
        <v>888970.0337</v>
      </c>
      <c r="G21" s="8">
        <f t="shared" si="4"/>
        <v>1379056.057</v>
      </c>
      <c r="H21" s="8">
        <f t="shared" si="5"/>
        <v>87517947.32</v>
      </c>
      <c r="J21" s="5"/>
    </row>
    <row r="22" ht="15.75" customHeight="1">
      <c r="A22" s="37"/>
      <c r="B22" s="2"/>
      <c r="C22" s="30">
        <v>46522.0</v>
      </c>
      <c r="D22" s="8">
        <f t="shared" si="1"/>
        <v>2268026.09</v>
      </c>
      <c r="E22" s="15"/>
      <c r="F22" s="8">
        <f t="shared" si="3"/>
        <v>875179.4732</v>
      </c>
      <c r="G22" s="8">
        <f t="shared" si="4"/>
        <v>1392846.617</v>
      </c>
      <c r="H22" s="8">
        <f t="shared" si="5"/>
        <v>86125100.7</v>
      </c>
      <c r="J22" s="5"/>
    </row>
    <row r="23" ht="15.75" customHeight="1">
      <c r="A23" s="37"/>
      <c r="B23" s="2"/>
      <c r="C23" s="30">
        <v>46553.0</v>
      </c>
      <c r="D23" s="8">
        <f t="shared" si="1"/>
        <v>2268026.09</v>
      </c>
      <c r="E23" s="46"/>
      <c r="F23" s="8">
        <f t="shared" si="3"/>
        <v>861251.007</v>
      </c>
      <c r="G23" s="8">
        <f t="shared" si="4"/>
        <v>1406775.083</v>
      </c>
      <c r="H23" s="8">
        <f t="shared" si="5"/>
        <v>84718325.62</v>
      </c>
      <c r="J23" s="5"/>
    </row>
    <row r="24" ht="15.75" customHeight="1">
      <c r="A24" s="37"/>
      <c r="B24" s="2"/>
      <c r="C24" s="30">
        <v>46583.0</v>
      </c>
      <c r="D24" s="8">
        <f t="shared" si="1"/>
        <v>2268026.09</v>
      </c>
      <c r="E24" s="46"/>
      <c r="F24" s="8">
        <f t="shared" si="3"/>
        <v>847183.2562</v>
      </c>
      <c r="G24" s="8">
        <f t="shared" si="4"/>
        <v>1420842.834</v>
      </c>
      <c r="H24" s="8">
        <f t="shared" si="5"/>
        <v>83297482.78</v>
      </c>
      <c r="J24" s="5"/>
    </row>
    <row r="25" ht="15.75" customHeight="1">
      <c r="B25" s="2"/>
      <c r="C25" s="30">
        <v>46614.0</v>
      </c>
      <c r="D25" s="8">
        <f t="shared" si="1"/>
        <v>2268026.09</v>
      </c>
      <c r="E25" s="46"/>
      <c r="F25" s="8">
        <f t="shared" si="3"/>
        <v>832974.8278</v>
      </c>
      <c r="G25" s="8">
        <f t="shared" si="4"/>
        <v>1435051.263</v>
      </c>
      <c r="H25" s="8">
        <f t="shared" si="5"/>
        <v>81862431.52</v>
      </c>
      <c r="J25" s="5"/>
    </row>
    <row r="26" ht="15.75" customHeight="1">
      <c r="B26" s="2"/>
      <c r="C26" s="30">
        <v>46645.0</v>
      </c>
      <c r="D26" s="8">
        <f t="shared" si="1"/>
        <v>2268026.09</v>
      </c>
      <c r="E26" s="46"/>
      <c r="F26" s="8">
        <f t="shared" si="3"/>
        <v>818624.3152</v>
      </c>
      <c r="G26" s="8">
        <f t="shared" si="4"/>
        <v>1449401.775</v>
      </c>
      <c r="H26" s="8">
        <f t="shared" si="5"/>
        <v>80413029.74</v>
      </c>
      <c r="J26" s="5"/>
    </row>
    <row r="27" ht="15.75" customHeight="1">
      <c r="B27" s="2"/>
      <c r="C27" s="30">
        <v>46675.0</v>
      </c>
      <c r="D27" s="8">
        <f t="shared" si="1"/>
        <v>2268026.09</v>
      </c>
      <c r="E27" s="46"/>
      <c r="F27" s="8">
        <f t="shared" si="3"/>
        <v>804130.2974</v>
      </c>
      <c r="G27" s="8">
        <f t="shared" si="4"/>
        <v>1463895.793</v>
      </c>
      <c r="H27" s="8">
        <f t="shared" si="5"/>
        <v>78949133.95</v>
      </c>
      <c r="J27" s="5"/>
    </row>
    <row r="28" ht="15.75" customHeight="1">
      <c r="B28" s="2"/>
      <c r="C28" s="30">
        <v>46706.0</v>
      </c>
      <c r="D28" s="8">
        <f t="shared" si="1"/>
        <v>2268026.09</v>
      </c>
      <c r="E28" s="46"/>
      <c r="F28" s="8">
        <f t="shared" si="3"/>
        <v>789491.3395</v>
      </c>
      <c r="G28" s="8">
        <f t="shared" si="4"/>
        <v>1478534.751</v>
      </c>
      <c r="H28" s="8">
        <f t="shared" si="5"/>
        <v>77470599.2</v>
      </c>
      <c r="J28" s="5"/>
    </row>
    <row r="29" ht="15.75" customHeight="1">
      <c r="B29" s="2"/>
      <c r="C29" s="30">
        <v>46736.0</v>
      </c>
      <c r="D29" s="8">
        <f t="shared" si="1"/>
        <v>2268026.09</v>
      </c>
      <c r="E29" s="46"/>
      <c r="F29" s="8">
        <f t="shared" si="3"/>
        <v>774705.992</v>
      </c>
      <c r="G29" s="8">
        <f t="shared" si="4"/>
        <v>1493320.098</v>
      </c>
      <c r="H29" s="8">
        <f t="shared" si="5"/>
        <v>75977279.1</v>
      </c>
      <c r="J29" s="5"/>
    </row>
    <row r="30" ht="15.75" customHeight="1">
      <c r="B30" s="2"/>
      <c r="C30" s="30">
        <v>46767.0</v>
      </c>
      <c r="D30" s="8">
        <f t="shared" si="1"/>
        <v>2268026.09</v>
      </c>
      <c r="E30" s="46"/>
      <c r="F30" s="8">
        <f t="shared" si="3"/>
        <v>759772.791</v>
      </c>
      <c r="G30" s="8">
        <f t="shared" si="4"/>
        <v>1508253.299</v>
      </c>
      <c r="H30" s="8">
        <f t="shared" si="5"/>
        <v>74469025.8</v>
      </c>
      <c r="J30" s="5"/>
    </row>
    <row r="31" ht="15.75" customHeight="1">
      <c r="B31" s="2"/>
      <c r="C31" s="30">
        <v>46798.0</v>
      </c>
      <c r="D31" s="8">
        <f t="shared" si="1"/>
        <v>2268026.09</v>
      </c>
      <c r="E31" s="46"/>
      <c r="F31" s="8">
        <f t="shared" si="3"/>
        <v>744690.258</v>
      </c>
      <c r="G31" s="8">
        <f t="shared" si="4"/>
        <v>1523335.832</v>
      </c>
      <c r="H31" s="8">
        <f t="shared" si="5"/>
        <v>72945689.97</v>
      </c>
      <c r="J31" s="5"/>
    </row>
    <row r="32" ht="15.75" customHeight="1">
      <c r="B32" s="2"/>
      <c r="C32" s="30">
        <v>46827.0</v>
      </c>
      <c r="D32" s="8">
        <f t="shared" si="1"/>
        <v>2268026.09</v>
      </c>
      <c r="E32" s="46"/>
      <c r="F32" s="8">
        <f t="shared" si="3"/>
        <v>729456.8997</v>
      </c>
      <c r="G32" s="8">
        <f t="shared" si="4"/>
        <v>1538569.191</v>
      </c>
      <c r="H32" s="8">
        <f t="shared" si="5"/>
        <v>71407120.78</v>
      </c>
      <c r="J32" s="5"/>
    </row>
    <row r="33" ht="15.75" customHeight="1">
      <c r="B33" s="2"/>
      <c r="C33" s="30">
        <v>46858.0</v>
      </c>
      <c r="D33" s="8">
        <f t="shared" si="1"/>
        <v>2268026.09</v>
      </c>
      <c r="E33" s="46"/>
      <c r="F33" s="8">
        <f t="shared" si="3"/>
        <v>714071.2078</v>
      </c>
      <c r="G33" s="8">
        <f t="shared" si="4"/>
        <v>1553954.883</v>
      </c>
      <c r="H33" s="8">
        <f t="shared" si="5"/>
        <v>69853165.9</v>
      </c>
      <c r="J33" s="5"/>
    </row>
    <row r="34" ht="15.75" customHeight="1">
      <c r="B34" s="2"/>
      <c r="C34" s="30">
        <v>46888.0</v>
      </c>
      <c r="D34" s="8">
        <f t="shared" si="1"/>
        <v>2268026.09</v>
      </c>
      <c r="E34" s="46"/>
      <c r="F34" s="8">
        <f t="shared" si="3"/>
        <v>698531.659</v>
      </c>
      <c r="G34" s="8">
        <f t="shared" si="4"/>
        <v>1569494.431</v>
      </c>
      <c r="H34" s="8">
        <f t="shared" si="5"/>
        <v>68283671.46</v>
      </c>
      <c r="J34" s="5"/>
    </row>
    <row r="35" ht="15.75" customHeight="1">
      <c r="B35" s="2"/>
      <c r="C35" s="30">
        <v>46919.0</v>
      </c>
      <c r="D35" s="8">
        <f t="shared" si="1"/>
        <v>2268026.09</v>
      </c>
      <c r="E35" s="46"/>
      <c r="F35" s="8">
        <f t="shared" si="3"/>
        <v>682836.7146</v>
      </c>
      <c r="G35" s="8">
        <f t="shared" si="4"/>
        <v>1585189.376</v>
      </c>
      <c r="H35" s="8">
        <f t="shared" si="5"/>
        <v>66698482.09</v>
      </c>
      <c r="J35" s="5"/>
    </row>
    <row r="36" ht="15.75" customHeight="1">
      <c r="C36" s="30">
        <v>46949.0</v>
      </c>
      <c r="D36" s="8">
        <f t="shared" si="1"/>
        <v>2268026.09</v>
      </c>
      <c r="E36" s="46"/>
      <c r="F36" s="8">
        <f t="shared" si="3"/>
        <v>666984.8209</v>
      </c>
      <c r="G36" s="8">
        <f t="shared" si="4"/>
        <v>1601041.27</v>
      </c>
      <c r="H36" s="8">
        <f t="shared" si="5"/>
        <v>65097440.82</v>
      </c>
      <c r="J36" s="5"/>
    </row>
    <row r="37" ht="15.75" customHeight="1">
      <c r="C37" s="30">
        <v>46980.0</v>
      </c>
      <c r="D37" s="8">
        <f t="shared" si="1"/>
        <v>2268026.09</v>
      </c>
      <c r="E37" s="46"/>
      <c r="F37" s="8">
        <f t="shared" si="3"/>
        <v>650974.4082</v>
      </c>
      <c r="G37" s="8">
        <f t="shared" si="4"/>
        <v>1617051.682</v>
      </c>
      <c r="H37" s="8">
        <f t="shared" si="5"/>
        <v>63480389.14</v>
      </c>
      <c r="J37" s="5"/>
    </row>
    <row r="38" ht="15.75" customHeight="1">
      <c r="C38" s="30">
        <v>47011.0</v>
      </c>
      <c r="D38" s="8">
        <f t="shared" si="1"/>
        <v>2268026.09</v>
      </c>
      <c r="E38" s="46"/>
      <c r="F38" s="8">
        <f t="shared" si="3"/>
        <v>634803.8914</v>
      </c>
      <c r="G38" s="8">
        <f t="shared" si="4"/>
        <v>1633222.199</v>
      </c>
      <c r="H38" s="8">
        <f t="shared" si="5"/>
        <v>61847166.94</v>
      </c>
      <c r="J38" s="5"/>
    </row>
    <row r="39" ht="15.75" customHeight="1">
      <c r="C39" s="30">
        <v>47041.0</v>
      </c>
      <c r="D39" s="8">
        <f t="shared" si="1"/>
        <v>2268026.09</v>
      </c>
      <c r="E39" s="46"/>
      <c r="F39" s="8">
        <f t="shared" si="3"/>
        <v>618471.6694</v>
      </c>
      <c r="G39" s="8">
        <f t="shared" si="4"/>
        <v>1649554.421</v>
      </c>
      <c r="H39" s="8">
        <f t="shared" si="5"/>
        <v>60197612.52</v>
      </c>
      <c r="J39" s="5"/>
    </row>
    <row r="40" ht="15.75" customHeight="1">
      <c r="C40" s="30">
        <v>47072.0</v>
      </c>
      <c r="D40" s="8">
        <f t="shared" si="1"/>
        <v>2268026.09</v>
      </c>
      <c r="E40" s="46"/>
      <c r="F40" s="8">
        <f t="shared" si="3"/>
        <v>601976.1252</v>
      </c>
      <c r="G40" s="8">
        <f t="shared" si="4"/>
        <v>1666049.965</v>
      </c>
      <c r="H40" s="8">
        <f t="shared" si="5"/>
        <v>58531562.55</v>
      </c>
      <c r="J40" s="5"/>
    </row>
    <row r="41" ht="15.75" customHeight="1">
      <c r="C41" s="30">
        <v>47102.0</v>
      </c>
      <c r="D41" s="8">
        <f t="shared" si="1"/>
        <v>2268026.09</v>
      </c>
      <c r="E41" s="46"/>
      <c r="F41" s="8">
        <f t="shared" si="3"/>
        <v>585315.6255</v>
      </c>
      <c r="G41" s="8">
        <f t="shared" si="4"/>
        <v>1682710.465</v>
      </c>
      <c r="H41" s="8">
        <f t="shared" si="5"/>
        <v>56848852.09</v>
      </c>
      <c r="J41" s="5"/>
    </row>
    <row r="42" ht="15.75" customHeight="1">
      <c r="C42" s="30">
        <v>47133.0</v>
      </c>
      <c r="D42" s="8">
        <f t="shared" si="1"/>
        <v>2268026.09</v>
      </c>
      <c r="E42" s="46"/>
      <c r="F42" s="8">
        <f t="shared" si="3"/>
        <v>568488.5209</v>
      </c>
      <c r="G42" s="8">
        <f t="shared" si="4"/>
        <v>1699537.57</v>
      </c>
      <c r="H42" s="8">
        <f t="shared" si="5"/>
        <v>55149314.52</v>
      </c>
      <c r="J42" s="5"/>
    </row>
    <row r="43" ht="15.75" customHeight="1">
      <c r="C43" s="30">
        <v>47164.0</v>
      </c>
      <c r="D43" s="8">
        <f t="shared" si="1"/>
        <v>2268026.09</v>
      </c>
      <c r="E43" s="46"/>
      <c r="F43" s="8">
        <f t="shared" si="3"/>
        <v>551493.1452</v>
      </c>
      <c r="G43" s="8">
        <f t="shared" si="4"/>
        <v>1716532.945</v>
      </c>
      <c r="H43" s="8">
        <f t="shared" si="5"/>
        <v>53432781.57</v>
      </c>
      <c r="J43" s="5"/>
    </row>
    <row r="44" ht="15.75" customHeight="1">
      <c r="C44" s="30">
        <v>47192.0</v>
      </c>
      <c r="D44" s="8">
        <f t="shared" si="1"/>
        <v>2268026.09</v>
      </c>
      <c r="E44" s="46"/>
      <c r="F44" s="8">
        <f t="shared" si="3"/>
        <v>534327.8157</v>
      </c>
      <c r="G44" s="8">
        <f t="shared" si="4"/>
        <v>1733698.275</v>
      </c>
      <c r="H44" s="8">
        <f t="shared" si="5"/>
        <v>51699083.3</v>
      </c>
      <c r="J44" s="5"/>
    </row>
    <row r="45" ht="15.75" customHeight="1">
      <c r="C45" s="30">
        <v>47223.0</v>
      </c>
      <c r="D45" s="8">
        <f t="shared" si="1"/>
        <v>2268026.09</v>
      </c>
      <c r="E45" s="46"/>
      <c r="F45" s="8">
        <f t="shared" si="3"/>
        <v>516990.833</v>
      </c>
      <c r="G45" s="8">
        <f t="shared" si="4"/>
        <v>1751035.257</v>
      </c>
      <c r="H45" s="8">
        <f t="shared" si="5"/>
        <v>49948048.04</v>
      </c>
      <c r="J45" s="5"/>
    </row>
    <row r="46" ht="15.75" customHeight="1">
      <c r="C46" s="30">
        <v>47253.0</v>
      </c>
      <c r="D46" s="8">
        <f t="shared" si="1"/>
        <v>2268026.09</v>
      </c>
      <c r="E46" s="46"/>
      <c r="F46" s="8">
        <f t="shared" si="3"/>
        <v>499480.4804</v>
      </c>
      <c r="G46" s="8">
        <f t="shared" si="4"/>
        <v>1768545.61</v>
      </c>
      <c r="H46" s="8">
        <f t="shared" si="5"/>
        <v>48179502.43</v>
      </c>
      <c r="J46" s="5"/>
    </row>
    <row r="47" ht="15.75" customHeight="1">
      <c r="C47" s="30">
        <v>47284.0</v>
      </c>
      <c r="D47" s="8">
        <f t="shared" si="1"/>
        <v>2268026.09</v>
      </c>
      <c r="E47" s="46"/>
      <c r="F47" s="8">
        <f t="shared" si="3"/>
        <v>481795.0243</v>
      </c>
      <c r="G47" s="8">
        <f t="shared" si="4"/>
        <v>1786231.066</v>
      </c>
      <c r="H47" s="8">
        <f t="shared" si="5"/>
        <v>46393271.36</v>
      </c>
      <c r="J47" s="5"/>
    </row>
    <row r="48" ht="15.75" customHeight="1">
      <c r="C48" s="30">
        <v>47314.0</v>
      </c>
      <c r="D48" s="8">
        <f t="shared" si="1"/>
        <v>2268026.09</v>
      </c>
      <c r="E48" s="46"/>
      <c r="F48" s="8">
        <f t="shared" si="3"/>
        <v>463932.7136</v>
      </c>
      <c r="G48" s="8">
        <f t="shared" si="4"/>
        <v>1804093.377</v>
      </c>
      <c r="H48" s="8">
        <f t="shared" si="5"/>
        <v>44589177.99</v>
      </c>
      <c r="J48" s="5"/>
    </row>
    <row r="49" ht="15.75" customHeight="1">
      <c r="C49" s="30">
        <v>47345.0</v>
      </c>
      <c r="D49" s="8">
        <f t="shared" si="1"/>
        <v>2268026.09</v>
      </c>
      <c r="E49" s="46"/>
      <c r="F49" s="8">
        <f t="shared" si="3"/>
        <v>445891.7799</v>
      </c>
      <c r="G49" s="8">
        <f t="shared" si="4"/>
        <v>1822134.311</v>
      </c>
      <c r="H49" s="8">
        <f t="shared" si="5"/>
        <v>42767043.68</v>
      </c>
      <c r="J49" s="5"/>
    </row>
    <row r="50" ht="15.75" customHeight="1">
      <c r="C50" s="30">
        <v>47376.0</v>
      </c>
      <c r="D50" s="8">
        <f t="shared" si="1"/>
        <v>2268026.09</v>
      </c>
      <c r="E50" s="46"/>
      <c r="F50" s="8">
        <f t="shared" si="3"/>
        <v>427670.4368</v>
      </c>
      <c r="G50" s="8">
        <f t="shared" si="4"/>
        <v>1840355.654</v>
      </c>
      <c r="H50" s="8">
        <f t="shared" si="5"/>
        <v>40926688.02</v>
      </c>
      <c r="J50" s="5"/>
    </row>
    <row r="51" ht="15.75" customHeight="1">
      <c r="C51" s="30">
        <v>47406.0</v>
      </c>
      <c r="D51" s="8">
        <f t="shared" si="1"/>
        <v>2268026.09</v>
      </c>
      <c r="E51" s="46"/>
      <c r="F51" s="8">
        <f t="shared" si="3"/>
        <v>409266.8802</v>
      </c>
      <c r="G51" s="8">
        <f t="shared" si="4"/>
        <v>1858759.21</v>
      </c>
      <c r="H51" s="8">
        <f t="shared" si="5"/>
        <v>39067928.81</v>
      </c>
      <c r="J51" s="5"/>
    </row>
    <row r="52" ht="15.75" customHeight="1">
      <c r="C52" s="30">
        <v>47437.0</v>
      </c>
      <c r="D52" s="8">
        <f t="shared" si="1"/>
        <v>2268026.09</v>
      </c>
      <c r="E52" s="46"/>
      <c r="F52" s="8">
        <f t="shared" si="3"/>
        <v>390679.2881</v>
      </c>
      <c r="G52" s="8">
        <f t="shared" si="4"/>
        <v>1877346.802</v>
      </c>
      <c r="H52" s="8">
        <f t="shared" si="5"/>
        <v>37190582.01</v>
      </c>
      <c r="J52" s="5"/>
    </row>
    <row r="53" ht="15.75" customHeight="1">
      <c r="C53" s="30">
        <v>47467.0</v>
      </c>
      <c r="D53" s="8">
        <f t="shared" si="1"/>
        <v>2268026.09</v>
      </c>
      <c r="E53" s="46"/>
      <c r="F53" s="8">
        <f t="shared" si="3"/>
        <v>371905.8201</v>
      </c>
      <c r="G53" s="8">
        <f t="shared" si="4"/>
        <v>1896120.27</v>
      </c>
      <c r="H53" s="8">
        <f t="shared" si="5"/>
        <v>35294461.74</v>
      </c>
      <c r="J53" s="5"/>
    </row>
    <row r="54" ht="15.75" customHeight="1">
      <c r="C54" s="30">
        <v>47498.0</v>
      </c>
      <c r="D54" s="8">
        <f t="shared" si="1"/>
        <v>2268026.09</v>
      </c>
      <c r="E54" s="46"/>
      <c r="F54" s="8">
        <f t="shared" si="3"/>
        <v>352944.6174</v>
      </c>
      <c r="G54" s="8">
        <f t="shared" si="4"/>
        <v>1915081.473</v>
      </c>
      <c r="H54" s="8">
        <f t="shared" si="5"/>
        <v>33379380.27</v>
      </c>
      <c r="J54" s="5"/>
    </row>
    <row r="55" ht="15.75" customHeight="1">
      <c r="C55" s="30">
        <v>47529.0</v>
      </c>
      <c r="D55" s="8">
        <f t="shared" si="1"/>
        <v>2268026.09</v>
      </c>
      <c r="E55" s="46"/>
      <c r="F55" s="8">
        <f t="shared" si="3"/>
        <v>333793.8027</v>
      </c>
      <c r="G55" s="8">
        <f t="shared" si="4"/>
        <v>1934232.288</v>
      </c>
      <c r="H55" s="8">
        <f t="shared" si="5"/>
        <v>31445147.98</v>
      </c>
      <c r="J55" s="5"/>
    </row>
    <row r="56" ht="15.75" customHeight="1">
      <c r="C56" s="30">
        <v>47557.0</v>
      </c>
      <c r="D56" s="8">
        <f t="shared" si="1"/>
        <v>2268026.09</v>
      </c>
      <c r="E56" s="46"/>
      <c r="F56" s="8">
        <f t="shared" si="3"/>
        <v>314451.4798</v>
      </c>
      <c r="G56" s="8">
        <f t="shared" si="4"/>
        <v>1953574.611</v>
      </c>
      <c r="H56" s="8">
        <f t="shared" si="5"/>
        <v>29491573.37</v>
      </c>
      <c r="J56" s="5"/>
    </row>
    <row r="57" ht="15.75" customHeight="1">
      <c r="C57" s="30">
        <v>47588.0</v>
      </c>
      <c r="D57" s="8">
        <f t="shared" si="1"/>
        <v>2268026.09</v>
      </c>
      <c r="E57" s="46"/>
      <c r="F57" s="8">
        <f t="shared" si="3"/>
        <v>294915.7337</v>
      </c>
      <c r="G57" s="8">
        <f t="shared" si="4"/>
        <v>1973110.357</v>
      </c>
      <c r="H57" s="8">
        <f t="shared" si="5"/>
        <v>27518463.01</v>
      </c>
      <c r="J57" s="5"/>
    </row>
    <row r="58" ht="15.75" customHeight="1">
      <c r="C58" s="30">
        <v>47618.0</v>
      </c>
      <c r="D58" s="8">
        <f t="shared" si="1"/>
        <v>2268026.09</v>
      </c>
      <c r="E58" s="46"/>
      <c r="F58" s="8">
        <f t="shared" si="3"/>
        <v>275184.6301</v>
      </c>
      <c r="G58" s="8">
        <f t="shared" si="4"/>
        <v>1992841.46</v>
      </c>
      <c r="H58" s="8">
        <f t="shared" si="5"/>
        <v>25525621.55</v>
      </c>
      <c r="J58" s="5"/>
    </row>
    <row r="59" ht="15.75" customHeight="1">
      <c r="C59" s="30">
        <v>47649.0</v>
      </c>
      <c r="D59" s="8">
        <f t="shared" si="1"/>
        <v>2268026.09</v>
      </c>
      <c r="E59" s="46"/>
      <c r="F59" s="8">
        <f t="shared" si="3"/>
        <v>255256.2155</v>
      </c>
      <c r="G59" s="8">
        <f t="shared" si="4"/>
        <v>2012769.875</v>
      </c>
      <c r="H59" s="8">
        <f t="shared" si="5"/>
        <v>23512851.68</v>
      </c>
      <c r="J59" s="5"/>
    </row>
    <row r="60" ht="15.75" customHeight="1">
      <c r="C60" s="30">
        <v>47679.0</v>
      </c>
      <c r="D60" s="8">
        <f t="shared" si="1"/>
        <v>2268026.09</v>
      </c>
      <c r="E60" s="46"/>
      <c r="F60" s="8">
        <f t="shared" si="3"/>
        <v>235128.5168</v>
      </c>
      <c r="G60" s="8">
        <f t="shared" si="4"/>
        <v>2032897.574</v>
      </c>
      <c r="H60" s="8">
        <f t="shared" si="5"/>
        <v>21479954.1</v>
      </c>
      <c r="J60" s="5"/>
    </row>
    <row r="61" ht="15.75" customHeight="1">
      <c r="C61" s="30">
        <v>47710.0</v>
      </c>
      <c r="D61" s="8">
        <f t="shared" si="1"/>
        <v>2268026.09</v>
      </c>
      <c r="E61" s="46"/>
      <c r="F61" s="8">
        <f t="shared" si="3"/>
        <v>214799.541</v>
      </c>
      <c r="G61" s="8">
        <f t="shared" si="4"/>
        <v>2053226.549</v>
      </c>
      <c r="H61" s="8">
        <f t="shared" si="5"/>
        <v>19426727.55</v>
      </c>
      <c r="J61" s="5"/>
    </row>
    <row r="62" ht="15.75" customHeight="1">
      <c r="C62" s="30">
        <v>47741.0</v>
      </c>
      <c r="D62" s="8">
        <f t="shared" si="1"/>
        <v>2268026.09</v>
      </c>
      <c r="E62" s="46"/>
      <c r="F62" s="8">
        <f t="shared" si="3"/>
        <v>194267.2755</v>
      </c>
      <c r="G62" s="8">
        <f t="shared" si="4"/>
        <v>2073758.815</v>
      </c>
      <c r="H62" s="8">
        <f t="shared" si="5"/>
        <v>17352968.74</v>
      </c>
      <c r="J62" s="5"/>
    </row>
    <row r="63" ht="15.75" customHeight="1">
      <c r="C63" s="30">
        <v>47771.0</v>
      </c>
      <c r="D63" s="8">
        <f t="shared" si="1"/>
        <v>2268026.09</v>
      </c>
      <c r="E63" s="46"/>
      <c r="F63" s="8">
        <f t="shared" si="3"/>
        <v>173529.6874</v>
      </c>
      <c r="G63" s="8">
        <f t="shared" si="4"/>
        <v>2094496.403</v>
      </c>
      <c r="H63" s="8">
        <f t="shared" si="5"/>
        <v>15258472.34</v>
      </c>
      <c r="J63" s="5"/>
    </row>
    <row r="64" ht="15.75" customHeight="1">
      <c r="C64" s="30">
        <v>47802.0</v>
      </c>
      <c r="D64" s="8">
        <f t="shared" si="1"/>
        <v>2268026.09</v>
      </c>
      <c r="E64" s="46"/>
      <c r="F64" s="8">
        <f t="shared" si="3"/>
        <v>152584.7234</v>
      </c>
      <c r="G64" s="8">
        <f t="shared" si="4"/>
        <v>2115441.367</v>
      </c>
      <c r="H64" s="8">
        <f t="shared" si="5"/>
        <v>13143030.97</v>
      </c>
      <c r="J64" s="5"/>
    </row>
    <row r="65" ht="15.75" customHeight="1">
      <c r="C65" s="30">
        <v>47832.0</v>
      </c>
      <c r="D65" s="8">
        <f t="shared" si="1"/>
        <v>2268026.09</v>
      </c>
      <c r="E65" s="46"/>
      <c r="F65" s="8">
        <f t="shared" si="3"/>
        <v>131430.3097</v>
      </c>
      <c r="G65" s="8">
        <f t="shared" si="4"/>
        <v>2136595.781</v>
      </c>
      <c r="H65" s="8">
        <f t="shared" si="5"/>
        <v>11006435.19</v>
      </c>
      <c r="J65" s="5"/>
    </row>
    <row r="66" ht="15.75" customHeight="1">
      <c r="C66" s="30">
        <v>47863.0</v>
      </c>
      <c r="D66" s="8">
        <f t="shared" si="1"/>
        <v>2268026.09</v>
      </c>
      <c r="E66" s="46"/>
      <c r="F66" s="8">
        <f t="shared" si="3"/>
        <v>110064.3519</v>
      </c>
      <c r="G66" s="8">
        <f t="shared" si="4"/>
        <v>2157961.739</v>
      </c>
      <c r="H66" s="8">
        <f t="shared" si="5"/>
        <v>8848473.45</v>
      </c>
      <c r="J66" s="5"/>
    </row>
    <row r="67" ht="15.75" customHeight="1">
      <c r="C67" s="30">
        <v>47894.0</v>
      </c>
      <c r="D67" s="8">
        <f t="shared" si="1"/>
        <v>2268026.09</v>
      </c>
      <c r="E67" s="46"/>
      <c r="F67" s="8">
        <f t="shared" si="3"/>
        <v>88484.7345</v>
      </c>
      <c r="G67" s="8">
        <f t="shared" si="4"/>
        <v>2179541.356</v>
      </c>
      <c r="H67" s="8">
        <f t="shared" si="5"/>
        <v>6668932.094</v>
      </c>
      <c r="J67" s="5"/>
    </row>
    <row r="68" ht="15.75" customHeight="1">
      <c r="C68" s="30">
        <v>47922.0</v>
      </c>
      <c r="D68" s="8">
        <f t="shared" si="1"/>
        <v>2268026.09</v>
      </c>
      <c r="E68" s="46"/>
      <c r="F68" s="8">
        <f t="shared" si="3"/>
        <v>66689.32094</v>
      </c>
      <c r="G68" s="8">
        <f t="shared" si="4"/>
        <v>2201336.769</v>
      </c>
      <c r="H68" s="8">
        <f t="shared" si="5"/>
        <v>4467595.325</v>
      </c>
      <c r="J68" s="5"/>
    </row>
    <row r="69" ht="15.75" customHeight="1">
      <c r="C69" s="30">
        <v>47953.0</v>
      </c>
      <c r="D69" s="8">
        <f t="shared" si="1"/>
        <v>2268026.09</v>
      </c>
      <c r="E69" s="46"/>
      <c r="F69" s="8">
        <f t="shared" si="3"/>
        <v>44675.95325</v>
      </c>
      <c r="G69" s="8">
        <f t="shared" si="4"/>
        <v>2223350.137</v>
      </c>
      <c r="H69" s="8">
        <f t="shared" si="5"/>
        <v>2244245.188</v>
      </c>
      <c r="J69" s="5"/>
    </row>
    <row r="70" ht="15.75" customHeight="1">
      <c r="C70" s="30">
        <v>47983.0</v>
      </c>
      <c r="D70" s="8">
        <f t="shared" si="1"/>
        <v>2268026.09</v>
      </c>
      <c r="E70" s="46"/>
      <c r="F70" s="8">
        <f t="shared" si="3"/>
        <v>22442.45188</v>
      </c>
      <c r="G70" s="8">
        <f t="shared" si="4"/>
        <v>2245583.639</v>
      </c>
      <c r="H70" s="8">
        <f t="shared" si="5"/>
        <v>-1338.450638</v>
      </c>
      <c r="J70" s="5"/>
    </row>
    <row r="71" ht="15.75" customHeight="1">
      <c r="E71" s="9"/>
      <c r="J71" s="5"/>
    </row>
    <row r="72" ht="15.75" customHeight="1">
      <c r="E72" s="9"/>
      <c r="J72" s="5"/>
    </row>
    <row r="73" ht="15.75" customHeight="1">
      <c r="E73" s="9"/>
      <c r="J73" s="5"/>
    </row>
    <row r="74" ht="15.75" customHeight="1">
      <c r="E74" s="9"/>
      <c r="J74" s="5"/>
    </row>
    <row r="75" ht="15.75" customHeight="1">
      <c r="E75" s="9"/>
      <c r="J75" s="5"/>
    </row>
    <row r="76" ht="15.75" customHeight="1">
      <c r="E76" s="9"/>
      <c r="J76" s="5"/>
    </row>
    <row r="77" ht="15.75" customHeight="1">
      <c r="E77" s="9"/>
      <c r="J77" s="5"/>
    </row>
    <row r="78" ht="15.75" customHeight="1">
      <c r="E78" s="9"/>
      <c r="J78" s="5"/>
    </row>
    <row r="79" ht="15.75" customHeight="1">
      <c r="E79" s="9"/>
      <c r="J79" s="5"/>
    </row>
    <row r="80" ht="15.75" customHeight="1">
      <c r="E80" s="9"/>
      <c r="J80" s="5"/>
    </row>
    <row r="81" ht="15.75" customHeight="1">
      <c r="E81" s="9"/>
      <c r="J81" s="5"/>
    </row>
    <row r="82" ht="15.75" customHeight="1">
      <c r="E82" s="9"/>
      <c r="J82" s="5"/>
    </row>
    <row r="83" ht="15.75" customHeight="1">
      <c r="E83" s="9"/>
      <c r="J83" s="5"/>
    </row>
    <row r="84" ht="15.75" customHeight="1">
      <c r="E84" s="9"/>
      <c r="J84" s="5"/>
    </row>
    <row r="85" ht="15.75" customHeight="1">
      <c r="E85" s="9"/>
      <c r="J85" s="5"/>
    </row>
    <row r="86" ht="15.75" customHeight="1">
      <c r="E86" s="9"/>
      <c r="J86" s="5"/>
    </row>
    <row r="87" ht="15.75" customHeight="1">
      <c r="E87" s="9"/>
      <c r="J87" s="5"/>
    </row>
    <row r="88" ht="15.75" customHeight="1">
      <c r="E88" s="9"/>
      <c r="J88" s="5"/>
    </row>
    <row r="89" ht="15.75" customHeight="1">
      <c r="E89" s="9"/>
      <c r="J89" s="5"/>
    </row>
    <row r="90" ht="15.75" customHeight="1">
      <c r="E90" s="9"/>
      <c r="J90" s="5"/>
    </row>
    <row r="91" ht="15.75" customHeight="1">
      <c r="E91" s="9"/>
      <c r="J91" s="5"/>
    </row>
    <row r="92" ht="15.75" customHeight="1">
      <c r="E92" s="9"/>
      <c r="J92" s="5"/>
    </row>
    <row r="93" ht="15.75" customHeight="1">
      <c r="E93" s="9"/>
      <c r="J93" s="5"/>
    </row>
    <row r="94" ht="15.75" customHeight="1">
      <c r="E94" s="9"/>
      <c r="J94" s="5"/>
    </row>
    <row r="95" ht="15.75" customHeight="1">
      <c r="E95" s="9"/>
      <c r="J95" s="5"/>
    </row>
    <row r="96" ht="15.75" customHeight="1">
      <c r="E96" s="9"/>
      <c r="J96" s="5"/>
    </row>
    <row r="97" ht="15.75" customHeight="1">
      <c r="E97" s="9"/>
      <c r="J97" s="5"/>
    </row>
    <row r="98" ht="15.75" customHeight="1">
      <c r="E98" s="9"/>
      <c r="J98" s="5"/>
    </row>
    <row r="99" ht="15.75" customHeight="1">
      <c r="E99" s="9"/>
      <c r="J99" s="5"/>
    </row>
    <row r="100" ht="15.75" customHeight="1">
      <c r="E100" s="9"/>
      <c r="J100" s="5"/>
    </row>
    <row r="101" ht="15.75" customHeight="1">
      <c r="E101" s="9"/>
      <c r="J101" s="5"/>
    </row>
    <row r="102" ht="15.75" customHeight="1">
      <c r="E102" s="9"/>
      <c r="J102" s="5"/>
    </row>
    <row r="103" ht="15.75" customHeight="1">
      <c r="E103" s="9"/>
      <c r="J103" s="5"/>
    </row>
    <row r="104" ht="15.75" customHeight="1">
      <c r="E104" s="9"/>
      <c r="J104" s="5"/>
    </row>
    <row r="105" ht="15.75" customHeight="1">
      <c r="E105" s="9"/>
      <c r="J105" s="5"/>
    </row>
    <row r="106" ht="15.75" customHeight="1">
      <c r="E106" s="9"/>
      <c r="J106" s="5"/>
    </row>
    <row r="107" ht="15.75" customHeight="1">
      <c r="E107" s="9"/>
      <c r="J107" s="5"/>
    </row>
    <row r="108" ht="15.75" customHeight="1">
      <c r="E108" s="9"/>
      <c r="J108" s="5"/>
    </row>
    <row r="109" ht="15.75" customHeight="1">
      <c r="E109" s="9"/>
      <c r="J109" s="5"/>
    </row>
    <row r="110" ht="15.75" customHeight="1">
      <c r="E110" s="9"/>
      <c r="J110" s="5"/>
    </row>
    <row r="111" ht="15.75" customHeight="1">
      <c r="E111" s="9"/>
      <c r="J111" s="5"/>
    </row>
    <row r="112" ht="15.75" customHeight="1">
      <c r="E112" s="9"/>
      <c r="J112" s="5"/>
    </row>
    <row r="113" ht="15.75" customHeight="1">
      <c r="E113" s="9"/>
      <c r="J113" s="5"/>
    </row>
    <row r="114" ht="15.75" customHeight="1">
      <c r="E114" s="9"/>
      <c r="J114" s="5"/>
    </row>
    <row r="115" ht="15.75" customHeight="1">
      <c r="E115" s="9"/>
      <c r="J115" s="5"/>
    </row>
    <row r="116" ht="15.75" customHeight="1">
      <c r="E116" s="9"/>
      <c r="J116" s="5"/>
    </row>
    <row r="117" ht="15.75" customHeight="1">
      <c r="E117" s="9"/>
      <c r="J117" s="5"/>
    </row>
    <row r="118" ht="15.75" customHeight="1">
      <c r="E118" s="9"/>
      <c r="J118" s="5"/>
    </row>
    <row r="119" ht="15.75" customHeight="1">
      <c r="E119" s="9"/>
      <c r="J119" s="5"/>
    </row>
    <row r="120" ht="15.75" customHeight="1">
      <c r="E120" s="9"/>
      <c r="J120" s="5"/>
    </row>
    <row r="121" ht="15.75" customHeight="1">
      <c r="E121" s="9"/>
      <c r="J121" s="5"/>
    </row>
    <row r="122" ht="15.75" customHeight="1">
      <c r="E122" s="9"/>
      <c r="J122" s="5"/>
    </row>
    <row r="123" ht="15.75" customHeight="1">
      <c r="E123" s="9"/>
      <c r="J123" s="5"/>
    </row>
    <row r="124" ht="15.75" customHeight="1">
      <c r="E124" s="9"/>
      <c r="J124" s="5"/>
    </row>
    <row r="125" ht="15.75" customHeight="1">
      <c r="E125" s="9"/>
      <c r="J125" s="5"/>
    </row>
    <row r="126" ht="15.75" customHeight="1">
      <c r="E126" s="9"/>
      <c r="J126" s="5"/>
    </row>
    <row r="127" ht="15.75" customHeight="1">
      <c r="E127" s="9"/>
      <c r="J127" s="5"/>
    </row>
    <row r="128" ht="15.75" customHeight="1">
      <c r="E128" s="9"/>
      <c r="J128" s="5"/>
    </row>
    <row r="129" ht="15.75" customHeight="1">
      <c r="E129" s="9"/>
      <c r="J129" s="5"/>
    </row>
    <row r="130" ht="15.75" customHeight="1">
      <c r="E130" s="9"/>
      <c r="J130" s="5"/>
    </row>
    <row r="131" ht="15.75" customHeight="1">
      <c r="E131" s="9"/>
      <c r="J131" s="5"/>
    </row>
    <row r="132" ht="15.75" customHeight="1">
      <c r="E132" s="9"/>
      <c r="J132" s="5"/>
    </row>
    <row r="133" ht="15.75" customHeight="1">
      <c r="E133" s="9"/>
      <c r="J133" s="5"/>
    </row>
    <row r="134" ht="15.75" customHeight="1">
      <c r="E134" s="9"/>
      <c r="J134" s="5"/>
    </row>
    <row r="135" ht="15.75" customHeight="1">
      <c r="E135" s="9"/>
      <c r="J135" s="5"/>
    </row>
    <row r="136" ht="15.75" customHeight="1">
      <c r="E136" s="9"/>
      <c r="J136" s="5"/>
    </row>
    <row r="137" ht="15.75" customHeight="1">
      <c r="E137" s="9"/>
      <c r="J137" s="5"/>
    </row>
    <row r="138" ht="15.75" customHeight="1">
      <c r="E138" s="9"/>
      <c r="J138" s="5"/>
    </row>
    <row r="139" ht="15.75" customHeight="1">
      <c r="E139" s="9"/>
      <c r="J139" s="5"/>
    </row>
    <row r="140" ht="15.75" customHeight="1">
      <c r="E140" s="9"/>
      <c r="J140" s="5"/>
    </row>
    <row r="141" ht="15.75" customHeight="1">
      <c r="E141" s="9"/>
      <c r="J141" s="5"/>
    </row>
    <row r="142" ht="15.75" customHeight="1">
      <c r="E142" s="9"/>
      <c r="J142" s="5"/>
    </row>
    <row r="143" ht="15.75" customHeight="1">
      <c r="E143" s="9"/>
      <c r="J143" s="5"/>
    </row>
    <row r="144" ht="15.75" customHeight="1">
      <c r="E144" s="9"/>
      <c r="J144" s="5"/>
    </row>
    <row r="145" ht="15.75" customHeight="1">
      <c r="E145" s="9"/>
      <c r="J145" s="5"/>
    </row>
    <row r="146" ht="15.75" customHeight="1">
      <c r="E146" s="9"/>
      <c r="J146" s="5"/>
    </row>
    <row r="147" ht="15.75" customHeight="1">
      <c r="E147" s="9"/>
      <c r="J147" s="5"/>
    </row>
    <row r="148" ht="15.75" customHeight="1">
      <c r="E148" s="9"/>
      <c r="J148" s="5"/>
    </row>
    <row r="149" ht="15.75" customHeight="1">
      <c r="E149" s="9"/>
      <c r="J149" s="5"/>
    </row>
    <row r="150" ht="15.75" customHeight="1">
      <c r="E150" s="9"/>
      <c r="J150" s="5"/>
    </row>
    <row r="151" ht="15.75" customHeight="1">
      <c r="E151" s="9"/>
      <c r="J151" s="5"/>
    </row>
    <row r="152" ht="15.75" customHeight="1">
      <c r="E152" s="9"/>
      <c r="J152" s="5"/>
    </row>
    <row r="153" ht="15.75" customHeight="1">
      <c r="E153" s="9"/>
      <c r="J153" s="5"/>
    </row>
    <row r="154" ht="15.75" customHeight="1">
      <c r="E154" s="9"/>
      <c r="J154" s="5"/>
    </row>
    <row r="155" ht="15.75" customHeight="1">
      <c r="E155" s="9"/>
      <c r="J155" s="5"/>
    </row>
    <row r="156" ht="15.75" customHeight="1">
      <c r="E156" s="9"/>
      <c r="J156" s="5"/>
    </row>
    <row r="157" ht="15.75" customHeight="1">
      <c r="E157" s="9"/>
      <c r="J157" s="5"/>
    </row>
    <row r="158" ht="15.75" customHeight="1">
      <c r="E158" s="9"/>
      <c r="J158" s="5"/>
    </row>
    <row r="159" ht="15.75" customHeight="1">
      <c r="E159" s="9"/>
      <c r="J159" s="5"/>
    </row>
    <row r="160" ht="15.75" customHeight="1">
      <c r="E160" s="9"/>
      <c r="J160" s="5"/>
    </row>
    <row r="161" ht="15.75" customHeight="1">
      <c r="E161" s="9"/>
      <c r="J161" s="5"/>
    </row>
    <row r="162" ht="15.75" customHeight="1">
      <c r="E162" s="9"/>
      <c r="J162" s="5"/>
    </row>
    <row r="163" ht="15.75" customHeight="1">
      <c r="E163" s="9"/>
      <c r="J163" s="5"/>
    </row>
    <row r="164" ht="15.75" customHeight="1">
      <c r="E164" s="9"/>
      <c r="J164" s="5"/>
    </row>
    <row r="165" ht="15.75" customHeight="1">
      <c r="E165" s="9"/>
      <c r="J165" s="5"/>
    </row>
    <row r="166" ht="15.75" customHeight="1">
      <c r="E166" s="9"/>
      <c r="J166" s="5"/>
    </row>
    <row r="167" ht="15.75" customHeight="1">
      <c r="E167" s="9"/>
      <c r="J167" s="5"/>
    </row>
    <row r="168" ht="15.75" customHeight="1">
      <c r="E168" s="9"/>
      <c r="J168" s="5"/>
    </row>
    <row r="169" ht="15.75" customHeight="1">
      <c r="E169" s="9"/>
      <c r="J169" s="5"/>
    </row>
    <row r="170" ht="15.75" customHeight="1">
      <c r="E170" s="9"/>
      <c r="J170" s="5"/>
    </row>
    <row r="171" ht="15.75" customHeight="1">
      <c r="E171" s="9"/>
      <c r="J171" s="5"/>
    </row>
    <row r="172" ht="15.75" customHeight="1">
      <c r="E172" s="9"/>
      <c r="J172" s="5"/>
    </row>
    <row r="173" ht="15.75" customHeight="1">
      <c r="E173" s="9"/>
      <c r="J173" s="5"/>
    </row>
    <row r="174" ht="15.75" customHeight="1">
      <c r="E174" s="9"/>
      <c r="J174" s="5"/>
    </row>
    <row r="175" ht="15.75" customHeight="1">
      <c r="E175" s="9"/>
      <c r="J175" s="5"/>
    </row>
    <row r="176" ht="15.75" customHeight="1">
      <c r="E176" s="9"/>
      <c r="J176" s="5"/>
    </row>
    <row r="177" ht="15.75" customHeight="1">
      <c r="E177" s="9"/>
      <c r="J177" s="5"/>
    </row>
    <row r="178" ht="15.75" customHeight="1">
      <c r="E178" s="9"/>
      <c r="J178" s="5"/>
    </row>
    <row r="179" ht="15.75" customHeight="1">
      <c r="E179" s="9"/>
      <c r="J179" s="5"/>
    </row>
    <row r="180" ht="15.75" customHeight="1">
      <c r="E180" s="9"/>
      <c r="J180" s="5"/>
    </row>
    <row r="181" ht="15.75" customHeight="1">
      <c r="E181" s="9"/>
      <c r="J181" s="5"/>
    </row>
    <row r="182" ht="15.75" customHeight="1">
      <c r="E182" s="9"/>
      <c r="J182" s="5"/>
    </row>
    <row r="183" ht="15.75" customHeight="1">
      <c r="E183" s="9"/>
      <c r="J183" s="5"/>
    </row>
    <row r="184" ht="15.75" customHeight="1">
      <c r="E184" s="9"/>
      <c r="J184" s="5"/>
    </row>
    <row r="185" ht="15.75" customHeight="1">
      <c r="E185" s="9"/>
      <c r="J185" s="5"/>
    </row>
    <row r="186" ht="15.75" customHeight="1">
      <c r="E186" s="9"/>
      <c r="J186" s="5"/>
    </row>
    <row r="187" ht="15.75" customHeight="1">
      <c r="E187" s="9"/>
      <c r="J187" s="5"/>
    </row>
    <row r="188" ht="15.75" customHeight="1">
      <c r="E188" s="9"/>
      <c r="J188" s="5"/>
    </row>
    <row r="189" ht="15.75" customHeight="1">
      <c r="E189" s="9"/>
      <c r="J189" s="5"/>
    </row>
    <row r="190" ht="15.75" customHeight="1">
      <c r="E190" s="9"/>
      <c r="J190" s="5"/>
    </row>
    <row r="191" ht="15.75" customHeight="1">
      <c r="E191" s="9"/>
      <c r="J191" s="5"/>
    </row>
    <row r="192" ht="15.75" customHeight="1">
      <c r="E192" s="9"/>
      <c r="J192" s="5"/>
    </row>
    <row r="193" ht="15.75" customHeight="1">
      <c r="E193" s="9"/>
      <c r="J193" s="5"/>
    </row>
    <row r="194" ht="15.75" customHeight="1">
      <c r="E194" s="9"/>
      <c r="J194" s="5"/>
    </row>
    <row r="195" ht="15.75" customHeight="1">
      <c r="E195" s="9"/>
      <c r="J195" s="5"/>
    </row>
    <row r="196" ht="15.75" customHeight="1">
      <c r="E196" s="9"/>
      <c r="J196" s="5"/>
    </row>
    <row r="197" ht="15.75" customHeight="1">
      <c r="E197" s="9"/>
      <c r="J197" s="5"/>
    </row>
    <row r="198" ht="15.75" customHeight="1">
      <c r="E198" s="9"/>
      <c r="J198" s="5"/>
    </row>
    <row r="199" ht="15.75" customHeight="1">
      <c r="E199" s="9"/>
      <c r="J199" s="5"/>
    </row>
    <row r="200" ht="15.75" customHeight="1">
      <c r="E200" s="9"/>
      <c r="J200" s="5"/>
    </row>
    <row r="201" ht="15.75" customHeight="1">
      <c r="E201" s="9"/>
      <c r="J201" s="5"/>
    </row>
    <row r="202" ht="15.75" customHeight="1">
      <c r="E202" s="9"/>
      <c r="J202" s="5"/>
    </row>
    <row r="203" ht="15.75" customHeight="1">
      <c r="E203" s="9"/>
      <c r="J203" s="5"/>
    </row>
    <row r="204" ht="15.75" customHeight="1">
      <c r="E204" s="9"/>
      <c r="J204" s="5"/>
    </row>
    <row r="205" ht="15.75" customHeight="1">
      <c r="E205" s="9"/>
      <c r="J205" s="5"/>
    </row>
    <row r="206" ht="15.75" customHeight="1">
      <c r="E206" s="9"/>
      <c r="J206" s="5"/>
    </row>
    <row r="207" ht="15.75" customHeight="1">
      <c r="E207" s="9"/>
      <c r="J207" s="5"/>
    </row>
    <row r="208" ht="15.75" customHeight="1">
      <c r="E208" s="9"/>
      <c r="J208" s="5"/>
    </row>
    <row r="209" ht="15.75" customHeight="1">
      <c r="E209" s="9"/>
      <c r="J209" s="5"/>
    </row>
    <row r="210" ht="15.75" customHeight="1">
      <c r="E210" s="9"/>
      <c r="J210" s="5"/>
    </row>
    <row r="211" ht="15.75" customHeight="1">
      <c r="E211" s="9"/>
      <c r="J211" s="5"/>
    </row>
    <row r="212" ht="15.75" customHeight="1">
      <c r="E212" s="9"/>
      <c r="J212" s="5"/>
    </row>
    <row r="213" ht="15.75" customHeight="1">
      <c r="E213" s="9"/>
      <c r="J213" s="5"/>
    </row>
    <row r="214" ht="15.75" customHeight="1">
      <c r="E214" s="9"/>
      <c r="J214" s="5"/>
    </row>
    <row r="215" ht="15.75" customHeight="1">
      <c r="E215" s="9"/>
      <c r="J215" s="5"/>
    </row>
    <row r="216" ht="15.75" customHeight="1">
      <c r="E216" s="9"/>
      <c r="J216" s="5"/>
    </row>
    <row r="217" ht="15.75" customHeight="1">
      <c r="E217" s="9"/>
      <c r="J217" s="5"/>
    </row>
    <row r="218" ht="15.75" customHeight="1">
      <c r="E218" s="9"/>
      <c r="J218" s="5"/>
    </row>
    <row r="219" ht="15.75" customHeight="1">
      <c r="E219" s="9"/>
      <c r="J219" s="5"/>
    </row>
    <row r="220" ht="15.75" customHeight="1">
      <c r="E220" s="9"/>
      <c r="J220" s="5"/>
    </row>
    <row r="221" ht="15.75" customHeight="1">
      <c r="E221" s="9"/>
      <c r="J221" s="5"/>
    </row>
    <row r="222" ht="15.75" customHeight="1">
      <c r="E222" s="9"/>
      <c r="J222" s="5"/>
    </row>
    <row r="223" ht="15.75" customHeight="1">
      <c r="E223" s="9"/>
      <c r="J223" s="5"/>
    </row>
    <row r="224" ht="15.75" customHeight="1">
      <c r="E224" s="9"/>
      <c r="J224" s="5"/>
    </row>
    <row r="225" ht="15.75" customHeight="1">
      <c r="E225" s="9"/>
      <c r="J225" s="5"/>
    </row>
    <row r="226" ht="15.75" customHeight="1">
      <c r="E226" s="9"/>
      <c r="J226" s="5"/>
    </row>
    <row r="227" ht="15.75" customHeight="1">
      <c r="E227" s="9"/>
      <c r="J227" s="5"/>
    </row>
    <row r="228" ht="15.75" customHeight="1">
      <c r="E228" s="9"/>
      <c r="J228" s="5"/>
    </row>
    <row r="229" ht="15.75" customHeight="1">
      <c r="E229" s="9"/>
      <c r="J229" s="5"/>
    </row>
    <row r="230" ht="15.75" customHeight="1">
      <c r="E230" s="9"/>
      <c r="J230" s="5"/>
    </row>
    <row r="231" ht="15.75" customHeight="1">
      <c r="E231" s="9"/>
      <c r="J231" s="5"/>
    </row>
    <row r="232" ht="15.75" customHeight="1">
      <c r="E232" s="9"/>
      <c r="J232" s="5"/>
    </row>
    <row r="233" ht="15.75" customHeight="1">
      <c r="E233" s="9"/>
      <c r="J233" s="5"/>
    </row>
    <row r="234" ht="15.75" customHeight="1">
      <c r="E234" s="9"/>
      <c r="J234" s="5"/>
    </row>
    <row r="235" ht="15.75" customHeight="1">
      <c r="E235" s="9"/>
      <c r="J235" s="5"/>
    </row>
    <row r="236" ht="15.75" customHeight="1">
      <c r="E236" s="9"/>
      <c r="J236" s="5"/>
    </row>
    <row r="237" ht="15.75" customHeight="1">
      <c r="E237" s="9"/>
      <c r="J237" s="5"/>
    </row>
    <row r="238" ht="15.75" customHeight="1">
      <c r="E238" s="9"/>
      <c r="J238" s="5"/>
    </row>
    <row r="239" ht="15.75" customHeight="1">
      <c r="E239" s="9"/>
      <c r="J239" s="5"/>
    </row>
    <row r="240" ht="15.75" customHeight="1">
      <c r="E240" s="9"/>
      <c r="J240" s="5"/>
    </row>
    <row r="241" ht="15.75" customHeight="1">
      <c r="E241" s="9"/>
      <c r="J241" s="5"/>
    </row>
    <row r="242" ht="15.75" customHeight="1">
      <c r="E242" s="9"/>
      <c r="J242" s="5"/>
    </row>
    <row r="243" ht="15.75" customHeight="1">
      <c r="E243" s="9"/>
      <c r="J243" s="5"/>
    </row>
    <row r="244" ht="15.75" customHeight="1">
      <c r="E244" s="9"/>
      <c r="J244" s="5"/>
    </row>
    <row r="245" ht="15.75" customHeight="1">
      <c r="E245" s="9"/>
      <c r="J245" s="5"/>
    </row>
    <row r="246" ht="15.75" customHeight="1">
      <c r="E246" s="9"/>
      <c r="J246" s="5"/>
    </row>
    <row r="247" ht="15.75" customHeight="1">
      <c r="E247" s="9"/>
      <c r="J247" s="5"/>
    </row>
    <row r="248" ht="15.75" customHeight="1">
      <c r="E248" s="9"/>
      <c r="J248" s="5"/>
    </row>
    <row r="249" ht="15.75" customHeight="1">
      <c r="E249" s="9"/>
      <c r="J249" s="5"/>
    </row>
    <row r="250" ht="15.75" customHeight="1">
      <c r="E250" s="9"/>
      <c r="J250" s="5"/>
    </row>
    <row r="251" ht="15.75" customHeight="1">
      <c r="E251" s="9"/>
      <c r="J251" s="5"/>
    </row>
    <row r="252" ht="15.75" customHeight="1">
      <c r="E252" s="9"/>
      <c r="J252" s="5"/>
    </row>
    <row r="253" ht="15.75" customHeight="1">
      <c r="E253" s="9"/>
      <c r="J253" s="5"/>
    </row>
    <row r="254" ht="15.75" customHeight="1">
      <c r="E254" s="9"/>
      <c r="J254" s="5"/>
    </row>
    <row r="255" ht="15.75" customHeight="1">
      <c r="E255" s="9"/>
      <c r="J255" s="5"/>
    </row>
    <row r="256" ht="15.75" customHeight="1">
      <c r="E256" s="9"/>
      <c r="J256" s="5"/>
    </row>
    <row r="257" ht="15.75" customHeight="1">
      <c r="E257" s="9"/>
      <c r="J257" s="5"/>
    </row>
    <row r="258" ht="15.75" customHeight="1">
      <c r="E258" s="9"/>
      <c r="J258" s="5"/>
    </row>
    <row r="259" ht="15.75" customHeight="1">
      <c r="E259" s="9"/>
      <c r="J259" s="5"/>
    </row>
    <row r="260" ht="15.75" customHeight="1">
      <c r="E260" s="9"/>
      <c r="J260" s="5"/>
    </row>
    <row r="261" ht="15.75" customHeight="1">
      <c r="E261" s="9"/>
      <c r="J261" s="5"/>
    </row>
    <row r="262" ht="15.75" customHeight="1">
      <c r="E262" s="9"/>
      <c r="J262" s="5"/>
    </row>
    <row r="263" ht="15.75" customHeight="1">
      <c r="E263" s="9"/>
      <c r="J263" s="5"/>
    </row>
    <row r="264" ht="15.75" customHeight="1">
      <c r="E264" s="9"/>
      <c r="J264" s="5"/>
    </row>
    <row r="265" ht="15.75" customHeight="1">
      <c r="E265" s="9"/>
      <c r="J265" s="5"/>
    </row>
    <row r="266" ht="15.75" customHeight="1">
      <c r="E266" s="9"/>
      <c r="J266" s="5"/>
    </row>
    <row r="267" ht="15.75" customHeight="1">
      <c r="E267" s="9"/>
      <c r="J267" s="5"/>
    </row>
    <row r="268" ht="15.75" customHeight="1">
      <c r="E268" s="9"/>
      <c r="J268" s="5"/>
    </row>
    <row r="269" ht="15.75" customHeight="1">
      <c r="E269" s="9"/>
      <c r="J269" s="5"/>
    </row>
    <row r="270" ht="15.75" customHeight="1">
      <c r="E270" s="9"/>
      <c r="J270" s="5"/>
    </row>
    <row r="271" ht="15.75" customHeight="1">
      <c r="E271" s="9"/>
      <c r="J271" s="5"/>
    </row>
    <row r="272" ht="15.75" customHeight="1">
      <c r="E272" s="9"/>
      <c r="J272" s="5"/>
    </row>
    <row r="273" ht="15.75" customHeight="1">
      <c r="E273" s="9"/>
      <c r="J273" s="5"/>
    </row>
    <row r="274" ht="15.75" customHeight="1">
      <c r="E274" s="9"/>
      <c r="J274" s="5"/>
    </row>
    <row r="275" ht="15.75" customHeight="1">
      <c r="E275" s="9"/>
      <c r="J275" s="5"/>
    </row>
    <row r="276" ht="15.75" customHeight="1">
      <c r="E276" s="9"/>
      <c r="J276" s="5"/>
    </row>
    <row r="277" ht="15.75" customHeight="1">
      <c r="E277" s="9"/>
      <c r="J277" s="5"/>
    </row>
    <row r="278" ht="15.75" customHeight="1">
      <c r="E278" s="9"/>
      <c r="J278" s="5"/>
    </row>
    <row r="279" ht="15.75" customHeight="1">
      <c r="E279" s="9"/>
      <c r="J279" s="5"/>
    </row>
    <row r="280" ht="15.75" customHeight="1">
      <c r="E280" s="9"/>
      <c r="J280" s="5"/>
    </row>
    <row r="281" ht="15.75" customHeight="1">
      <c r="E281" s="9"/>
      <c r="J281" s="5"/>
    </row>
    <row r="282" ht="15.75" customHeight="1">
      <c r="E282" s="9"/>
      <c r="J282" s="5"/>
    </row>
    <row r="283" ht="15.75" customHeight="1">
      <c r="E283" s="9"/>
      <c r="J283" s="5"/>
    </row>
    <row r="284" ht="15.75" customHeight="1">
      <c r="E284" s="9"/>
      <c r="J284" s="5"/>
    </row>
    <row r="285" ht="15.75" customHeight="1">
      <c r="E285" s="9"/>
      <c r="J285" s="5"/>
    </row>
    <row r="286" ht="15.75" customHeight="1">
      <c r="E286" s="9"/>
      <c r="J286" s="5"/>
    </row>
    <row r="287" ht="15.75" customHeight="1">
      <c r="E287" s="9"/>
      <c r="J287" s="5"/>
    </row>
    <row r="288" ht="15.75" customHeight="1">
      <c r="E288" s="9"/>
      <c r="J288" s="5"/>
    </row>
    <row r="289" ht="15.75" customHeight="1">
      <c r="E289" s="9"/>
      <c r="J289" s="5"/>
    </row>
    <row r="290" ht="15.75" customHeight="1">
      <c r="E290" s="9"/>
      <c r="J290" s="5"/>
    </row>
    <row r="291" ht="15.75" customHeight="1">
      <c r="E291" s="9"/>
      <c r="J291" s="5"/>
    </row>
    <row r="292" ht="15.75" customHeight="1">
      <c r="E292" s="9"/>
      <c r="J292" s="5"/>
    </row>
    <row r="293" ht="15.75" customHeight="1">
      <c r="E293" s="9"/>
      <c r="J293" s="5"/>
    </row>
    <row r="294" ht="15.75" customHeight="1">
      <c r="E294" s="9"/>
      <c r="J294" s="5"/>
    </row>
    <row r="295" ht="15.75" customHeight="1">
      <c r="E295" s="9"/>
      <c r="J295" s="5"/>
    </row>
    <row r="296" ht="15.75" customHeight="1">
      <c r="E296" s="9"/>
      <c r="J296" s="5"/>
    </row>
    <row r="297" ht="15.75" customHeight="1">
      <c r="E297" s="9"/>
      <c r="J297" s="5"/>
    </row>
    <row r="298" ht="15.75" customHeight="1">
      <c r="E298" s="9"/>
      <c r="J298" s="5"/>
    </row>
    <row r="299" ht="15.75" customHeight="1">
      <c r="E299" s="9"/>
      <c r="J299" s="5"/>
    </row>
    <row r="300" ht="15.75" customHeight="1">
      <c r="E300" s="9"/>
      <c r="J300" s="5"/>
    </row>
    <row r="301" ht="15.75" customHeight="1">
      <c r="E301" s="9"/>
      <c r="J301" s="5"/>
    </row>
    <row r="302" ht="15.75" customHeight="1">
      <c r="E302" s="9"/>
      <c r="J302" s="5"/>
    </row>
    <row r="303" ht="15.75" customHeight="1">
      <c r="E303" s="9"/>
      <c r="J303" s="5"/>
    </row>
    <row r="304" ht="15.75" customHeight="1">
      <c r="E304" s="9"/>
      <c r="J304" s="5"/>
    </row>
    <row r="305" ht="15.75" customHeight="1">
      <c r="E305" s="9"/>
      <c r="J305" s="5"/>
    </row>
    <row r="306" ht="15.75" customHeight="1">
      <c r="E306" s="9"/>
      <c r="J306" s="5"/>
    </row>
    <row r="307" ht="15.75" customHeight="1">
      <c r="E307" s="9"/>
      <c r="J307" s="5"/>
    </row>
    <row r="308" ht="15.75" customHeight="1">
      <c r="E308" s="9"/>
      <c r="J308" s="5"/>
    </row>
    <row r="309" ht="15.75" customHeight="1">
      <c r="E309" s="9"/>
      <c r="J309" s="5"/>
    </row>
    <row r="310" ht="15.75" customHeight="1">
      <c r="E310" s="9"/>
      <c r="J310" s="5"/>
    </row>
    <row r="311" ht="15.75" customHeight="1">
      <c r="E311" s="9"/>
      <c r="J311" s="5"/>
    </row>
    <row r="312" ht="15.75" customHeight="1">
      <c r="E312" s="9"/>
      <c r="J312" s="5"/>
    </row>
    <row r="313" ht="15.75" customHeight="1">
      <c r="E313" s="9"/>
      <c r="J313" s="5"/>
    </row>
    <row r="314" ht="15.75" customHeight="1">
      <c r="E314" s="9"/>
      <c r="J314" s="5"/>
    </row>
    <row r="315" ht="15.75" customHeight="1">
      <c r="E315" s="9"/>
      <c r="J315" s="5"/>
    </row>
    <row r="316" ht="15.75" customHeight="1">
      <c r="E316" s="9"/>
      <c r="J316" s="5"/>
    </row>
    <row r="317" ht="15.75" customHeight="1">
      <c r="E317" s="9"/>
      <c r="J317" s="5"/>
    </row>
    <row r="318" ht="15.75" customHeight="1">
      <c r="E318" s="9"/>
      <c r="J318" s="5"/>
    </row>
    <row r="319" ht="15.75" customHeight="1">
      <c r="E319" s="9"/>
      <c r="J319" s="5"/>
    </row>
    <row r="320" ht="15.75" customHeight="1">
      <c r="E320" s="9"/>
      <c r="J320" s="5"/>
    </row>
    <row r="321" ht="15.75" customHeight="1">
      <c r="E321" s="9"/>
      <c r="J321" s="5"/>
    </row>
    <row r="322" ht="15.75" customHeight="1">
      <c r="E322" s="9"/>
      <c r="J322" s="5"/>
    </row>
    <row r="323" ht="15.75" customHeight="1">
      <c r="E323" s="9"/>
      <c r="J323" s="5"/>
    </row>
    <row r="324" ht="15.75" customHeight="1">
      <c r="E324" s="9"/>
      <c r="J324" s="5"/>
    </row>
    <row r="325" ht="15.75" customHeight="1">
      <c r="E325" s="9"/>
      <c r="J325" s="5"/>
    </row>
    <row r="326" ht="15.75" customHeight="1">
      <c r="E326" s="9"/>
      <c r="J326" s="5"/>
    </row>
    <row r="327" ht="15.75" customHeight="1">
      <c r="E327" s="9"/>
      <c r="J327" s="5"/>
    </row>
    <row r="328" ht="15.75" customHeight="1">
      <c r="E328" s="9"/>
      <c r="J328" s="5"/>
    </row>
    <row r="329" ht="15.75" customHeight="1">
      <c r="E329" s="9"/>
      <c r="J329" s="5"/>
    </row>
    <row r="330" ht="15.75" customHeight="1">
      <c r="E330" s="9"/>
      <c r="J330" s="5"/>
    </row>
    <row r="331" ht="15.75" customHeight="1">
      <c r="E331" s="9"/>
      <c r="J331" s="5"/>
    </row>
    <row r="332" ht="15.75" customHeight="1">
      <c r="E332" s="9"/>
      <c r="J332" s="5"/>
    </row>
    <row r="333" ht="15.75" customHeight="1">
      <c r="E333" s="9"/>
      <c r="J333" s="5"/>
    </row>
    <row r="334" ht="15.75" customHeight="1">
      <c r="E334" s="9"/>
      <c r="J334" s="5"/>
    </row>
    <row r="335" ht="15.75" customHeight="1">
      <c r="E335" s="9"/>
      <c r="J335" s="5"/>
    </row>
    <row r="336" ht="15.75" customHeight="1">
      <c r="E336" s="9"/>
      <c r="J336" s="5"/>
    </row>
    <row r="337" ht="15.75" customHeight="1">
      <c r="E337" s="9"/>
      <c r="J337" s="5"/>
    </row>
    <row r="338" ht="15.75" customHeight="1">
      <c r="E338" s="9"/>
      <c r="J338" s="5"/>
    </row>
    <row r="339" ht="15.75" customHeight="1">
      <c r="E339" s="9"/>
      <c r="J339" s="5"/>
    </row>
    <row r="340" ht="15.75" customHeight="1">
      <c r="E340" s="9"/>
      <c r="J340" s="5"/>
    </row>
    <row r="341" ht="15.75" customHeight="1">
      <c r="E341" s="9"/>
      <c r="J341" s="5"/>
    </row>
    <row r="342" ht="15.75" customHeight="1">
      <c r="E342" s="9"/>
      <c r="J342" s="5"/>
    </row>
    <row r="343" ht="15.75" customHeight="1">
      <c r="E343" s="9"/>
      <c r="J343" s="5"/>
    </row>
    <row r="344" ht="15.75" customHeight="1">
      <c r="E344" s="9"/>
      <c r="J344" s="5"/>
    </row>
    <row r="345" ht="15.75" customHeight="1">
      <c r="E345" s="9"/>
      <c r="J345" s="5"/>
    </row>
    <row r="346" ht="15.75" customHeight="1">
      <c r="E346" s="9"/>
      <c r="J346" s="5"/>
    </row>
    <row r="347" ht="15.75" customHeight="1">
      <c r="E347" s="9"/>
      <c r="J347" s="5"/>
    </row>
    <row r="348" ht="15.75" customHeight="1">
      <c r="E348" s="9"/>
      <c r="J348" s="5"/>
    </row>
    <row r="349" ht="15.75" customHeight="1">
      <c r="E349" s="9"/>
      <c r="J349" s="5"/>
    </row>
    <row r="350" ht="15.75" customHeight="1">
      <c r="E350" s="9"/>
      <c r="J350" s="5"/>
    </row>
    <row r="351" ht="15.75" customHeight="1">
      <c r="E351" s="9"/>
      <c r="J351" s="5"/>
    </row>
    <row r="352" ht="15.75" customHeight="1">
      <c r="E352" s="9"/>
      <c r="J352" s="5"/>
    </row>
    <row r="353" ht="15.75" customHeight="1">
      <c r="E353" s="9"/>
      <c r="J353" s="5"/>
    </row>
    <row r="354" ht="15.75" customHeight="1">
      <c r="E354" s="9"/>
      <c r="J354" s="5"/>
    </row>
    <row r="355" ht="15.75" customHeight="1">
      <c r="E355" s="9"/>
      <c r="J355" s="5"/>
    </row>
    <row r="356" ht="15.75" customHeight="1">
      <c r="E356" s="9"/>
      <c r="J356" s="5"/>
    </row>
    <row r="357" ht="15.75" customHeight="1">
      <c r="E357" s="9"/>
      <c r="J357" s="5"/>
    </row>
    <row r="358" ht="15.75" customHeight="1">
      <c r="E358" s="9"/>
      <c r="J358" s="5"/>
    </row>
    <row r="359" ht="15.75" customHeight="1">
      <c r="E359" s="9"/>
      <c r="J359" s="5"/>
    </row>
    <row r="360" ht="15.75" customHeight="1">
      <c r="E360" s="9"/>
      <c r="J360" s="5"/>
    </row>
    <row r="361" ht="15.75" customHeight="1">
      <c r="E361" s="9"/>
      <c r="J361" s="5"/>
    </row>
    <row r="362" ht="15.75" customHeight="1">
      <c r="E362" s="9"/>
      <c r="J362" s="5"/>
    </row>
    <row r="363" ht="15.75" customHeight="1">
      <c r="E363" s="9"/>
      <c r="J363" s="5"/>
    </row>
    <row r="364" ht="15.75" customHeight="1">
      <c r="E364" s="9"/>
      <c r="J364" s="5"/>
    </row>
    <row r="365" ht="15.75" customHeight="1">
      <c r="E365" s="9"/>
      <c r="J365" s="5"/>
    </row>
    <row r="366" ht="15.75" customHeight="1">
      <c r="E366" s="9"/>
      <c r="J366" s="5"/>
    </row>
    <row r="367" ht="15.75" customHeight="1">
      <c r="E367" s="9"/>
      <c r="J367" s="5"/>
    </row>
    <row r="368" ht="15.75" customHeight="1">
      <c r="E368" s="9"/>
      <c r="J368" s="5"/>
    </row>
    <row r="369" ht="15.75" customHeight="1">
      <c r="E369" s="9"/>
      <c r="J369" s="5"/>
    </row>
    <row r="370" ht="15.75" customHeight="1">
      <c r="E370" s="9"/>
      <c r="J370" s="5"/>
    </row>
    <row r="371" ht="15.75" customHeight="1">
      <c r="E371" s="9"/>
      <c r="J371" s="5"/>
    </row>
    <row r="372" ht="15.75" customHeight="1">
      <c r="E372" s="9"/>
      <c r="J372" s="5"/>
    </row>
    <row r="373" ht="15.75" customHeight="1">
      <c r="E373" s="9"/>
      <c r="J373" s="5"/>
    </row>
    <row r="374" ht="15.75" customHeight="1">
      <c r="E374" s="9"/>
      <c r="J374" s="5"/>
    </row>
    <row r="375" ht="15.75" customHeight="1">
      <c r="E375" s="9"/>
      <c r="J375" s="5"/>
    </row>
    <row r="376" ht="15.75" customHeight="1">
      <c r="E376" s="9"/>
      <c r="J376" s="5"/>
    </row>
    <row r="377" ht="15.75" customHeight="1">
      <c r="E377" s="9"/>
      <c r="J377" s="5"/>
    </row>
    <row r="378" ht="15.75" customHeight="1">
      <c r="E378" s="9"/>
      <c r="J378" s="5"/>
    </row>
    <row r="379" ht="15.75" customHeight="1">
      <c r="E379" s="9"/>
      <c r="J379" s="5"/>
    </row>
    <row r="380" ht="15.75" customHeight="1">
      <c r="E380" s="9"/>
      <c r="J380" s="5"/>
    </row>
    <row r="381" ht="15.75" customHeight="1">
      <c r="E381" s="9"/>
      <c r="J381" s="5"/>
    </row>
    <row r="382" ht="15.75" customHeight="1">
      <c r="E382" s="9"/>
      <c r="J382" s="5"/>
    </row>
    <row r="383" ht="15.75" customHeight="1">
      <c r="E383" s="9"/>
      <c r="J383" s="5"/>
    </row>
    <row r="384" ht="15.75" customHeight="1">
      <c r="E384" s="9"/>
      <c r="J384" s="5"/>
    </row>
    <row r="385" ht="15.75" customHeight="1">
      <c r="E385" s="9"/>
      <c r="J385" s="5"/>
    </row>
    <row r="386" ht="15.75" customHeight="1">
      <c r="E386" s="9"/>
      <c r="J386" s="5"/>
    </row>
    <row r="387" ht="15.75" customHeight="1">
      <c r="E387" s="9"/>
      <c r="J387" s="5"/>
    </row>
    <row r="388" ht="15.75" customHeight="1">
      <c r="E388" s="9"/>
      <c r="J388" s="5"/>
    </row>
    <row r="389" ht="15.75" customHeight="1">
      <c r="E389" s="9"/>
      <c r="J389" s="5"/>
    </row>
    <row r="390" ht="15.75" customHeight="1">
      <c r="E390" s="9"/>
      <c r="J390" s="5"/>
    </row>
    <row r="391" ht="15.75" customHeight="1">
      <c r="E391" s="9"/>
      <c r="J391" s="5"/>
    </row>
    <row r="392" ht="15.75" customHeight="1">
      <c r="E392" s="9"/>
      <c r="J392" s="5"/>
    </row>
    <row r="393" ht="15.75" customHeight="1">
      <c r="E393" s="9"/>
      <c r="J393" s="5"/>
    </row>
    <row r="394" ht="15.75" customHeight="1">
      <c r="E394" s="9"/>
      <c r="J394" s="5"/>
    </row>
    <row r="395" ht="15.75" customHeight="1">
      <c r="E395" s="9"/>
      <c r="J395" s="5"/>
    </row>
    <row r="396" ht="15.75" customHeight="1">
      <c r="E396" s="9"/>
      <c r="J396" s="5"/>
    </row>
    <row r="397" ht="15.75" customHeight="1">
      <c r="E397" s="9"/>
      <c r="J397" s="5"/>
    </row>
    <row r="398" ht="15.75" customHeight="1">
      <c r="E398" s="9"/>
      <c r="J398" s="5"/>
    </row>
    <row r="399" ht="15.75" customHeight="1">
      <c r="E399" s="9"/>
      <c r="J399" s="5"/>
    </row>
    <row r="400" ht="15.75" customHeight="1">
      <c r="E400" s="9"/>
      <c r="J400" s="5"/>
    </row>
    <row r="401" ht="15.75" customHeight="1">
      <c r="E401" s="9"/>
      <c r="J401" s="5"/>
    </row>
    <row r="402" ht="15.75" customHeight="1">
      <c r="E402" s="9"/>
      <c r="J402" s="5"/>
    </row>
    <row r="403" ht="15.75" customHeight="1">
      <c r="E403" s="9"/>
      <c r="J403" s="5"/>
    </row>
    <row r="404" ht="15.75" customHeight="1">
      <c r="E404" s="9"/>
      <c r="J404" s="5"/>
    </row>
    <row r="405" ht="15.75" customHeight="1">
      <c r="E405" s="9"/>
      <c r="J405" s="5"/>
    </row>
    <row r="406" ht="15.75" customHeight="1">
      <c r="E406" s="9"/>
      <c r="J406" s="5"/>
    </row>
    <row r="407" ht="15.75" customHeight="1">
      <c r="E407" s="9"/>
      <c r="J407" s="5"/>
    </row>
    <row r="408" ht="15.75" customHeight="1">
      <c r="E408" s="9"/>
      <c r="J408" s="5"/>
    </row>
    <row r="409" ht="15.75" customHeight="1">
      <c r="E409" s="9"/>
      <c r="J409" s="5"/>
    </row>
    <row r="410" ht="15.75" customHeight="1">
      <c r="E410" s="9"/>
      <c r="J410" s="5"/>
    </row>
    <row r="411" ht="15.75" customHeight="1">
      <c r="E411" s="9"/>
      <c r="J411" s="5"/>
    </row>
    <row r="412" ht="15.75" customHeight="1">
      <c r="E412" s="9"/>
      <c r="J412" s="5"/>
    </row>
    <row r="413" ht="15.75" customHeight="1">
      <c r="E413" s="9"/>
      <c r="J413" s="5"/>
    </row>
    <row r="414" ht="15.75" customHeight="1">
      <c r="E414" s="9"/>
      <c r="J414" s="5"/>
    </row>
    <row r="415" ht="15.75" customHeight="1">
      <c r="E415" s="9"/>
      <c r="J415" s="5"/>
    </row>
    <row r="416" ht="15.75" customHeight="1">
      <c r="E416" s="9"/>
      <c r="J416" s="5"/>
    </row>
    <row r="417" ht="15.75" customHeight="1">
      <c r="E417" s="9"/>
      <c r="J417" s="5"/>
    </row>
    <row r="418" ht="15.75" customHeight="1">
      <c r="E418" s="9"/>
      <c r="J418" s="5"/>
    </row>
    <row r="419" ht="15.75" customHeight="1">
      <c r="E419" s="9"/>
      <c r="J419" s="5"/>
    </row>
    <row r="420" ht="15.75" customHeight="1">
      <c r="E420" s="9"/>
      <c r="J420" s="5"/>
    </row>
    <row r="421" ht="15.75" customHeight="1">
      <c r="E421" s="9"/>
      <c r="J421" s="5"/>
    </row>
    <row r="422" ht="15.75" customHeight="1">
      <c r="E422" s="9"/>
      <c r="J422" s="5"/>
    </row>
    <row r="423" ht="15.75" customHeight="1">
      <c r="E423" s="9"/>
      <c r="J423" s="5"/>
    </row>
    <row r="424" ht="15.75" customHeight="1">
      <c r="E424" s="9"/>
      <c r="J424" s="5"/>
    </row>
    <row r="425" ht="15.75" customHeight="1">
      <c r="E425" s="9"/>
      <c r="J425" s="5"/>
    </row>
    <row r="426" ht="15.75" customHeight="1">
      <c r="E426" s="9"/>
      <c r="J426" s="5"/>
    </row>
    <row r="427" ht="15.75" customHeight="1">
      <c r="E427" s="9"/>
      <c r="J427" s="5"/>
    </row>
    <row r="428" ht="15.75" customHeight="1">
      <c r="E428" s="9"/>
      <c r="J428" s="5"/>
    </row>
    <row r="429" ht="15.75" customHeight="1">
      <c r="E429" s="9"/>
      <c r="J429" s="5"/>
    </row>
    <row r="430" ht="15.75" customHeight="1">
      <c r="E430" s="9"/>
      <c r="J430" s="5"/>
    </row>
    <row r="431" ht="15.75" customHeight="1">
      <c r="E431" s="9"/>
      <c r="J431" s="5"/>
    </row>
    <row r="432" ht="15.75" customHeight="1">
      <c r="E432" s="9"/>
      <c r="J432" s="5"/>
    </row>
    <row r="433" ht="15.75" customHeight="1">
      <c r="E433" s="9"/>
      <c r="J433" s="5"/>
    </row>
    <row r="434" ht="15.75" customHeight="1">
      <c r="E434" s="9"/>
      <c r="J434" s="5"/>
    </row>
    <row r="435" ht="15.75" customHeight="1">
      <c r="E435" s="9"/>
      <c r="J435" s="5"/>
    </row>
    <row r="436" ht="15.75" customHeight="1">
      <c r="E436" s="9"/>
      <c r="J436" s="5"/>
    </row>
    <row r="437" ht="15.75" customHeight="1">
      <c r="E437" s="9"/>
      <c r="J437" s="5"/>
    </row>
    <row r="438" ht="15.75" customHeight="1">
      <c r="E438" s="9"/>
      <c r="J438" s="5"/>
    </row>
    <row r="439" ht="15.75" customHeight="1">
      <c r="E439" s="9"/>
      <c r="J439" s="5"/>
    </row>
    <row r="440" ht="15.75" customHeight="1">
      <c r="E440" s="9"/>
      <c r="J440" s="5"/>
    </row>
    <row r="441" ht="15.75" customHeight="1">
      <c r="E441" s="9"/>
      <c r="J441" s="5"/>
    </row>
    <row r="442" ht="15.75" customHeight="1">
      <c r="E442" s="9"/>
      <c r="J442" s="5"/>
    </row>
    <row r="443" ht="15.75" customHeight="1">
      <c r="E443" s="9"/>
      <c r="J443" s="5"/>
    </row>
    <row r="444" ht="15.75" customHeight="1">
      <c r="E444" s="9"/>
      <c r="J444" s="5"/>
    </row>
    <row r="445" ht="15.75" customHeight="1">
      <c r="E445" s="9"/>
      <c r="J445" s="5"/>
    </row>
    <row r="446" ht="15.75" customHeight="1">
      <c r="E446" s="9"/>
      <c r="J446" s="5"/>
    </row>
    <row r="447" ht="15.75" customHeight="1">
      <c r="E447" s="9"/>
      <c r="J447" s="5"/>
    </row>
    <row r="448" ht="15.75" customHeight="1">
      <c r="E448" s="9"/>
      <c r="J448" s="5"/>
    </row>
    <row r="449" ht="15.75" customHeight="1">
      <c r="E449" s="9"/>
      <c r="J449" s="5"/>
    </row>
    <row r="450" ht="15.75" customHeight="1">
      <c r="E450" s="9"/>
      <c r="J450" s="5"/>
    </row>
    <row r="451" ht="15.75" customHeight="1">
      <c r="E451" s="9"/>
      <c r="J451" s="5"/>
    </row>
    <row r="452" ht="15.75" customHeight="1">
      <c r="E452" s="9"/>
      <c r="J452" s="5"/>
    </row>
    <row r="453" ht="15.75" customHeight="1">
      <c r="E453" s="9"/>
      <c r="J453" s="5"/>
    </row>
    <row r="454" ht="15.75" customHeight="1">
      <c r="E454" s="9"/>
      <c r="J454" s="5"/>
    </row>
    <row r="455" ht="15.75" customHeight="1">
      <c r="E455" s="9"/>
      <c r="J455" s="5"/>
    </row>
    <row r="456" ht="15.75" customHeight="1">
      <c r="E456" s="9"/>
      <c r="J456" s="5"/>
    </row>
    <row r="457" ht="15.75" customHeight="1">
      <c r="E457" s="9"/>
      <c r="J457" s="5"/>
    </row>
    <row r="458" ht="15.75" customHeight="1">
      <c r="E458" s="9"/>
      <c r="J458" s="5"/>
    </row>
    <row r="459" ht="15.75" customHeight="1">
      <c r="E459" s="9"/>
      <c r="J459" s="5"/>
    </row>
    <row r="460" ht="15.75" customHeight="1">
      <c r="E460" s="9"/>
      <c r="J460" s="5"/>
    </row>
    <row r="461" ht="15.75" customHeight="1">
      <c r="E461" s="9"/>
      <c r="J461" s="5"/>
    </row>
    <row r="462" ht="15.75" customHeight="1">
      <c r="E462" s="9"/>
      <c r="J462" s="5"/>
    </row>
    <row r="463" ht="15.75" customHeight="1">
      <c r="E463" s="9"/>
      <c r="J463" s="5"/>
    </row>
    <row r="464" ht="15.75" customHeight="1">
      <c r="E464" s="9"/>
      <c r="J464" s="5"/>
    </row>
    <row r="465" ht="15.75" customHeight="1">
      <c r="E465" s="9"/>
      <c r="J465" s="5"/>
    </row>
    <row r="466" ht="15.75" customHeight="1">
      <c r="E466" s="9"/>
      <c r="J466" s="5"/>
    </row>
    <row r="467" ht="15.75" customHeight="1">
      <c r="E467" s="9"/>
      <c r="J467" s="5"/>
    </row>
    <row r="468" ht="15.75" customHeight="1">
      <c r="E468" s="9"/>
      <c r="J468" s="5"/>
    </row>
    <row r="469" ht="15.75" customHeight="1">
      <c r="E469" s="9"/>
      <c r="J469" s="5"/>
    </row>
    <row r="470" ht="15.75" customHeight="1">
      <c r="E470" s="9"/>
      <c r="J470" s="5"/>
    </row>
    <row r="471" ht="15.75" customHeight="1">
      <c r="E471" s="9"/>
      <c r="J471" s="5"/>
    </row>
    <row r="472" ht="15.75" customHeight="1">
      <c r="E472" s="9"/>
      <c r="J472" s="5"/>
    </row>
    <row r="473" ht="15.75" customHeight="1">
      <c r="E473" s="9"/>
      <c r="J473" s="5"/>
    </row>
    <row r="474" ht="15.75" customHeight="1">
      <c r="E474" s="9"/>
      <c r="J474" s="5"/>
    </row>
    <row r="475" ht="15.75" customHeight="1">
      <c r="E475" s="9"/>
      <c r="J475" s="5"/>
    </row>
    <row r="476" ht="15.75" customHeight="1">
      <c r="E476" s="9"/>
      <c r="J476" s="5"/>
    </row>
    <row r="477" ht="15.75" customHeight="1">
      <c r="E477" s="9"/>
      <c r="J477" s="5"/>
    </row>
    <row r="478" ht="15.75" customHeight="1">
      <c r="E478" s="9"/>
      <c r="J478" s="5"/>
    </row>
    <row r="479" ht="15.75" customHeight="1">
      <c r="E479" s="9"/>
      <c r="J479" s="5"/>
    </row>
    <row r="480" ht="15.75" customHeight="1">
      <c r="E480" s="9"/>
      <c r="J480" s="5"/>
    </row>
    <row r="481" ht="15.75" customHeight="1">
      <c r="E481" s="9"/>
      <c r="J481" s="5"/>
    </row>
    <row r="482" ht="15.75" customHeight="1">
      <c r="E482" s="9"/>
      <c r="J482" s="5"/>
    </row>
    <row r="483" ht="15.75" customHeight="1">
      <c r="E483" s="9"/>
      <c r="J483" s="5"/>
    </row>
    <row r="484" ht="15.75" customHeight="1">
      <c r="E484" s="9"/>
      <c r="J484" s="5"/>
    </row>
    <row r="485" ht="15.75" customHeight="1">
      <c r="E485" s="9"/>
      <c r="J485" s="5"/>
    </row>
    <row r="486" ht="15.75" customHeight="1">
      <c r="E486" s="9"/>
      <c r="J486" s="5"/>
    </row>
    <row r="487" ht="15.75" customHeight="1">
      <c r="E487" s="9"/>
      <c r="J487" s="5"/>
    </row>
    <row r="488" ht="15.75" customHeight="1">
      <c r="E488" s="9"/>
      <c r="J488" s="5"/>
    </row>
    <row r="489" ht="15.75" customHeight="1">
      <c r="E489" s="9"/>
      <c r="J489" s="5"/>
    </row>
    <row r="490" ht="15.75" customHeight="1">
      <c r="E490" s="9"/>
      <c r="J490" s="5"/>
    </row>
    <row r="491" ht="15.75" customHeight="1">
      <c r="E491" s="9"/>
      <c r="J491" s="5"/>
    </row>
    <row r="492" ht="15.75" customHeight="1">
      <c r="E492" s="9"/>
      <c r="J492" s="5"/>
    </row>
    <row r="493" ht="15.75" customHeight="1">
      <c r="E493" s="9"/>
      <c r="J493" s="5"/>
    </row>
    <row r="494" ht="15.75" customHeight="1">
      <c r="E494" s="9"/>
      <c r="J494" s="5"/>
    </row>
    <row r="495" ht="15.75" customHeight="1">
      <c r="E495" s="9"/>
      <c r="J495" s="5"/>
    </row>
    <row r="496" ht="15.75" customHeight="1">
      <c r="E496" s="9"/>
      <c r="J496" s="5"/>
    </row>
    <row r="497" ht="15.75" customHeight="1">
      <c r="E497" s="9"/>
      <c r="J497" s="5"/>
    </row>
    <row r="498" ht="15.75" customHeight="1">
      <c r="E498" s="9"/>
      <c r="J498" s="5"/>
    </row>
    <row r="499" ht="15.75" customHeight="1">
      <c r="E499" s="9"/>
      <c r="J499" s="5"/>
    </row>
    <row r="500" ht="15.75" customHeight="1">
      <c r="E500" s="9"/>
      <c r="J500" s="5"/>
    </row>
    <row r="501" ht="15.75" customHeight="1">
      <c r="E501" s="9"/>
      <c r="J501" s="5"/>
    </row>
    <row r="502" ht="15.75" customHeight="1">
      <c r="E502" s="9"/>
      <c r="J502" s="5"/>
    </row>
    <row r="503" ht="15.75" customHeight="1">
      <c r="E503" s="9"/>
      <c r="J503" s="5"/>
    </row>
    <row r="504" ht="15.75" customHeight="1">
      <c r="E504" s="9"/>
      <c r="J504" s="5"/>
    </row>
    <row r="505" ht="15.75" customHeight="1">
      <c r="E505" s="9"/>
      <c r="J505" s="5"/>
    </row>
    <row r="506" ht="15.75" customHeight="1">
      <c r="E506" s="9"/>
      <c r="J506" s="5"/>
    </row>
    <row r="507" ht="15.75" customHeight="1">
      <c r="E507" s="9"/>
      <c r="J507" s="5"/>
    </row>
    <row r="508" ht="15.75" customHeight="1">
      <c r="E508" s="9"/>
      <c r="J508" s="5"/>
    </row>
    <row r="509" ht="15.75" customHeight="1">
      <c r="E509" s="9"/>
      <c r="J509" s="5"/>
    </row>
    <row r="510" ht="15.75" customHeight="1">
      <c r="E510" s="9"/>
      <c r="J510" s="5"/>
    </row>
    <row r="511" ht="15.75" customHeight="1">
      <c r="E511" s="9"/>
      <c r="J511" s="5"/>
    </row>
    <row r="512" ht="15.75" customHeight="1">
      <c r="E512" s="9"/>
      <c r="J512" s="5"/>
    </row>
    <row r="513" ht="15.75" customHeight="1">
      <c r="E513" s="9"/>
      <c r="J513" s="5"/>
    </row>
    <row r="514" ht="15.75" customHeight="1">
      <c r="E514" s="9"/>
      <c r="J514" s="5"/>
    </row>
    <row r="515" ht="15.75" customHeight="1">
      <c r="E515" s="9"/>
      <c r="J515" s="5"/>
    </row>
    <row r="516" ht="15.75" customHeight="1">
      <c r="E516" s="9"/>
      <c r="J516" s="5"/>
    </row>
    <row r="517" ht="15.75" customHeight="1">
      <c r="E517" s="9"/>
      <c r="J517" s="5"/>
    </row>
    <row r="518" ht="15.75" customHeight="1">
      <c r="E518" s="9"/>
      <c r="J518" s="5"/>
    </row>
    <row r="519" ht="15.75" customHeight="1">
      <c r="E519" s="9"/>
      <c r="J519" s="5"/>
    </row>
    <row r="520" ht="15.75" customHeight="1">
      <c r="E520" s="9"/>
      <c r="J520" s="5"/>
    </row>
    <row r="521" ht="15.75" customHeight="1">
      <c r="E521" s="9"/>
      <c r="J521" s="5"/>
    </row>
    <row r="522" ht="15.75" customHeight="1">
      <c r="E522" s="9"/>
      <c r="J522" s="5"/>
    </row>
    <row r="523" ht="15.75" customHeight="1">
      <c r="E523" s="9"/>
      <c r="J523" s="5"/>
    </row>
    <row r="524" ht="15.75" customHeight="1">
      <c r="E524" s="9"/>
      <c r="J524" s="5"/>
    </row>
    <row r="525" ht="15.75" customHeight="1">
      <c r="E525" s="9"/>
      <c r="J525" s="5"/>
    </row>
    <row r="526" ht="15.75" customHeight="1">
      <c r="E526" s="9"/>
      <c r="J526" s="5"/>
    </row>
    <row r="527" ht="15.75" customHeight="1">
      <c r="E527" s="9"/>
      <c r="J527" s="5"/>
    </row>
    <row r="528" ht="15.75" customHeight="1">
      <c r="E528" s="9"/>
      <c r="J528" s="5"/>
    </row>
    <row r="529" ht="15.75" customHeight="1">
      <c r="E529" s="9"/>
      <c r="J529" s="5"/>
    </row>
    <row r="530" ht="15.75" customHeight="1">
      <c r="E530" s="9"/>
      <c r="J530" s="5"/>
    </row>
    <row r="531" ht="15.75" customHeight="1">
      <c r="E531" s="9"/>
      <c r="J531" s="5"/>
    </row>
    <row r="532" ht="15.75" customHeight="1">
      <c r="E532" s="9"/>
      <c r="J532" s="5"/>
    </row>
    <row r="533" ht="15.75" customHeight="1">
      <c r="E533" s="9"/>
      <c r="J533" s="5"/>
    </row>
    <row r="534" ht="15.75" customHeight="1">
      <c r="E534" s="9"/>
      <c r="J534" s="5"/>
    </row>
    <row r="535" ht="15.75" customHeight="1">
      <c r="E535" s="9"/>
      <c r="J535" s="5"/>
    </row>
    <row r="536" ht="15.75" customHeight="1">
      <c r="E536" s="9"/>
      <c r="J536" s="5"/>
    </row>
    <row r="537" ht="15.75" customHeight="1">
      <c r="E537" s="9"/>
      <c r="J537" s="5"/>
    </row>
    <row r="538" ht="15.75" customHeight="1">
      <c r="E538" s="9"/>
      <c r="J538" s="5"/>
    </row>
    <row r="539" ht="15.75" customHeight="1">
      <c r="E539" s="9"/>
      <c r="J539" s="5"/>
    </row>
    <row r="540" ht="15.75" customHeight="1">
      <c r="E540" s="9"/>
      <c r="J540" s="5"/>
    </row>
    <row r="541" ht="15.75" customHeight="1">
      <c r="E541" s="9"/>
      <c r="J541" s="5"/>
    </row>
    <row r="542" ht="15.75" customHeight="1">
      <c r="E542" s="9"/>
      <c r="J542" s="5"/>
    </row>
    <row r="543" ht="15.75" customHeight="1">
      <c r="E543" s="9"/>
      <c r="J543" s="5"/>
    </row>
    <row r="544" ht="15.75" customHeight="1">
      <c r="E544" s="9"/>
      <c r="J544" s="5"/>
    </row>
    <row r="545" ht="15.75" customHeight="1">
      <c r="E545" s="9"/>
      <c r="J545" s="5"/>
    </row>
    <row r="546" ht="15.75" customHeight="1">
      <c r="E546" s="9"/>
      <c r="J546" s="5"/>
    </row>
    <row r="547" ht="15.75" customHeight="1">
      <c r="E547" s="9"/>
      <c r="J547" s="5"/>
    </row>
    <row r="548" ht="15.75" customHeight="1">
      <c r="E548" s="9"/>
      <c r="J548" s="5"/>
    </row>
    <row r="549" ht="15.75" customHeight="1">
      <c r="E549" s="9"/>
      <c r="J549" s="5"/>
    </row>
    <row r="550" ht="15.75" customHeight="1">
      <c r="E550" s="9"/>
      <c r="J550" s="5"/>
    </row>
    <row r="551" ht="15.75" customHeight="1">
      <c r="E551" s="9"/>
      <c r="J551" s="5"/>
    </row>
    <row r="552" ht="15.75" customHeight="1">
      <c r="E552" s="9"/>
      <c r="J552" s="5"/>
    </row>
    <row r="553" ht="15.75" customHeight="1">
      <c r="E553" s="9"/>
      <c r="J553" s="5"/>
    </row>
    <row r="554" ht="15.75" customHeight="1">
      <c r="E554" s="9"/>
      <c r="J554" s="5"/>
    </row>
    <row r="555" ht="15.75" customHeight="1">
      <c r="E555" s="9"/>
      <c r="J555" s="5"/>
    </row>
    <row r="556" ht="15.75" customHeight="1">
      <c r="E556" s="9"/>
      <c r="J556" s="5"/>
    </row>
    <row r="557" ht="15.75" customHeight="1">
      <c r="E557" s="9"/>
      <c r="J557" s="5"/>
    </row>
    <row r="558" ht="15.75" customHeight="1">
      <c r="E558" s="9"/>
      <c r="J558" s="5"/>
    </row>
    <row r="559" ht="15.75" customHeight="1">
      <c r="E559" s="9"/>
      <c r="J559" s="5"/>
    </row>
    <row r="560" ht="15.75" customHeight="1">
      <c r="E560" s="9"/>
      <c r="J560" s="5"/>
    </row>
    <row r="561" ht="15.75" customHeight="1">
      <c r="E561" s="9"/>
      <c r="J561" s="5"/>
    </row>
    <row r="562" ht="15.75" customHeight="1">
      <c r="E562" s="9"/>
      <c r="J562" s="5"/>
    </row>
    <row r="563" ht="15.75" customHeight="1">
      <c r="E563" s="9"/>
      <c r="J563" s="5"/>
    </row>
    <row r="564" ht="15.75" customHeight="1">
      <c r="E564" s="9"/>
      <c r="J564" s="5"/>
    </row>
    <row r="565" ht="15.75" customHeight="1">
      <c r="E565" s="9"/>
      <c r="J565" s="5"/>
    </row>
    <row r="566" ht="15.75" customHeight="1">
      <c r="E566" s="9"/>
      <c r="J566" s="5"/>
    </row>
    <row r="567" ht="15.75" customHeight="1">
      <c r="E567" s="9"/>
      <c r="J567" s="5"/>
    </row>
    <row r="568" ht="15.75" customHeight="1">
      <c r="E568" s="9"/>
      <c r="J568" s="5"/>
    </row>
    <row r="569" ht="15.75" customHeight="1">
      <c r="E569" s="9"/>
      <c r="J569" s="5"/>
    </row>
    <row r="570" ht="15.75" customHeight="1">
      <c r="E570" s="9"/>
      <c r="J570" s="5"/>
    </row>
    <row r="571" ht="15.75" customHeight="1">
      <c r="E571" s="9"/>
      <c r="J571" s="5"/>
    </row>
    <row r="572" ht="15.75" customHeight="1">
      <c r="E572" s="9"/>
      <c r="J572" s="5"/>
    </row>
    <row r="573" ht="15.75" customHeight="1">
      <c r="E573" s="9"/>
      <c r="J573" s="5"/>
    </row>
    <row r="574" ht="15.75" customHeight="1">
      <c r="E574" s="9"/>
      <c r="J574" s="5"/>
    </row>
    <row r="575" ht="15.75" customHeight="1">
      <c r="E575" s="9"/>
      <c r="J575" s="5"/>
    </row>
    <row r="576" ht="15.75" customHeight="1">
      <c r="E576" s="9"/>
      <c r="J576" s="5"/>
    </row>
    <row r="577" ht="15.75" customHeight="1">
      <c r="E577" s="9"/>
      <c r="J577" s="5"/>
    </row>
    <row r="578" ht="15.75" customHeight="1">
      <c r="E578" s="9"/>
      <c r="J578" s="5"/>
    </row>
    <row r="579" ht="15.75" customHeight="1">
      <c r="E579" s="9"/>
      <c r="J579" s="5"/>
    </row>
    <row r="580" ht="15.75" customHeight="1">
      <c r="E580" s="9"/>
      <c r="J580" s="5"/>
    </row>
    <row r="581" ht="15.75" customHeight="1">
      <c r="E581" s="9"/>
      <c r="J581" s="5"/>
    </row>
    <row r="582" ht="15.75" customHeight="1">
      <c r="E582" s="9"/>
      <c r="J582" s="5"/>
    </row>
    <row r="583" ht="15.75" customHeight="1">
      <c r="E583" s="9"/>
      <c r="J583" s="5"/>
    </row>
    <row r="584" ht="15.75" customHeight="1">
      <c r="E584" s="9"/>
      <c r="J584" s="5"/>
    </row>
    <row r="585" ht="15.75" customHeight="1">
      <c r="E585" s="9"/>
      <c r="J585" s="5"/>
    </row>
    <row r="586" ht="15.75" customHeight="1">
      <c r="E586" s="9"/>
      <c r="J586" s="5"/>
    </row>
    <row r="587" ht="15.75" customHeight="1">
      <c r="E587" s="9"/>
      <c r="J587" s="5"/>
    </row>
    <row r="588" ht="15.75" customHeight="1">
      <c r="E588" s="9"/>
      <c r="J588" s="5"/>
    </row>
    <row r="589" ht="15.75" customHeight="1">
      <c r="E589" s="9"/>
      <c r="J589" s="5"/>
    </row>
    <row r="590" ht="15.75" customHeight="1">
      <c r="E590" s="9"/>
      <c r="J590" s="5"/>
    </row>
    <row r="591" ht="15.75" customHeight="1">
      <c r="E591" s="9"/>
      <c r="J591" s="5"/>
    </row>
    <row r="592" ht="15.75" customHeight="1">
      <c r="E592" s="9"/>
      <c r="J592" s="5"/>
    </row>
    <row r="593" ht="15.75" customHeight="1">
      <c r="E593" s="9"/>
      <c r="J593" s="5"/>
    </row>
    <row r="594" ht="15.75" customHeight="1">
      <c r="E594" s="9"/>
      <c r="J594" s="5"/>
    </row>
    <row r="595" ht="15.75" customHeight="1">
      <c r="E595" s="9"/>
      <c r="J595" s="5"/>
    </row>
    <row r="596" ht="15.75" customHeight="1">
      <c r="E596" s="9"/>
      <c r="J596" s="5"/>
    </row>
    <row r="597" ht="15.75" customHeight="1">
      <c r="E597" s="9"/>
      <c r="J597" s="5"/>
    </row>
    <row r="598" ht="15.75" customHeight="1">
      <c r="E598" s="9"/>
      <c r="J598" s="5"/>
    </row>
    <row r="599" ht="15.75" customHeight="1">
      <c r="E599" s="9"/>
      <c r="J599" s="5"/>
    </row>
    <row r="600" ht="15.75" customHeight="1">
      <c r="E600" s="9"/>
      <c r="J600" s="5"/>
    </row>
    <row r="601" ht="15.75" customHeight="1">
      <c r="E601" s="9"/>
      <c r="J601" s="5"/>
    </row>
    <row r="602" ht="15.75" customHeight="1">
      <c r="E602" s="9"/>
      <c r="J602" s="5"/>
    </row>
    <row r="603" ht="15.75" customHeight="1">
      <c r="E603" s="9"/>
      <c r="J603" s="5"/>
    </row>
    <row r="604" ht="15.75" customHeight="1">
      <c r="E604" s="9"/>
      <c r="J604" s="5"/>
    </row>
    <row r="605" ht="15.75" customHeight="1">
      <c r="E605" s="9"/>
      <c r="J605" s="5"/>
    </row>
    <row r="606" ht="15.75" customHeight="1">
      <c r="E606" s="9"/>
      <c r="J606" s="5"/>
    </row>
    <row r="607" ht="15.75" customHeight="1">
      <c r="E607" s="9"/>
      <c r="J607" s="5"/>
    </row>
    <row r="608" ht="15.75" customHeight="1">
      <c r="E608" s="9"/>
      <c r="J608" s="5"/>
    </row>
    <row r="609" ht="15.75" customHeight="1">
      <c r="E609" s="9"/>
      <c r="J609" s="5"/>
    </row>
    <row r="610" ht="15.75" customHeight="1">
      <c r="E610" s="9"/>
      <c r="J610" s="5"/>
    </row>
    <row r="611" ht="15.75" customHeight="1">
      <c r="E611" s="9"/>
      <c r="J611" s="5"/>
    </row>
    <row r="612" ht="15.75" customHeight="1">
      <c r="E612" s="9"/>
      <c r="J612" s="5"/>
    </row>
    <row r="613" ht="15.75" customHeight="1">
      <c r="E613" s="9"/>
      <c r="J613" s="5"/>
    </row>
    <row r="614" ht="15.75" customHeight="1">
      <c r="E614" s="9"/>
      <c r="J614" s="5"/>
    </row>
    <row r="615" ht="15.75" customHeight="1">
      <c r="E615" s="9"/>
      <c r="J615" s="5"/>
    </row>
    <row r="616" ht="15.75" customHeight="1">
      <c r="E616" s="9"/>
      <c r="J616" s="5"/>
    </row>
    <row r="617" ht="15.75" customHeight="1">
      <c r="E617" s="9"/>
      <c r="J617" s="5"/>
    </row>
    <row r="618" ht="15.75" customHeight="1">
      <c r="E618" s="9"/>
      <c r="J618" s="5"/>
    </row>
    <row r="619" ht="15.75" customHeight="1">
      <c r="E619" s="9"/>
      <c r="J619" s="5"/>
    </row>
    <row r="620" ht="15.75" customHeight="1">
      <c r="E620" s="9"/>
      <c r="J620" s="5"/>
    </row>
    <row r="621" ht="15.75" customHeight="1">
      <c r="E621" s="9"/>
      <c r="J621" s="5"/>
    </row>
    <row r="622" ht="15.75" customHeight="1">
      <c r="E622" s="9"/>
      <c r="J622" s="5"/>
    </row>
    <row r="623" ht="15.75" customHeight="1">
      <c r="E623" s="9"/>
      <c r="J623" s="5"/>
    </row>
    <row r="624" ht="15.75" customHeight="1">
      <c r="E624" s="9"/>
      <c r="J624" s="5"/>
    </row>
    <row r="625" ht="15.75" customHeight="1">
      <c r="E625" s="9"/>
      <c r="J625" s="5"/>
    </row>
    <row r="626" ht="15.75" customHeight="1">
      <c r="E626" s="9"/>
      <c r="J626" s="5"/>
    </row>
    <row r="627" ht="15.75" customHeight="1">
      <c r="E627" s="9"/>
      <c r="J627" s="5"/>
    </row>
    <row r="628" ht="15.75" customHeight="1">
      <c r="E628" s="9"/>
      <c r="J628" s="5"/>
    </row>
    <row r="629" ht="15.75" customHeight="1">
      <c r="E629" s="9"/>
      <c r="J629" s="5"/>
    </row>
    <row r="630" ht="15.75" customHeight="1">
      <c r="E630" s="9"/>
      <c r="J630" s="5"/>
    </row>
    <row r="631" ht="15.75" customHeight="1">
      <c r="E631" s="9"/>
      <c r="J631" s="5"/>
    </row>
    <row r="632" ht="15.75" customHeight="1">
      <c r="E632" s="9"/>
      <c r="J632" s="5"/>
    </row>
    <row r="633" ht="15.75" customHeight="1">
      <c r="E633" s="9"/>
      <c r="J633" s="5"/>
    </row>
    <row r="634" ht="15.75" customHeight="1">
      <c r="E634" s="9"/>
      <c r="J634" s="5"/>
    </row>
    <row r="635" ht="15.75" customHeight="1">
      <c r="E635" s="9"/>
      <c r="J635" s="5"/>
    </row>
    <row r="636" ht="15.75" customHeight="1">
      <c r="E636" s="9"/>
      <c r="J636" s="5"/>
    </row>
    <row r="637" ht="15.75" customHeight="1">
      <c r="E637" s="9"/>
      <c r="J637" s="5"/>
    </row>
    <row r="638" ht="15.75" customHeight="1">
      <c r="E638" s="9"/>
      <c r="J638" s="5"/>
    </row>
    <row r="639" ht="15.75" customHeight="1">
      <c r="E639" s="9"/>
      <c r="J639" s="5"/>
    </row>
    <row r="640" ht="15.75" customHeight="1">
      <c r="E640" s="9"/>
      <c r="J640" s="5"/>
    </row>
    <row r="641" ht="15.75" customHeight="1">
      <c r="E641" s="9"/>
      <c r="J641" s="5"/>
    </row>
    <row r="642" ht="15.75" customHeight="1">
      <c r="E642" s="9"/>
      <c r="J642" s="5"/>
    </row>
    <row r="643" ht="15.75" customHeight="1">
      <c r="E643" s="9"/>
      <c r="J643" s="5"/>
    </row>
    <row r="644" ht="15.75" customHeight="1">
      <c r="E644" s="9"/>
      <c r="J644" s="5"/>
    </row>
    <row r="645" ht="15.75" customHeight="1">
      <c r="E645" s="9"/>
      <c r="J645" s="5"/>
    </row>
    <row r="646" ht="15.75" customHeight="1">
      <c r="E646" s="9"/>
      <c r="J646" s="5"/>
    </row>
    <row r="647" ht="15.75" customHeight="1">
      <c r="E647" s="9"/>
      <c r="J647" s="5"/>
    </row>
    <row r="648" ht="15.75" customHeight="1">
      <c r="E648" s="9"/>
      <c r="J648" s="5"/>
    </row>
    <row r="649" ht="15.75" customHeight="1">
      <c r="E649" s="9"/>
      <c r="J649" s="5"/>
    </row>
    <row r="650" ht="15.75" customHeight="1">
      <c r="E650" s="9"/>
      <c r="J650" s="5"/>
    </row>
    <row r="651" ht="15.75" customHeight="1">
      <c r="E651" s="9"/>
      <c r="J651" s="5"/>
    </row>
    <row r="652" ht="15.75" customHeight="1">
      <c r="E652" s="9"/>
      <c r="J652" s="5"/>
    </row>
    <row r="653" ht="15.75" customHeight="1">
      <c r="E653" s="9"/>
      <c r="J653" s="5"/>
    </row>
    <row r="654" ht="15.75" customHeight="1">
      <c r="E654" s="9"/>
      <c r="J654" s="5"/>
    </row>
    <row r="655" ht="15.75" customHeight="1">
      <c r="E655" s="9"/>
      <c r="J655" s="5"/>
    </row>
    <row r="656" ht="15.75" customHeight="1">
      <c r="E656" s="9"/>
      <c r="J656" s="5"/>
    </row>
    <row r="657" ht="15.75" customHeight="1">
      <c r="E657" s="9"/>
      <c r="J657" s="5"/>
    </row>
    <row r="658" ht="15.75" customHeight="1">
      <c r="E658" s="9"/>
      <c r="J658" s="5"/>
    </row>
    <row r="659" ht="15.75" customHeight="1">
      <c r="E659" s="9"/>
      <c r="J659" s="5"/>
    </row>
    <row r="660" ht="15.75" customHeight="1">
      <c r="E660" s="9"/>
      <c r="J660" s="5"/>
    </row>
    <row r="661" ht="15.75" customHeight="1">
      <c r="E661" s="9"/>
      <c r="J661" s="5"/>
    </row>
    <row r="662" ht="15.75" customHeight="1">
      <c r="E662" s="9"/>
      <c r="J662" s="5"/>
    </row>
    <row r="663" ht="15.75" customHeight="1">
      <c r="E663" s="9"/>
      <c r="J663" s="5"/>
    </row>
    <row r="664" ht="15.75" customHeight="1">
      <c r="E664" s="9"/>
      <c r="J664" s="5"/>
    </row>
    <row r="665" ht="15.75" customHeight="1">
      <c r="E665" s="9"/>
      <c r="J665" s="5"/>
    </row>
    <row r="666" ht="15.75" customHeight="1">
      <c r="E666" s="9"/>
      <c r="J666" s="5"/>
    </row>
    <row r="667" ht="15.75" customHeight="1">
      <c r="E667" s="9"/>
      <c r="J667" s="5"/>
    </row>
    <row r="668" ht="15.75" customHeight="1">
      <c r="E668" s="9"/>
      <c r="J668" s="5"/>
    </row>
    <row r="669" ht="15.75" customHeight="1">
      <c r="E669" s="9"/>
      <c r="J669" s="5"/>
    </row>
    <row r="670" ht="15.75" customHeight="1">
      <c r="E670" s="9"/>
      <c r="J670" s="5"/>
    </row>
    <row r="671" ht="15.75" customHeight="1">
      <c r="E671" s="9"/>
      <c r="J671" s="5"/>
    </row>
    <row r="672" ht="15.75" customHeight="1">
      <c r="E672" s="9"/>
      <c r="J672" s="5"/>
    </row>
    <row r="673" ht="15.75" customHeight="1">
      <c r="E673" s="9"/>
      <c r="J673" s="5"/>
    </row>
    <row r="674" ht="15.75" customHeight="1">
      <c r="E674" s="9"/>
      <c r="J674" s="5"/>
    </row>
    <row r="675" ht="15.75" customHeight="1">
      <c r="E675" s="9"/>
      <c r="J675" s="5"/>
    </row>
    <row r="676" ht="15.75" customHeight="1">
      <c r="E676" s="9"/>
      <c r="J676" s="5"/>
    </row>
    <row r="677" ht="15.75" customHeight="1">
      <c r="E677" s="9"/>
      <c r="J677" s="5"/>
    </row>
    <row r="678" ht="15.75" customHeight="1">
      <c r="E678" s="9"/>
      <c r="J678" s="5"/>
    </row>
    <row r="679" ht="15.75" customHeight="1">
      <c r="E679" s="9"/>
      <c r="J679" s="5"/>
    </row>
    <row r="680" ht="15.75" customHeight="1">
      <c r="E680" s="9"/>
      <c r="J680" s="5"/>
    </row>
    <row r="681" ht="15.75" customHeight="1">
      <c r="E681" s="9"/>
      <c r="J681" s="5"/>
    </row>
    <row r="682" ht="15.75" customHeight="1">
      <c r="E682" s="9"/>
      <c r="J682" s="5"/>
    </row>
    <row r="683" ht="15.75" customHeight="1">
      <c r="E683" s="9"/>
      <c r="J683" s="5"/>
    </row>
    <row r="684" ht="15.75" customHeight="1">
      <c r="E684" s="9"/>
      <c r="J684" s="5"/>
    </row>
    <row r="685" ht="15.75" customHeight="1">
      <c r="E685" s="9"/>
      <c r="J685" s="5"/>
    </row>
    <row r="686" ht="15.75" customHeight="1">
      <c r="E686" s="9"/>
      <c r="J686" s="5"/>
    </row>
    <row r="687" ht="15.75" customHeight="1">
      <c r="E687" s="9"/>
      <c r="J687" s="5"/>
    </row>
    <row r="688" ht="15.75" customHeight="1">
      <c r="E688" s="9"/>
      <c r="J688" s="5"/>
    </row>
    <row r="689" ht="15.75" customHeight="1">
      <c r="E689" s="9"/>
      <c r="J689" s="5"/>
    </row>
    <row r="690" ht="15.75" customHeight="1">
      <c r="E690" s="9"/>
      <c r="J690" s="5"/>
    </row>
    <row r="691" ht="15.75" customHeight="1">
      <c r="E691" s="9"/>
      <c r="J691" s="5"/>
    </row>
    <row r="692" ht="15.75" customHeight="1">
      <c r="E692" s="9"/>
      <c r="J692" s="5"/>
    </row>
    <row r="693" ht="15.75" customHeight="1">
      <c r="E693" s="9"/>
      <c r="J693" s="5"/>
    </row>
    <row r="694" ht="15.75" customHeight="1">
      <c r="E694" s="9"/>
      <c r="J694" s="5"/>
    </row>
    <row r="695" ht="15.75" customHeight="1">
      <c r="E695" s="9"/>
      <c r="J695" s="5"/>
    </row>
    <row r="696" ht="15.75" customHeight="1">
      <c r="E696" s="9"/>
      <c r="J696" s="5"/>
    </row>
    <row r="697" ht="15.75" customHeight="1">
      <c r="E697" s="9"/>
      <c r="J697" s="5"/>
    </row>
    <row r="698" ht="15.75" customHeight="1">
      <c r="E698" s="9"/>
      <c r="J698" s="5"/>
    </row>
    <row r="699" ht="15.75" customHeight="1">
      <c r="E699" s="9"/>
      <c r="J699" s="5"/>
    </row>
    <row r="700" ht="15.75" customHeight="1">
      <c r="E700" s="9"/>
      <c r="J700" s="5"/>
    </row>
    <row r="701" ht="15.75" customHeight="1">
      <c r="E701" s="9"/>
      <c r="J701" s="5"/>
    </row>
    <row r="702" ht="15.75" customHeight="1">
      <c r="E702" s="9"/>
      <c r="J702" s="5"/>
    </row>
    <row r="703" ht="15.75" customHeight="1">
      <c r="E703" s="9"/>
      <c r="J703" s="5"/>
    </row>
    <row r="704" ht="15.75" customHeight="1">
      <c r="E704" s="9"/>
      <c r="J704" s="5"/>
    </row>
    <row r="705" ht="15.75" customHeight="1">
      <c r="E705" s="9"/>
      <c r="J705" s="5"/>
    </row>
    <row r="706" ht="15.75" customHeight="1">
      <c r="E706" s="9"/>
      <c r="J706" s="5"/>
    </row>
    <row r="707" ht="15.75" customHeight="1">
      <c r="E707" s="9"/>
      <c r="J707" s="5"/>
    </row>
    <row r="708" ht="15.75" customHeight="1">
      <c r="E708" s="9"/>
      <c r="J708" s="5"/>
    </row>
    <row r="709" ht="15.75" customHeight="1">
      <c r="E709" s="9"/>
      <c r="J709" s="5"/>
    </row>
    <row r="710" ht="15.75" customHeight="1">
      <c r="E710" s="9"/>
      <c r="J710" s="5"/>
    </row>
    <row r="711" ht="15.75" customHeight="1">
      <c r="E711" s="9"/>
      <c r="J711" s="5"/>
    </row>
    <row r="712" ht="15.75" customHeight="1">
      <c r="E712" s="9"/>
      <c r="J712" s="5"/>
    </row>
    <row r="713" ht="15.75" customHeight="1">
      <c r="E713" s="9"/>
      <c r="J713" s="5"/>
    </row>
    <row r="714" ht="15.75" customHeight="1">
      <c r="E714" s="9"/>
      <c r="J714" s="5"/>
    </row>
    <row r="715" ht="15.75" customHeight="1">
      <c r="E715" s="9"/>
      <c r="J715" s="5"/>
    </row>
    <row r="716" ht="15.75" customHeight="1">
      <c r="E716" s="9"/>
      <c r="J716" s="5"/>
    </row>
    <row r="717" ht="15.75" customHeight="1">
      <c r="E717" s="9"/>
      <c r="J717" s="5"/>
    </row>
    <row r="718" ht="15.75" customHeight="1">
      <c r="E718" s="9"/>
      <c r="J718" s="5"/>
    </row>
    <row r="719" ht="15.75" customHeight="1">
      <c r="E719" s="9"/>
      <c r="J719" s="5"/>
    </row>
    <row r="720" ht="15.75" customHeight="1">
      <c r="E720" s="9"/>
      <c r="J720" s="5"/>
    </row>
    <row r="721" ht="15.75" customHeight="1">
      <c r="E721" s="9"/>
      <c r="J721" s="5"/>
    </row>
    <row r="722" ht="15.75" customHeight="1">
      <c r="E722" s="9"/>
      <c r="J722" s="5"/>
    </row>
    <row r="723" ht="15.75" customHeight="1">
      <c r="E723" s="9"/>
      <c r="J723" s="5"/>
    </row>
    <row r="724" ht="15.75" customHeight="1">
      <c r="E724" s="9"/>
      <c r="J724" s="5"/>
    </row>
    <row r="725" ht="15.75" customHeight="1">
      <c r="E725" s="9"/>
      <c r="J725" s="5"/>
    </row>
    <row r="726" ht="15.75" customHeight="1">
      <c r="E726" s="9"/>
      <c r="J726" s="5"/>
    </row>
    <row r="727" ht="15.75" customHeight="1">
      <c r="E727" s="9"/>
      <c r="J727" s="5"/>
    </row>
    <row r="728" ht="15.75" customHeight="1">
      <c r="E728" s="9"/>
      <c r="J728" s="5"/>
    </row>
    <row r="729" ht="15.75" customHeight="1">
      <c r="E729" s="9"/>
      <c r="J729" s="5"/>
    </row>
    <row r="730" ht="15.75" customHeight="1">
      <c r="E730" s="9"/>
      <c r="J730" s="5"/>
    </row>
    <row r="731" ht="15.75" customHeight="1">
      <c r="E731" s="9"/>
      <c r="J731" s="5"/>
    </row>
    <row r="732" ht="15.75" customHeight="1">
      <c r="E732" s="9"/>
      <c r="J732" s="5"/>
    </row>
    <row r="733" ht="15.75" customHeight="1">
      <c r="E733" s="9"/>
      <c r="J733" s="5"/>
    </row>
    <row r="734" ht="15.75" customHeight="1">
      <c r="E734" s="9"/>
      <c r="J734" s="5"/>
    </row>
    <row r="735" ht="15.75" customHeight="1">
      <c r="E735" s="9"/>
      <c r="J735" s="5"/>
    </row>
    <row r="736" ht="15.75" customHeight="1">
      <c r="E736" s="9"/>
      <c r="J736" s="5"/>
    </row>
    <row r="737" ht="15.75" customHeight="1">
      <c r="E737" s="9"/>
      <c r="J737" s="5"/>
    </row>
    <row r="738" ht="15.75" customHeight="1">
      <c r="E738" s="9"/>
      <c r="J738" s="5"/>
    </row>
    <row r="739" ht="15.75" customHeight="1">
      <c r="E739" s="9"/>
      <c r="J739" s="5"/>
    </row>
    <row r="740" ht="15.75" customHeight="1">
      <c r="E740" s="9"/>
      <c r="J740" s="5"/>
    </row>
    <row r="741" ht="15.75" customHeight="1">
      <c r="E741" s="9"/>
      <c r="J741" s="5"/>
    </row>
    <row r="742" ht="15.75" customHeight="1">
      <c r="E742" s="9"/>
      <c r="J742" s="5"/>
    </row>
    <row r="743" ht="15.75" customHeight="1">
      <c r="E743" s="9"/>
      <c r="J743" s="5"/>
    </row>
    <row r="744" ht="15.75" customHeight="1">
      <c r="E744" s="9"/>
      <c r="J744" s="5"/>
    </row>
    <row r="745" ht="15.75" customHeight="1">
      <c r="E745" s="9"/>
      <c r="J745" s="5"/>
    </row>
    <row r="746" ht="15.75" customHeight="1">
      <c r="E746" s="9"/>
      <c r="J746" s="5"/>
    </row>
    <row r="747" ht="15.75" customHeight="1">
      <c r="E747" s="9"/>
      <c r="J747" s="5"/>
    </row>
    <row r="748" ht="15.75" customHeight="1">
      <c r="E748" s="9"/>
      <c r="J748" s="5"/>
    </row>
    <row r="749" ht="15.75" customHeight="1">
      <c r="E749" s="9"/>
      <c r="J749" s="5"/>
    </row>
    <row r="750" ht="15.75" customHeight="1">
      <c r="E750" s="9"/>
      <c r="J750" s="5"/>
    </row>
    <row r="751" ht="15.75" customHeight="1">
      <c r="E751" s="9"/>
      <c r="J751" s="5"/>
    </row>
    <row r="752" ht="15.75" customHeight="1">
      <c r="E752" s="9"/>
      <c r="J752" s="5"/>
    </row>
    <row r="753" ht="15.75" customHeight="1">
      <c r="E753" s="9"/>
      <c r="J753" s="5"/>
    </row>
    <row r="754" ht="15.75" customHeight="1">
      <c r="E754" s="9"/>
      <c r="J754" s="5"/>
    </row>
    <row r="755" ht="15.75" customHeight="1">
      <c r="E755" s="9"/>
      <c r="J755" s="5"/>
    </row>
    <row r="756" ht="15.75" customHeight="1">
      <c r="E756" s="9"/>
      <c r="J756" s="5"/>
    </row>
    <row r="757" ht="15.75" customHeight="1">
      <c r="E757" s="9"/>
      <c r="J757" s="5"/>
    </row>
    <row r="758" ht="15.75" customHeight="1">
      <c r="E758" s="9"/>
      <c r="J758" s="5"/>
    </row>
    <row r="759" ht="15.75" customHeight="1">
      <c r="E759" s="9"/>
      <c r="J759" s="5"/>
    </row>
    <row r="760" ht="15.75" customHeight="1">
      <c r="E760" s="9"/>
      <c r="J760" s="5"/>
    </row>
    <row r="761" ht="15.75" customHeight="1">
      <c r="E761" s="9"/>
      <c r="J761" s="5"/>
    </row>
    <row r="762" ht="15.75" customHeight="1">
      <c r="E762" s="9"/>
      <c r="J762" s="5"/>
    </row>
    <row r="763" ht="15.75" customHeight="1">
      <c r="E763" s="9"/>
      <c r="J763" s="5"/>
    </row>
    <row r="764" ht="15.75" customHeight="1">
      <c r="E764" s="9"/>
      <c r="J764" s="5"/>
    </row>
    <row r="765" ht="15.75" customHeight="1">
      <c r="E765" s="9"/>
      <c r="J765" s="5"/>
    </row>
    <row r="766" ht="15.75" customHeight="1">
      <c r="E766" s="9"/>
      <c r="J766" s="5"/>
    </row>
    <row r="767" ht="15.75" customHeight="1">
      <c r="E767" s="9"/>
      <c r="J767" s="5"/>
    </row>
    <row r="768" ht="15.75" customHeight="1">
      <c r="E768" s="9"/>
      <c r="J768" s="5"/>
    </row>
    <row r="769" ht="15.75" customHeight="1">
      <c r="E769" s="9"/>
      <c r="J769" s="5"/>
    </row>
    <row r="770" ht="15.75" customHeight="1">
      <c r="E770" s="9"/>
      <c r="J770" s="5"/>
    </row>
    <row r="771" ht="15.75" customHeight="1">
      <c r="E771" s="9"/>
      <c r="J771" s="5"/>
    </row>
    <row r="772" ht="15.75" customHeight="1">
      <c r="E772" s="9"/>
      <c r="J772" s="5"/>
    </row>
    <row r="773" ht="15.75" customHeight="1">
      <c r="E773" s="9"/>
      <c r="J773" s="5"/>
    </row>
    <row r="774" ht="15.75" customHeight="1">
      <c r="E774" s="9"/>
      <c r="J774" s="5"/>
    </row>
    <row r="775" ht="15.75" customHeight="1">
      <c r="E775" s="9"/>
      <c r="J775" s="5"/>
    </row>
    <row r="776" ht="15.75" customHeight="1">
      <c r="E776" s="9"/>
      <c r="J776" s="5"/>
    </row>
    <row r="777" ht="15.75" customHeight="1">
      <c r="E777" s="9"/>
      <c r="J777" s="5"/>
    </row>
    <row r="778" ht="15.75" customHeight="1">
      <c r="E778" s="9"/>
      <c r="J778" s="5"/>
    </row>
    <row r="779" ht="15.75" customHeight="1">
      <c r="E779" s="9"/>
      <c r="J779" s="5"/>
    </row>
    <row r="780" ht="15.75" customHeight="1">
      <c r="E780" s="9"/>
      <c r="J780" s="5"/>
    </row>
    <row r="781" ht="15.75" customHeight="1">
      <c r="E781" s="9"/>
      <c r="J781" s="5"/>
    </row>
    <row r="782" ht="15.75" customHeight="1">
      <c r="E782" s="9"/>
      <c r="J782" s="5"/>
    </row>
    <row r="783" ht="15.75" customHeight="1">
      <c r="E783" s="9"/>
      <c r="J783" s="5"/>
    </row>
    <row r="784" ht="15.75" customHeight="1">
      <c r="E784" s="9"/>
      <c r="J784" s="5"/>
    </row>
    <row r="785" ht="15.75" customHeight="1">
      <c r="E785" s="9"/>
      <c r="J785" s="5"/>
    </row>
    <row r="786" ht="15.75" customHeight="1">
      <c r="E786" s="9"/>
      <c r="J786" s="5"/>
    </row>
    <row r="787" ht="15.75" customHeight="1">
      <c r="E787" s="9"/>
      <c r="J787" s="5"/>
    </row>
    <row r="788" ht="15.75" customHeight="1">
      <c r="E788" s="9"/>
      <c r="J788" s="5"/>
    </row>
    <row r="789" ht="15.75" customHeight="1">
      <c r="E789" s="9"/>
      <c r="J789" s="5"/>
    </row>
    <row r="790" ht="15.75" customHeight="1">
      <c r="E790" s="9"/>
      <c r="J790" s="5"/>
    </row>
    <row r="791" ht="15.75" customHeight="1">
      <c r="E791" s="9"/>
      <c r="J791" s="5"/>
    </row>
    <row r="792" ht="15.75" customHeight="1">
      <c r="E792" s="9"/>
      <c r="J792" s="5"/>
    </row>
    <row r="793" ht="15.75" customHeight="1">
      <c r="E793" s="9"/>
      <c r="J793" s="5"/>
    </row>
    <row r="794" ht="15.75" customHeight="1">
      <c r="E794" s="9"/>
      <c r="J794" s="5"/>
    </row>
    <row r="795" ht="15.75" customHeight="1">
      <c r="E795" s="9"/>
      <c r="J795" s="5"/>
    </row>
    <row r="796" ht="15.75" customHeight="1">
      <c r="E796" s="9"/>
      <c r="J796" s="5"/>
    </row>
    <row r="797" ht="15.75" customHeight="1">
      <c r="E797" s="9"/>
      <c r="J797" s="5"/>
    </row>
    <row r="798" ht="15.75" customHeight="1">
      <c r="E798" s="9"/>
      <c r="J798" s="5"/>
    </row>
    <row r="799" ht="15.75" customHeight="1">
      <c r="E799" s="9"/>
      <c r="J799" s="5"/>
    </row>
    <row r="800" ht="15.75" customHeight="1">
      <c r="E800" s="9"/>
      <c r="J800" s="5"/>
    </row>
    <row r="801" ht="15.75" customHeight="1">
      <c r="E801" s="9"/>
      <c r="J801" s="5"/>
    </row>
    <row r="802" ht="15.75" customHeight="1">
      <c r="E802" s="9"/>
      <c r="J802" s="5"/>
    </row>
    <row r="803" ht="15.75" customHeight="1">
      <c r="E803" s="9"/>
      <c r="J803" s="5"/>
    </row>
    <row r="804" ht="15.75" customHeight="1">
      <c r="E804" s="9"/>
      <c r="J804" s="5"/>
    </row>
    <row r="805" ht="15.75" customHeight="1">
      <c r="E805" s="9"/>
      <c r="J805" s="5"/>
    </row>
    <row r="806" ht="15.75" customHeight="1">
      <c r="E806" s="9"/>
      <c r="J806" s="5"/>
    </row>
    <row r="807" ht="15.75" customHeight="1">
      <c r="E807" s="9"/>
      <c r="J807" s="5"/>
    </row>
    <row r="808" ht="15.75" customHeight="1">
      <c r="E808" s="9"/>
      <c r="J808" s="5"/>
    </row>
    <row r="809" ht="15.75" customHeight="1">
      <c r="E809" s="9"/>
      <c r="J809" s="5"/>
    </row>
    <row r="810" ht="15.75" customHeight="1">
      <c r="E810" s="9"/>
      <c r="J810" s="5"/>
    </row>
    <row r="811" ht="15.75" customHeight="1">
      <c r="E811" s="9"/>
      <c r="J811" s="5"/>
    </row>
    <row r="812" ht="15.75" customHeight="1">
      <c r="E812" s="9"/>
      <c r="J812" s="5"/>
    </row>
    <row r="813" ht="15.75" customHeight="1">
      <c r="E813" s="9"/>
      <c r="J813" s="5"/>
    </row>
    <row r="814" ht="15.75" customHeight="1">
      <c r="E814" s="9"/>
      <c r="J814" s="5"/>
    </row>
    <row r="815" ht="15.75" customHeight="1">
      <c r="E815" s="9"/>
      <c r="J815" s="5"/>
    </row>
    <row r="816" ht="15.75" customHeight="1">
      <c r="E816" s="9"/>
      <c r="J816" s="5"/>
    </row>
    <row r="817" ht="15.75" customHeight="1">
      <c r="E817" s="9"/>
      <c r="J817" s="5"/>
    </row>
    <row r="818" ht="15.75" customHeight="1">
      <c r="E818" s="9"/>
      <c r="J818" s="5"/>
    </row>
    <row r="819" ht="15.75" customHeight="1">
      <c r="E819" s="9"/>
      <c r="J819" s="5"/>
    </row>
    <row r="820" ht="15.75" customHeight="1">
      <c r="E820" s="9"/>
      <c r="J820" s="5"/>
    </row>
    <row r="821" ht="15.75" customHeight="1">
      <c r="E821" s="9"/>
      <c r="J821" s="5"/>
    </row>
    <row r="822" ht="15.75" customHeight="1">
      <c r="E822" s="9"/>
      <c r="J822" s="5"/>
    </row>
    <row r="823" ht="15.75" customHeight="1">
      <c r="E823" s="9"/>
      <c r="J823" s="5"/>
    </row>
    <row r="824" ht="15.75" customHeight="1">
      <c r="E824" s="9"/>
      <c r="J824" s="5"/>
    </row>
    <row r="825" ht="15.75" customHeight="1">
      <c r="E825" s="9"/>
      <c r="J825" s="5"/>
    </row>
    <row r="826" ht="15.75" customHeight="1">
      <c r="E826" s="9"/>
      <c r="J826" s="5"/>
    </row>
    <row r="827" ht="15.75" customHeight="1">
      <c r="E827" s="9"/>
      <c r="J827" s="5"/>
    </row>
    <row r="828" ht="15.75" customHeight="1">
      <c r="E828" s="9"/>
      <c r="J828" s="5"/>
    </row>
    <row r="829" ht="15.75" customHeight="1">
      <c r="E829" s="9"/>
      <c r="J829" s="5"/>
    </row>
    <row r="830" ht="15.75" customHeight="1">
      <c r="E830" s="9"/>
      <c r="J830" s="5"/>
    </row>
    <row r="831" ht="15.75" customHeight="1">
      <c r="E831" s="9"/>
      <c r="J831" s="5"/>
    </row>
    <row r="832" ht="15.75" customHeight="1">
      <c r="E832" s="9"/>
      <c r="J832" s="5"/>
    </row>
    <row r="833" ht="15.75" customHeight="1">
      <c r="E833" s="9"/>
      <c r="J833" s="5"/>
    </row>
    <row r="834" ht="15.75" customHeight="1">
      <c r="E834" s="9"/>
      <c r="J834" s="5"/>
    </row>
    <row r="835" ht="15.75" customHeight="1">
      <c r="E835" s="9"/>
      <c r="J835" s="5"/>
    </row>
    <row r="836" ht="15.75" customHeight="1">
      <c r="E836" s="9"/>
      <c r="J836" s="5"/>
    </row>
    <row r="837" ht="15.75" customHeight="1">
      <c r="E837" s="9"/>
      <c r="J837" s="5"/>
    </row>
    <row r="838" ht="15.75" customHeight="1">
      <c r="E838" s="9"/>
      <c r="J838" s="5"/>
    </row>
    <row r="839" ht="15.75" customHeight="1">
      <c r="E839" s="9"/>
      <c r="J839" s="5"/>
    </row>
    <row r="840" ht="15.75" customHeight="1">
      <c r="E840" s="9"/>
      <c r="J840" s="5"/>
    </row>
    <row r="841" ht="15.75" customHeight="1">
      <c r="E841" s="9"/>
      <c r="J841" s="5"/>
    </row>
    <row r="842" ht="15.75" customHeight="1">
      <c r="E842" s="9"/>
      <c r="J842" s="5"/>
    </row>
    <row r="843" ht="15.75" customHeight="1">
      <c r="E843" s="9"/>
      <c r="J843" s="5"/>
    </row>
    <row r="844" ht="15.75" customHeight="1">
      <c r="E844" s="9"/>
      <c r="J844" s="5"/>
    </row>
    <row r="845" ht="15.75" customHeight="1">
      <c r="E845" s="9"/>
      <c r="J845" s="5"/>
    </row>
    <row r="846" ht="15.75" customHeight="1">
      <c r="E846" s="9"/>
      <c r="J846" s="5"/>
    </row>
    <row r="847" ht="15.75" customHeight="1">
      <c r="E847" s="9"/>
      <c r="J847" s="5"/>
    </row>
    <row r="848" ht="15.75" customHeight="1">
      <c r="E848" s="9"/>
      <c r="J848" s="5"/>
    </row>
    <row r="849" ht="15.75" customHeight="1">
      <c r="E849" s="9"/>
      <c r="J849" s="5"/>
    </row>
    <row r="850" ht="15.75" customHeight="1">
      <c r="E850" s="9"/>
      <c r="J850" s="5"/>
    </row>
    <row r="851" ht="15.75" customHeight="1">
      <c r="E851" s="9"/>
      <c r="J851" s="5"/>
    </row>
    <row r="852" ht="15.75" customHeight="1">
      <c r="E852" s="9"/>
      <c r="J852" s="5"/>
    </row>
    <row r="853" ht="15.75" customHeight="1">
      <c r="E853" s="9"/>
      <c r="J853" s="5"/>
    </row>
    <row r="854" ht="15.75" customHeight="1">
      <c r="E854" s="9"/>
      <c r="J854" s="5"/>
    </row>
    <row r="855" ht="15.75" customHeight="1">
      <c r="E855" s="9"/>
      <c r="J855" s="5"/>
    </row>
    <row r="856" ht="15.75" customHeight="1">
      <c r="E856" s="9"/>
      <c r="J856" s="5"/>
    </row>
    <row r="857" ht="15.75" customHeight="1">
      <c r="E857" s="9"/>
      <c r="J857" s="5"/>
    </row>
    <row r="858" ht="15.75" customHeight="1">
      <c r="E858" s="9"/>
      <c r="J858" s="5"/>
    </row>
    <row r="859" ht="15.75" customHeight="1">
      <c r="E859" s="9"/>
      <c r="J859" s="5"/>
    </row>
    <row r="860" ht="15.75" customHeight="1">
      <c r="E860" s="9"/>
      <c r="J860" s="5"/>
    </row>
    <row r="861" ht="15.75" customHeight="1">
      <c r="E861" s="9"/>
      <c r="J861" s="5"/>
    </row>
    <row r="862" ht="15.75" customHeight="1">
      <c r="E862" s="9"/>
      <c r="J862" s="5"/>
    </row>
    <row r="863" ht="15.75" customHeight="1">
      <c r="E863" s="9"/>
      <c r="J863" s="5"/>
    </row>
    <row r="864" ht="15.75" customHeight="1">
      <c r="E864" s="9"/>
      <c r="J864" s="5"/>
    </row>
    <row r="865" ht="15.75" customHeight="1">
      <c r="E865" s="9"/>
      <c r="J865" s="5"/>
    </row>
    <row r="866" ht="15.75" customHeight="1">
      <c r="E866" s="9"/>
      <c r="J866" s="5"/>
    </row>
    <row r="867" ht="15.75" customHeight="1">
      <c r="E867" s="9"/>
      <c r="J867" s="5"/>
    </row>
    <row r="868" ht="15.75" customHeight="1">
      <c r="E868" s="9"/>
      <c r="J868" s="5"/>
    </row>
    <row r="869" ht="15.75" customHeight="1">
      <c r="E869" s="9"/>
      <c r="J869" s="5"/>
    </row>
    <row r="870" ht="15.75" customHeight="1">
      <c r="E870" s="9"/>
      <c r="J870" s="5"/>
    </row>
    <row r="871" ht="15.75" customHeight="1">
      <c r="E871" s="9"/>
      <c r="J871" s="5"/>
    </row>
    <row r="872" ht="15.75" customHeight="1">
      <c r="E872" s="9"/>
      <c r="J872" s="5"/>
    </row>
    <row r="873" ht="15.75" customHeight="1">
      <c r="E873" s="9"/>
      <c r="J873" s="5"/>
    </row>
    <row r="874" ht="15.75" customHeight="1">
      <c r="E874" s="9"/>
      <c r="J874" s="5"/>
    </row>
    <row r="875" ht="15.75" customHeight="1">
      <c r="E875" s="9"/>
      <c r="J875" s="5"/>
    </row>
    <row r="876" ht="15.75" customHeight="1">
      <c r="E876" s="9"/>
      <c r="J876" s="5"/>
    </row>
    <row r="877" ht="15.75" customHeight="1">
      <c r="E877" s="9"/>
      <c r="J877" s="5"/>
    </row>
    <row r="878" ht="15.75" customHeight="1">
      <c r="E878" s="9"/>
      <c r="J878" s="5"/>
    </row>
    <row r="879" ht="15.75" customHeight="1">
      <c r="E879" s="9"/>
      <c r="J879" s="5"/>
    </row>
    <row r="880" ht="15.75" customHeight="1">
      <c r="E880" s="9"/>
      <c r="J880" s="5"/>
    </row>
    <row r="881" ht="15.75" customHeight="1">
      <c r="E881" s="9"/>
      <c r="J881" s="5"/>
    </row>
    <row r="882" ht="15.75" customHeight="1">
      <c r="E882" s="9"/>
      <c r="J882" s="5"/>
    </row>
    <row r="883" ht="15.75" customHeight="1">
      <c r="E883" s="9"/>
      <c r="J883" s="5"/>
    </row>
    <row r="884" ht="15.75" customHeight="1">
      <c r="E884" s="9"/>
      <c r="J884" s="5"/>
    </row>
    <row r="885" ht="15.75" customHeight="1">
      <c r="E885" s="9"/>
      <c r="J885" s="5"/>
    </row>
    <row r="886" ht="15.75" customHeight="1">
      <c r="E886" s="9"/>
      <c r="J886" s="5"/>
    </row>
    <row r="887" ht="15.75" customHeight="1">
      <c r="E887" s="9"/>
      <c r="J887" s="5"/>
    </row>
    <row r="888" ht="15.75" customHeight="1">
      <c r="E888" s="9"/>
      <c r="J888" s="5"/>
    </row>
    <row r="889" ht="15.75" customHeight="1">
      <c r="E889" s="9"/>
      <c r="J889" s="5"/>
    </row>
    <row r="890" ht="15.75" customHeight="1">
      <c r="E890" s="9"/>
      <c r="J890" s="5"/>
    </row>
    <row r="891" ht="15.75" customHeight="1">
      <c r="E891" s="9"/>
      <c r="J891" s="5"/>
    </row>
    <row r="892" ht="15.75" customHeight="1">
      <c r="E892" s="9"/>
      <c r="J892" s="5"/>
    </row>
    <row r="893" ht="15.75" customHeight="1">
      <c r="E893" s="9"/>
      <c r="J893" s="5"/>
    </row>
    <row r="894" ht="15.75" customHeight="1">
      <c r="E894" s="9"/>
      <c r="J894" s="5"/>
    </row>
    <row r="895" ht="15.75" customHeight="1">
      <c r="E895" s="9"/>
      <c r="J895" s="5"/>
    </row>
    <row r="896" ht="15.75" customHeight="1">
      <c r="E896" s="9"/>
      <c r="J896" s="5"/>
    </row>
    <row r="897" ht="15.75" customHeight="1">
      <c r="E897" s="9"/>
      <c r="J897" s="5"/>
    </row>
    <row r="898" ht="15.75" customHeight="1">
      <c r="E898" s="9"/>
      <c r="J898" s="5"/>
    </row>
    <row r="899" ht="15.75" customHeight="1">
      <c r="E899" s="9"/>
      <c r="J899" s="5"/>
    </row>
    <row r="900" ht="15.75" customHeight="1">
      <c r="E900" s="9"/>
      <c r="J900" s="5"/>
    </row>
    <row r="901" ht="15.75" customHeight="1">
      <c r="E901" s="9"/>
      <c r="J901" s="5"/>
    </row>
    <row r="902" ht="15.75" customHeight="1">
      <c r="E902" s="9"/>
      <c r="J902" s="5"/>
    </row>
    <row r="903" ht="15.75" customHeight="1">
      <c r="E903" s="9"/>
      <c r="J903" s="5"/>
    </row>
    <row r="904" ht="15.75" customHeight="1">
      <c r="E904" s="9"/>
      <c r="J904" s="5"/>
    </row>
    <row r="905" ht="15.75" customHeight="1">
      <c r="E905" s="9"/>
      <c r="J905" s="5"/>
    </row>
    <row r="906" ht="15.75" customHeight="1">
      <c r="E906" s="9"/>
      <c r="J906" s="5"/>
    </row>
    <row r="907" ht="15.75" customHeight="1">
      <c r="E907" s="9"/>
      <c r="J907" s="5"/>
    </row>
    <row r="908" ht="15.75" customHeight="1">
      <c r="E908" s="9"/>
      <c r="J908" s="5"/>
    </row>
    <row r="909" ht="15.75" customHeight="1">
      <c r="E909" s="9"/>
      <c r="J909" s="5"/>
    </row>
    <row r="910" ht="15.75" customHeight="1">
      <c r="E910" s="9"/>
      <c r="J910" s="5"/>
    </row>
    <row r="911" ht="15.75" customHeight="1">
      <c r="E911" s="9"/>
      <c r="J911" s="5"/>
    </row>
    <row r="912" ht="15.75" customHeight="1">
      <c r="E912" s="9"/>
      <c r="J912" s="5"/>
    </row>
    <row r="913" ht="15.75" customHeight="1">
      <c r="E913" s="9"/>
      <c r="J913" s="5"/>
    </row>
    <row r="914" ht="15.75" customHeight="1">
      <c r="E914" s="9"/>
      <c r="J914" s="5"/>
    </row>
    <row r="915" ht="15.75" customHeight="1">
      <c r="E915" s="9"/>
      <c r="J915" s="5"/>
    </row>
    <row r="916" ht="15.75" customHeight="1">
      <c r="E916" s="9"/>
      <c r="J916" s="5"/>
    </row>
    <row r="917" ht="15.75" customHeight="1">
      <c r="E917" s="9"/>
      <c r="J917" s="5"/>
    </row>
    <row r="918" ht="15.75" customHeight="1">
      <c r="E918" s="9"/>
      <c r="J918" s="5"/>
    </row>
    <row r="919" ht="15.75" customHeight="1">
      <c r="E919" s="9"/>
      <c r="J919" s="5"/>
    </row>
    <row r="920" ht="15.75" customHeight="1">
      <c r="E920" s="9"/>
      <c r="J920" s="5"/>
    </row>
    <row r="921" ht="15.75" customHeight="1">
      <c r="E921" s="9"/>
      <c r="J921" s="5"/>
    </row>
    <row r="922" ht="15.75" customHeight="1">
      <c r="E922" s="9"/>
      <c r="J922" s="5"/>
    </row>
    <row r="923" ht="15.75" customHeight="1">
      <c r="E923" s="9"/>
      <c r="J923" s="5"/>
    </row>
    <row r="924" ht="15.75" customHeight="1">
      <c r="E924" s="9"/>
      <c r="J924" s="5"/>
    </row>
    <row r="925" ht="15.75" customHeight="1">
      <c r="E925" s="9"/>
      <c r="J925" s="5"/>
    </row>
    <row r="926" ht="15.75" customHeight="1">
      <c r="E926" s="9"/>
      <c r="J926" s="5"/>
    </row>
    <row r="927" ht="15.75" customHeight="1">
      <c r="E927" s="9"/>
      <c r="J927" s="5"/>
    </row>
    <row r="928" ht="15.75" customHeight="1">
      <c r="E928" s="9"/>
      <c r="J928" s="5"/>
    </row>
    <row r="929" ht="15.75" customHeight="1">
      <c r="E929" s="9"/>
      <c r="J929" s="5"/>
    </row>
    <row r="930" ht="15.75" customHeight="1">
      <c r="E930" s="9"/>
      <c r="J930" s="5"/>
    </row>
    <row r="931" ht="15.75" customHeight="1">
      <c r="E931" s="9"/>
      <c r="J931" s="5"/>
    </row>
    <row r="932" ht="15.75" customHeight="1">
      <c r="E932" s="9"/>
      <c r="J932" s="5"/>
    </row>
    <row r="933" ht="15.75" customHeight="1">
      <c r="E933" s="9"/>
      <c r="J933" s="5"/>
    </row>
    <row r="934" ht="15.75" customHeight="1">
      <c r="E934" s="9"/>
      <c r="J934" s="5"/>
    </row>
    <row r="935" ht="15.75" customHeight="1">
      <c r="E935" s="9"/>
      <c r="J935" s="5"/>
    </row>
    <row r="936" ht="15.75" customHeight="1">
      <c r="E936" s="9"/>
      <c r="J936" s="5"/>
    </row>
    <row r="937" ht="15.75" customHeight="1">
      <c r="E937" s="9"/>
      <c r="J937" s="5"/>
    </row>
    <row r="938" ht="15.75" customHeight="1">
      <c r="E938" s="9"/>
      <c r="J938" s="5"/>
    </row>
    <row r="939" ht="15.75" customHeight="1">
      <c r="E939" s="9"/>
      <c r="J939" s="5"/>
    </row>
    <row r="940" ht="15.75" customHeight="1">
      <c r="E940" s="9"/>
      <c r="J940" s="5"/>
    </row>
    <row r="941" ht="15.75" customHeight="1">
      <c r="E941" s="9"/>
      <c r="J941" s="5"/>
    </row>
    <row r="942" ht="15.75" customHeight="1">
      <c r="E942" s="9"/>
      <c r="J942" s="5"/>
    </row>
    <row r="943" ht="15.75" customHeight="1">
      <c r="E943" s="9"/>
      <c r="J943" s="5"/>
    </row>
    <row r="944" ht="15.75" customHeight="1">
      <c r="E944" s="9"/>
      <c r="J944" s="5"/>
    </row>
    <row r="945" ht="15.75" customHeight="1">
      <c r="E945" s="9"/>
      <c r="J945" s="5"/>
    </row>
    <row r="946" ht="15.75" customHeight="1">
      <c r="E946" s="9"/>
      <c r="J946" s="5"/>
    </row>
    <row r="947" ht="15.75" customHeight="1">
      <c r="E947" s="9"/>
      <c r="J947" s="5"/>
    </row>
    <row r="948" ht="15.75" customHeight="1">
      <c r="E948" s="9"/>
      <c r="J948" s="5"/>
    </row>
    <row r="949" ht="15.75" customHeight="1">
      <c r="E949" s="9"/>
      <c r="J949" s="5"/>
    </row>
    <row r="950" ht="15.75" customHeight="1">
      <c r="E950" s="9"/>
      <c r="J950" s="5"/>
    </row>
    <row r="951" ht="15.75" customHeight="1">
      <c r="E951" s="9"/>
      <c r="J951" s="5"/>
    </row>
    <row r="952" ht="15.75" customHeight="1">
      <c r="E952" s="9"/>
      <c r="J952" s="5"/>
    </row>
    <row r="953" ht="15.75" customHeight="1">
      <c r="E953" s="9"/>
      <c r="J953" s="5"/>
    </row>
    <row r="954" ht="15.75" customHeight="1">
      <c r="E954" s="9"/>
      <c r="J954" s="5"/>
    </row>
    <row r="955" ht="15.75" customHeight="1">
      <c r="E955" s="9"/>
      <c r="J955" s="5"/>
    </row>
    <row r="956" ht="15.75" customHeight="1">
      <c r="E956" s="9"/>
      <c r="J956" s="5"/>
    </row>
    <row r="957" ht="15.75" customHeight="1">
      <c r="E957" s="9"/>
      <c r="J957" s="5"/>
    </row>
    <row r="958" ht="15.75" customHeight="1">
      <c r="E958" s="9"/>
      <c r="J958" s="5"/>
    </row>
    <row r="959" ht="15.75" customHeight="1">
      <c r="E959" s="9"/>
      <c r="J959" s="5"/>
    </row>
    <row r="960" ht="15.75" customHeight="1">
      <c r="E960" s="9"/>
      <c r="J960" s="5"/>
    </row>
    <row r="961" ht="15.75" customHeight="1">
      <c r="E961" s="9"/>
      <c r="J961" s="5"/>
    </row>
    <row r="962" ht="15.75" customHeight="1">
      <c r="E962" s="9"/>
      <c r="J962" s="5"/>
    </row>
    <row r="963" ht="15.75" customHeight="1">
      <c r="E963" s="9"/>
      <c r="J963" s="5"/>
    </row>
    <row r="964" ht="15.75" customHeight="1">
      <c r="E964" s="9"/>
      <c r="J964" s="5"/>
    </row>
    <row r="965" ht="15.75" customHeight="1">
      <c r="E965" s="9"/>
      <c r="J965" s="5"/>
    </row>
    <row r="966" ht="15.75" customHeight="1">
      <c r="E966" s="9"/>
      <c r="J966" s="5"/>
    </row>
    <row r="967" ht="15.75" customHeight="1">
      <c r="E967" s="9"/>
      <c r="J967" s="5"/>
    </row>
    <row r="968" ht="15.75" customHeight="1">
      <c r="E968" s="9"/>
      <c r="J968" s="5"/>
    </row>
    <row r="969" ht="15.75" customHeight="1">
      <c r="E969" s="9"/>
      <c r="J969" s="5"/>
    </row>
    <row r="970" ht="15.75" customHeight="1">
      <c r="E970" s="9"/>
      <c r="J970" s="5"/>
    </row>
    <row r="971" ht="15.75" customHeight="1">
      <c r="E971" s="9"/>
      <c r="J971" s="5"/>
    </row>
    <row r="972" ht="15.75" customHeight="1">
      <c r="E972" s="9"/>
      <c r="J972" s="5"/>
    </row>
    <row r="973" ht="15.75" customHeight="1">
      <c r="E973" s="9"/>
      <c r="J973" s="5"/>
    </row>
    <row r="974" ht="15.75" customHeight="1">
      <c r="E974" s="9"/>
      <c r="J974" s="5"/>
    </row>
    <row r="975" ht="15.75" customHeight="1">
      <c r="E975" s="9"/>
      <c r="J975" s="5"/>
    </row>
    <row r="976" ht="15.75" customHeight="1">
      <c r="E976" s="9"/>
      <c r="J976" s="5"/>
    </row>
    <row r="977" ht="15.75" customHeight="1">
      <c r="E977" s="9"/>
      <c r="J977" s="5"/>
    </row>
    <row r="978" ht="15.75" customHeight="1">
      <c r="E978" s="9"/>
      <c r="J978" s="5"/>
    </row>
    <row r="979" ht="15.75" customHeight="1">
      <c r="E979" s="9"/>
      <c r="J979" s="5"/>
    </row>
    <row r="980" ht="15.75" customHeight="1">
      <c r="E980" s="9"/>
      <c r="J980" s="5"/>
    </row>
    <row r="981" ht="15.75" customHeight="1">
      <c r="E981" s="9"/>
      <c r="J981" s="5"/>
    </row>
    <row r="982" ht="15.75" customHeight="1">
      <c r="E982" s="9"/>
      <c r="J982" s="5"/>
    </row>
    <row r="983" ht="15.75" customHeight="1">
      <c r="E983" s="9"/>
      <c r="J983" s="5"/>
    </row>
    <row r="984" ht="15.75" customHeight="1">
      <c r="E984" s="9"/>
      <c r="J984" s="5"/>
    </row>
    <row r="985" ht="15.75" customHeight="1">
      <c r="E985" s="9"/>
      <c r="J985" s="5"/>
    </row>
    <row r="986" ht="15.75" customHeight="1">
      <c r="E986" s="9"/>
      <c r="J986" s="5"/>
    </row>
    <row r="987" ht="15.75" customHeight="1">
      <c r="E987" s="9"/>
      <c r="J987" s="5"/>
    </row>
    <row r="988" ht="15.75" customHeight="1">
      <c r="E988" s="9"/>
      <c r="J988" s="5"/>
    </row>
    <row r="989" ht="15.75" customHeight="1">
      <c r="E989" s="9"/>
      <c r="J989" s="5"/>
    </row>
    <row r="990" ht="15.75" customHeight="1">
      <c r="E990" s="9"/>
      <c r="J990" s="5"/>
    </row>
    <row r="991" ht="15.75" customHeight="1">
      <c r="E991" s="9"/>
      <c r="J991" s="5"/>
    </row>
    <row r="992" ht="15.75" customHeight="1">
      <c r="E992" s="9"/>
      <c r="J992" s="5"/>
    </row>
    <row r="993" ht="15.75" customHeight="1">
      <c r="E993" s="9"/>
      <c r="J993" s="5"/>
    </row>
    <row r="994" ht="15.75" customHeight="1">
      <c r="E994" s="9"/>
      <c r="J994" s="5"/>
    </row>
    <row r="995" ht="15.75" customHeight="1">
      <c r="E995" s="9"/>
      <c r="J995" s="5"/>
    </row>
    <row r="996" ht="15.75" customHeight="1">
      <c r="E996" s="9"/>
      <c r="J996" s="5"/>
    </row>
    <row r="997" ht="15.75" customHeight="1">
      <c r="E997" s="9"/>
      <c r="J997" s="5"/>
    </row>
    <row r="998" ht="15.75" customHeight="1">
      <c r="E998" s="9"/>
      <c r="J998" s="5"/>
    </row>
    <row r="999" ht="15.75" customHeight="1">
      <c r="E999" s="9"/>
      <c r="J999" s="5"/>
    </row>
    <row r="1000" ht="15.75" customHeight="1"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5.11"/>
    <col customWidth="1" min="3" max="3" width="12.0"/>
    <col customWidth="1" min="4" max="4" width="15.44"/>
    <col customWidth="1" min="5" max="5" width="15.11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170</v>
      </c>
      <c r="J1" s="5"/>
    </row>
    <row r="2" ht="15.75" customHeight="1">
      <c r="B2" s="2"/>
      <c r="C2" s="1" t="s">
        <v>6</v>
      </c>
      <c r="D2" s="6">
        <f>+A5*10%</f>
        <v>9711600</v>
      </c>
      <c r="E2" s="7"/>
      <c r="J2" s="5"/>
    </row>
    <row r="3" ht="15.75" customHeight="1">
      <c r="B3" s="2"/>
      <c r="C3" s="1" t="s">
        <v>7</v>
      </c>
      <c r="D3" s="8">
        <f>+A5-D2</f>
        <v>87404400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9.7116E7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1944262.603</v>
      </c>
      <c r="E6" s="12"/>
      <c r="H6" s="5"/>
      <c r="J6" s="5"/>
    </row>
    <row r="7" ht="15.75" customHeight="1">
      <c r="B7" s="2"/>
      <c r="C7" s="1" t="s">
        <v>12</v>
      </c>
      <c r="D7" s="15" t="s">
        <v>171</v>
      </c>
      <c r="H7" s="5"/>
      <c r="J7" s="5"/>
    </row>
    <row r="8" ht="15.75" customHeight="1">
      <c r="B8" s="2"/>
      <c r="C8" s="1" t="s">
        <v>172</v>
      </c>
      <c r="D8" s="16">
        <v>1.144146148E9</v>
      </c>
      <c r="H8" s="5"/>
      <c r="I8" s="17"/>
      <c r="J8" s="19"/>
      <c r="K8" s="17"/>
      <c r="L8" s="21" t="s">
        <v>173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87404400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1.26367263E8</v>
      </c>
      <c r="U10" s="25"/>
    </row>
    <row r="11" ht="31.5" customHeight="1">
      <c r="A11" s="29">
        <v>45722.0</v>
      </c>
      <c r="B11" s="59" t="s">
        <v>174</v>
      </c>
      <c r="C11" s="30">
        <v>45717.0</v>
      </c>
      <c r="D11" s="8">
        <f t="shared" ref="D11:D70" si="1">$D$6</f>
        <v>1944262.603</v>
      </c>
      <c r="E11" s="15">
        <f>4000000+4080000+2000000+1800000-(D11)</f>
        <v>9935737.397</v>
      </c>
      <c r="F11" s="8">
        <f t="shared" ref="F11:F70" si="2">+H10*$D$4</f>
        <v>874044</v>
      </c>
      <c r="G11" s="8">
        <f t="shared" ref="G11:G70" si="3">+D11+E11-F11</f>
        <v>11005956</v>
      </c>
      <c r="H11" s="8">
        <f t="shared" ref="H11:H70" si="4">+H10-G11</f>
        <v>76398444</v>
      </c>
      <c r="J11" s="5"/>
      <c r="L11" s="33">
        <v>45633.0</v>
      </c>
      <c r="M11" s="34" t="s">
        <v>44</v>
      </c>
      <c r="N11" s="35" t="s">
        <v>175</v>
      </c>
      <c r="O11" s="36"/>
      <c r="P11" s="36">
        <v>1000000.0</v>
      </c>
      <c r="Q11" s="36"/>
      <c r="R11" s="36"/>
      <c r="S11" s="36">
        <f t="shared" ref="S11:S30" si="5">SUM(O11:R11)</f>
        <v>1000000</v>
      </c>
      <c r="T11" s="36">
        <f t="shared" ref="T11:T30" si="6">T10-S11</f>
        <v>125367263</v>
      </c>
      <c r="U11" s="34"/>
    </row>
    <row r="12" ht="15.75" customHeight="1">
      <c r="A12" s="29">
        <v>45757.0</v>
      </c>
      <c r="B12" s="2" t="s">
        <v>176</v>
      </c>
      <c r="C12" s="30">
        <v>45748.0</v>
      </c>
      <c r="D12" s="8">
        <f t="shared" si="1"/>
        <v>1944262.603</v>
      </c>
      <c r="E12" s="15">
        <f>2000000+2000000-(D12)</f>
        <v>2055737.397</v>
      </c>
      <c r="F12" s="8">
        <f t="shared" si="2"/>
        <v>763984.44</v>
      </c>
      <c r="G12" s="8">
        <f t="shared" si="3"/>
        <v>3236015.56</v>
      </c>
      <c r="H12" s="8">
        <f t="shared" si="4"/>
        <v>73162428.44</v>
      </c>
      <c r="J12" s="5"/>
      <c r="L12" s="33">
        <v>45645.0</v>
      </c>
      <c r="M12" s="34" t="s">
        <v>44</v>
      </c>
      <c r="N12" s="35" t="s">
        <v>177</v>
      </c>
      <c r="O12" s="36"/>
      <c r="P12" s="36">
        <v>6400000.0</v>
      </c>
      <c r="Q12" s="36"/>
      <c r="R12" s="36"/>
      <c r="S12" s="36">
        <f t="shared" si="5"/>
        <v>6400000</v>
      </c>
      <c r="T12" s="36">
        <f t="shared" si="6"/>
        <v>118967263</v>
      </c>
      <c r="U12" s="34"/>
    </row>
    <row r="13" ht="15.75" customHeight="1">
      <c r="A13" s="29">
        <v>45780.0</v>
      </c>
      <c r="B13" s="2" t="s">
        <v>178</v>
      </c>
      <c r="C13" s="30">
        <v>45778.0</v>
      </c>
      <c r="D13" s="8">
        <f t="shared" si="1"/>
        <v>1944262.603</v>
      </c>
      <c r="E13" s="15">
        <f t="shared" ref="E13:E14" si="7">2000000-D13</f>
        <v>55737.39677</v>
      </c>
      <c r="F13" s="8">
        <f t="shared" si="2"/>
        <v>731624.2844</v>
      </c>
      <c r="G13" s="8">
        <f t="shared" si="3"/>
        <v>1268375.716</v>
      </c>
      <c r="H13" s="8">
        <f t="shared" si="4"/>
        <v>71894052.72</v>
      </c>
      <c r="J13" s="5" t="s">
        <v>56</v>
      </c>
      <c r="L13" s="33">
        <v>45665.0</v>
      </c>
      <c r="M13" s="34" t="s">
        <v>44</v>
      </c>
      <c r="N13" s="35" t="s">
        <v>179</v>
      </c>
      <c r="O13" s="36"/>
      <c r="P13" s="36">
        <v>2311600.0</v>
      </c>
      <c r="Q13" s="36"/>
      <c r="R13" s="36"/>
      <c r="S13" s="36">
        <f t="shared" si="5"/>
        <v>2311600</v>
      </c>
      <c r="T13" s="36">
        <f t="shared" si="6"/>
        <v>116655663</v>
      </c>
      <c r="U13" s="34"/>
    </row>
    <row r="14" ht="15.75" customHeight="1">
      <c r="A14" s="29">
        <v>45803.0</v>
      </c>
      <c r="B14" s="2" t="s">
        <v>180</v>
      </c>
      <c r="C14" s="30">
        <v>45809.0</v>
      </c>
      <c r="D14" s="8">
        <f t="shared" si="1"/>
        <v>1944262.603</v>
      </c>
      <c r="E14" s="15">
        <f t="shared" si="7"/>
        <v>55737.39677</v>
      </c>
      <c r="F14" s="8">
        <f t="shared" si="2"/>
        <v>718940.5272</v>
      </c>
      <c r="G14" s="8">
        <f t="shared" si="3"/>
        <v>1281059.473</v>
      </c>
      <c r="H14" s="8">
        <f t="shared" si="4"/>
        <v>70612993.25</v>
      </c>
      <c r="J14" s="8">
        <f>+H10</f>
        <v>87404400</v>
      </c>
      <c r="L14" s="33">
        <v>45722.0</v>
      </c>
      <c r="M14" s="34" t="s">
        <v>134</v>
      </c>
      <c r="N14" s="35" t="s">
        <v>174</v>
      </c>
      <c r="O14" s="36"/>
      <c r="P14" s="36">
        <v>1.188E7</v>
      </c>
      <c r="Q14" s="36"/>
      <c r="R14" s="36"/>
      <c r="S14" s="36">
        <f t="shared" si="5"/>
        <v>11880000</v>
      </c>
      <c r="T14" s="36">
        <f t="shared" si="6"/>
        <v>104775663</v>
      </c>
      <c r="U14" s="34"/>
    </row>
    <row r="15" ht="15.75" customHeight="1">
      <c r="A15" s="29">
        <v>45841.0</v>
      </c>
      <c r="B15" s="2" t="s">
        <v>181</v>
      </c>
      <c r="C15" s="30">
        <v>45839.0</v>
      </c>
      <c r="D15" s="8">
        <f t="shared" si="1"/>
        <v>1944262.603</v>
      </c>
      <c r="E15" s="15">
        <f>2700000-D15</f>
        <v>755737.3968</v>
      </c>
      <c r="F15" s="8">
        <f t="shared" si="2"/>
        <v>706129.9325</v>
      </c>
      <c r="G15" s="8">
        <f t="shared" si="3"/>
        <v>1993870.067</v>
      </c>
      <c r="H15" s="8">
        <f t="shared" si="4"/>
        <v>68619123.18</v>
      </c>
      <c r="J15" s="5"/>
      <c r="L15" s="33">
        <v>45757.0</v>
      </c>
      <c r="M15" s="34" t="s">
        <v>136</v>
      </c>
      <c r="N15" s="35" t="s">
        <v>176</v>
      </c>
      <c r="O15" s="36"/>
      <c r="P15" s="36">
        <v>4000000.0</v>
      </c>
      <c r="Q15" s="36"/>
      <c r="R15" s="36"/>
      <c r="S15" s="36">
        <f t="shared" si="5"/>
        <v>4000000</v>
      </c>
      <c r="T15" s="36">
        <f t="shared" si="6"/>
        <v>100775663</v>
      </c>
      <c r="U15" s="34"/>
    </row>
    <row r="16" ht="15.75" customHeight="1">
      <c r="A16" s="29">
        <v>45873.0</v>
      </c>
      <c r="B16" s="2" t="s">
        <v>182</v>
      </c>
      <c r="C16" s="30">
        <v>45870.0</v>
      </c>
      <c r="D16" s="8">
        <f t="shared" si="1"/>
        <v>1944262.603</v>
      </c>
      <c r="E16" s="15">
        <f t="shared" ref="E16:E22" si="8">2000000-D16</f>
        <v>55737.39677</v>
      </c>
      <c r="F16" s="8">
        <f t="shared" si="2"/>
        <v>686191.2318</v>
      </c>
      <c r="G16" s="8">
        <f t="shared" si="3"/>
        <v>1313808.768</v>
      </c>
      <c r="H16" s="8">
        <f t="shared" si="4"/>
        <v>67305314.42</v>
      </c>
      <c r="J16" s="5"/>
      <c r="L16" s="33">
        <v>45780.0</v>
      </c>
      <c r="M16" s="34" t="s">
        <v>183</v>
      </c>
      <c r="N16" s="35" t="s">
        <v>178</v>
      </c>
      <c r="O16" s="36"/>
      <c r="P16" s="36">
        <v>2000000.0</v>
      </c>
      <c r="Q16" s="36"/>
      <c r="R16" s="36"/>
      <c r="S16" s="36">
        <f t="shared" si="5"/>
        <v>2000000</v>
      </c>
      <c r="T16" s="36">
        <f t="shared" si="6"/>
        <v>98775663</v>
      </c>
      <c r="U16" s="34"/>
    </row>
    <row r="17" ht="15.75" customHeight="1">
      <c r="A17" s="29">
        <v>45901.0</v>
      </c>
      <c r="B17" s="2" t="s">
        <v>184</v>
      </c>
      <c r="C17" s="30">
        <v>45901.0</v>
      </c>
      <c r="D17" s="8">
        <f t="shared" si="1"/>
        <v>1944262.603</v>
      </c>
      <c r="E17" s="15">
        <f t="shared" si="8"/>
        <v>55737.39677</v>
      </c>
      <c r="F17" s="8">
        <f t="shared" si="2"/>
        <v>673053.1442</v>
      </c>
      <c r="G17" s="8">
        <f t="shared" si="3"/>
        <v>1326946.856</v>
      </c>
      <c r="H17" s="8">
        <f t="shared" si="4"/>
        <v>65978367.56</v>
      </c>
      <c r="J17" s="5"/>
      <c r="L17" s="33">
        <v>45803.0</v>
      </c>
      <c r="M17" s="34" t="s">
        <v>139</v>
      </c>
      <c r="N17" s="35" t="s">
        <v>180</v>
      </c>
      <c r="O17" s="36"/>
      <c r="P17" s="36">
        <v>2000000.0</v>
      </c>
      <c r="Q17" s="36"/>
      <c r="R17" s="36"/>
      <c r="S17" s="36">
        <f t="shared" si="5"/>
        <v>2000000</v>
      </c>
      <c r="T17" s="36">
        <f t="shared" si="6"/>
        <v>96775663</v>
      </c>
      <c r="U17" s="34"/>
    </row>
    <row r="18" ht="15.75" customHeight="1">
      <c r="A18" s="29">
        <v>45936.0</v>
      </c>
      <c r="B18" s="2" t="s">
        <v>185</v>
      </c>
      <c r="C18" s="30">
        <v>45931.0</v>
      </c>
      <c r="D18" s="8">
        <f t="shared" si="1"/>
        <v>1944262.603</v>
      </c>
      <c r="E18" s="15">
        <f t="shared" si="8"/>
        <v>55737.39677</v>
      </c>
      <c r="F18" s="8">
        <f t="shared" si="2"/>
        <v>659783.6756</v>
      </c>
      <c r="G18" s="8">
        <f t="shared" si="3"/>
        <v>1340216.324</v>
      </c>
      <c r="H18" s="8">
        <f t="shared" si="4"/>
        <v>64638151.24</v>
      </c>
      <c r="J18" s="5"/>
      <c r="L18" s="33">
        <v>45841.0</v>
      </c>
      <c r="M18" s="34" t="s">
        <v>186</v>
      </c>
      <c r="N18" s="35" t="s">
        <v>181</v>
      </c>
      <c r="O18" s="36"/>
      <c r="P18" s="36">
        <v>2700000.0</v>
      </c>
      <c r="Q18" s="36"/>
      <c r="R18" s="36"/>
      <c r="S18" s="36">
        <f t="shared" si="5"/>
        <v>2700000</v>
      </c>
      <c r="T18" s="36">
        <f t="shared" si="6"/>
        <v>94075663</v>
      </c>
      <c r="U18" s="34"/>
    </row>
    <row r="19" ht="15.75" customHeight="1">
      <c r="A19" s="29">
        <v>45966.0</v>
      </c>
      <c r="B19" s="2" t="s">
        <v>187</v>
      </c>
      <c r="C19" s="30">
        <v>45962.0</v>
      </c>
      <c r="D19" s="8">
        <f t="shared" si="1"/>
        <v>1944262.603</v>
      </c>
      <c r="E19" s="15">
        <f t="shared" si="8"/>
        <v>55737.39677</v>
      </c>
      <c r="F19" s="8">
        <f t="shared" si="2"/>
        <v>646381.5124</v>
      </c>
      <c r="G19" s="8">
        <f t="shared" si="3"/>
        <v>1353618.488</v>
      </c>
      <c r="H19" s="8">
        <f t="shared" si="4"/>
        <v>63284532.75</v>
      </c>
      <c r="I19" s="1"/>
      <c r="J19" s="41"/>
      <c r="K19" s="1"/>
      <c r="L19" s="42">
        <v>45873.0</v>
      </c>
      <c r="M19" s="43" t="s">
        <v>188</v>
      </c>
      <c r="N19" s="44" t="s">
        <v>182</v>
      </c>
      <c r="O19" s="45"/>
      <c r="P19" s="45">
        <v>2000000.0</v>
      </c>
      <c r="Q19" s="45"/>
      <c r="R19" s="45"/>
      <c r="S19" s="45">
        <f t="shared" si="5"/>
        <v>2000000</v>
      </c>
      <c r="T19" s="45">
        <f t="shared" si="6"/>
        <v>92075663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46000.0</v>
      </c>
      <c r="B20" s="2" t="s">
        <v>189</v>
      </c>
      <c r="C20" s="30">
        <v>45992.0</v>
      </c>
      <c r="D20" s="8">
        <f t="shared" si="1"/>
        <v>1944262.603</v>
      </c>
      <c r="E20" s="15">
        <f t="shared" si="8"/>
        <v>55737.39677</v>
      </c>
      <c r="F20" s="8">
        <f t="shared" si="2"/>
        <v>632845.3275</v>
      </c>
      <c r="G20" s="8">
        <f t="shared" si="3"/>
        <v>1367154.673</v>
      </c>
      <c r="H20" s="8">
        <f t="shared" si="4"/>
        <v>61917378.08</v>
      </c>
      <c r="J20" s="5"/>
      <c r="L20" s="33">
        <v>45901.0</v>
      </c>
      <c r="M20" s="34" t="s">
        <v>190</v>
      </c>
      <c r="N20" s="35" t="s">
        <v>184</v>
      </c>
      <c r="O20" s="36"/>
      <c r="P20" s="36">
        <v>2000000.0</v>
      </c>
      <c r="Q20" s="36"/>
      <c r="R20" s="36"/>
      <c r="S20" s="36">
        <f t="shared" si="5"/>
        <v>2000000</v>
      </c>
      <c r="T20" s="36">
        <f t="shared" si="6"/>
        <v>90075663</v>
      </c>
      <c r="U20" s="34"/>
    </row>
    <row r="21" ht="15.75" customHeight="1">
      <c r="A21" s="29">
        <v>46025.0</v>
      </c>
      <c r="B21" s="2" t="s">
        <v>191</v>
      </c>
      <c r="C21" s="30">
        <v>46023.0</v>
      </c>
      <c r="D21" s="8">
        <f t="shared" si="1"/>
        <v>1944262.603</v>
      </c>
      <c r="E21" s="15">
        <f t="shared" si="8"/>
        <v>55737.39677</v>
      </c>
      <c r="F21" s="8">
        <f t="shared" si="2"/>
        <v>619173.7808</v>
      </c>
      <c r="G21" s="8">
        <f t="shared" si="3"/>
        <v>1380826.219</v>
      </c>
      <c r="H21" s="8">
        <f t="shared" si="4"/>
        <v>60536551.86</v>
      </c>
      <c r="J21" s="5"/>
      <c r="L21" s="33">
        <v>45936.0</v>
      </c>
      <c r="M21" s="34" t="s">
        <v>192</v>
      </c>
      <c r="N21" s="35" t="s">
        <v>185</v>
      </c>
      <c r="O21" s="36"/>
      <c r="P21" s="36">
        <v>2000000.0</v>
      </c>
      <c r="Q21" s="36"/>
      <c r="R21" s="36"/>
      <c r="S21" s="36">
        <f t="shared" si="5"/>
        <v>2000000</v>
      </c>
      <c r="T21" s="36">
        <f t="shared" si="6"/>
        <v>88075663</v>
      </c>
      <c r="U21" s="34"/>
    </row>
    <row r="22" ht="15.75" customHeight="1">
      <c r="A22" s="29">
        <v>46056.0</v>
      </c>
      <c r="B22" s="2" t="s">
        <v>193</v>
      </c>
      <c r="C22" s="30">
        <v>46054.0</v>
      </c>
      <c r="D22" s="8">
        <f t="shared" si="1"/>
        <v>1944262.603</v>
      </c>
      <c r="E22" s="15">
        <f t="shared" si="8"/>
        <v>55737.39677</v>
      </c>
      <c r="F22" s="8">
        <f t="shared" si="2"/>
        <v>605365.5186</v>
      </c>
      <c r="G22" s="8">
        <f t="shared" si="3"/>
        <v>1394634.481</v>
      </c>
      <c r="H22" s="8">
        <f t="shared" si="4"/>
        <v>59141917.37</v>
      </c>
      <c r="J22" s="5"/>
      <c r="L22" s="33">
        <v>45966.0</v>
      </c>
      <c r="M22" s="34" t="s">
        <v>194</v>
      </c>
      <c r="N22" s="35" t="s">
        <v>187</v>
      </c>
      <c r="O22" s="36"/>
      <c r="P22" s="36">
        <v>2000000.0</v>
      </c>
      <c r="Q22" s="36"/>
      <c r="R22" s="36"/>
      <c r="S22" s="36">
        <f t="shared" si="5"/>
        <v>2000000</v>
      </c>
      <c r="T22" s="36">
        <f t="shared" si="6"/>
        <v>86075663</v>
      </c>
      <c r="U22" s="34"/>
    </row>
    <row r="23" ht="15.75" customHeight="1">
      <c r="A23" s="29">
        <v>46104.0</v>
      </c>
      <c r="B23" s="2" t="s">
        <v>195</v>
      </c>
      <c r="C23" s="30">
        <v>46082.0</v>
      </c>
      <c r="D23" s="8">
        <f t="shared" si="1"/>
        <v>1944262.603</v>
      </c>
      <c r="E23" s="8">
        <f>4000000+3500000-D23</f>
        <v>5555737.397</v>
      </c>
      <c r="F23" s="8">
        <f t="shared" si="2"/>
        <v>591419.1737</v>
      </c>
      <c r="G23" s="8">
        <f t="shared" si="3"/>
        <v>6908580.826</v>
      </c>
      <c r="H23" s="8">
        <f t="shared" si="4"/>
        <v>52233336.55</v>
      </c>
      <c r="J23" s="5"/>
      <c r="L23" s="33">
        <v>46000.0</v>
      </c>
      <c r="M23" s="34" t="s">
        <v>196</v>
      </c>
      <c r="N23" s="35" t="s">
        <v>189</v>
      </c>
      <c r="O23" s="36"/>
      <c r="P23" s="36">
        <v>2000000.0</v>
      </c>
      <c r="Q23" s="36"/>
      <c r="R23" s="36"/>
      <c r="S23" s="36">
        <f t="shared" si="5"/>
        <v>2000000</v>
      </c>
      <c r="T23" s="36">
        <f t="shared" si="6"/>
        <v>84075663</v>
      </c>
      <c r="U23" s="34"/>
    </row>
    <row r="24" ht="15.75" customHeight="1">
      <c r="A24" s="29">
        <v>46116.0</v>
      </c>
      <c r="B24" s="2" t="s">
        <v>197</v>
      </c>
      <c r="C24" s="30">
        <v>46113.0</v>
      </c>
      <c r="D24" s="8">
        <f t="shared" si="1"/>
        <v>1944262.603</v>
      </c>
      <c r="E24" s="8">
        <f>3400000-D24</f>
        <v>1455737.397</v>
      </c>
      <c r="F24" s="8">
        <f t="shared" si="2"/>
        <v>522333.3655</v>
      </c>
      <c r="G24" s="8">
        <f t="shared" si="3"/>
        <v>2877666.635</v>
      </c>
      <c r="H24" s="8">
        <f t="shared" si="4"/>
        <v>49355669.91</v>
      </c>
      <c r="J24" s="5"/>
      <c r="L24" s="33">
        <v>46025.0</v>
      </c>
      <c r="M24" s="34" t="s">
        <v>198</v>
      </c>
      <c r="N24" s="35" t="s">
        <v>191</v>
      </c>
      <c r="O24" s="36"/>
      <c r="P24" s="36">
        <v>2000000.0</v>
      </c>
      <c r="Q24" s="36"/>
      <c r="R24" s="36"/>
      <c r="S24" s="36">
        <f t="shared" si="5"/>
        <v>2000000</v>
      </c>
      <c r="T24" s="36">
        <f t="shared" si="6"/>
        <v>82075663</v>
      </c>
      <c r="U24" s="34"/>
    </row>
    <row r="25" ht="15.75" customHeight="1">
      <c r="A25" s="29">
        <v>46144.0</v>
      </c>
      <c r="B25" s="2" t="s">
        <v>199</v>
      </c>
      <c r="C25" s="30">
        <v>46143.0</v>
      </c>
      <c r="D25" s="8">
        <f t="shared" si="1"/>
        <v>1944262.603</v>
      </c>
      <c r="E25" s="8">
        <f>2600000-D25</f>
        <v>655737.3968</v>
      </c>
      <c r="F25" s="8">
        <f t="shared" si="2"/>
        <v>493556.6991</v>
      </c>
      <c r="G25" s="8">
        <f t="shared" si="3"/>
        <v>2106443.301</v>
      </c>
      <c r="H25" s="8">
        <f t="shared" si="4"/>
        <v>47249226.61</v>
      </c>
      <c r="J25" s="5"/>
      <c r="L25" s="33">
        <v>46056.0</v>
      </c>
      <c r="M25" s="34" t="s">
        <v>200</v>
      </c>
      <c r="N25" s="35" t="s">
        <v>193</v>
      </c>
      <c r="O25" s="36"/>
      <c r="P25" s="36">
        <v>2000000.0</v>
      </c>
      <c r="Q25" s="36"/>
      <c r="R25" s="36"/>
      <c r="S25" s="36">
        <f t="shared" si="5"/>
        <v>2000000</v>
      </c>
      <c r="T25" s="36">
        <f t="shared" si="6"/>
        <v>80075663</v>
      </c>
      <c r="U25" s="34"/>
    </row>
    <row r="26" ht="15.75" customHeight="1">
      <c r="A26" s="29">
        <v>46191.0</v>
      </c>
      <c r="B26" s="2" t="s">
        <v>201</v>
      </c>
      <c r="C26" s="30">
        <v>46174.0</v>
      </c>
      <c r="D26" s="8">
        <f t="shared" si="1"/>
        <v>1944262.603</v>
      </c>
      <c r="E26" s="8">
        <f t="shared" ref="E26:E27" si="9">2000000-D26</f>
        <v>55737.39677</v>
      </c>
      <c r="F26" s="8">
        <f t="shared" si="2"/>
        <v>472492.2661</v>
      </c>
      <c r="G26" s="8">
        <f t="shared" si="3"/>
        <v>1527507.734</v>
      </c>
      <c r="H26" s="8">
        <f t="shared" si="4"/>
        <v>45721718.88</v>
      </c>
      <c r="J26" s="5"/>
      <c r="L26" s="40">
        <v>46083.0</v>
      </c>
      <c r="M26" s="34" t="s">
        <v>202</v>
      </c>
      <c r="N26" s="35" t="s">
        <v>195</v>
      </c>
      <c r="O26" s="36"/>
      <c r="P26" s="36">
        <v>7500000.0</v>
      </c>
      <c r="Q26" s="36"/>
      <c r="R26" s="36"/>
      <c r="S26" s="36">
        <f t="shared" si="5"/>
        <v>7500000</v>
      </c>
      <c r="T26" s="36">
        <f t="shared" si="6"/>
        <v>72575663</v>
      </c>
      <c r="U26" s="34" t="s">
        <v>203</v>
      </c>
    </row>
    <row r="27" ht="15.75" customHeight="1">
      <c r="A27" s="29">
        <v>46213.0</v>
      </c>
      <c r="B27" s="2" t="s">
        <v>204</v>
      </c>
      <c r="C27" s="30">
        <v>46204.0</v>
      </c>
      <c r="D27" s="8">
        <f t="shared" si="1"/>
        <v>1944262.603</v>
      </c>
      <c r="E27" s="8">
        <f t="shared" si="9"/>
        <v>55737.39677</v>
      </c>
      <c r="F27" s="8">
        <f t="shared" si="2"/>
        <v>457217.1888</v>
      </c>
      <c r="G27" s="8">
        <f t="shared" si="3"/>
        <v>1542782.811</v>
      </c>
      <c r="H27" s="8">
        <f t="shared" si="4"/>
        <v>44178936.07</v>
      </c>
      <c r="J27" s="5"/>
      <c r="L27" s="33">
        <v>46116.0</v>
      </c>
      <c r="M27" s="34" t="s">
        <v>205</v>
      </c>
      <c r="N27" s="35" t="s">
        <v>197</v>
      </c>
      <c r="O27" s="36"/>
      <c r="P27" s="36">
        <v>3400000.0</v>
      </c>
      <c r="Q27" s="36"/>
      <c r="R27" s="36"/>
      <c r="S27" s="36">
        <f t="shared" si="5"/>
        <v>3400000</v>
      </c>
      <c r="T27" s="36">
        <f t="shared" si="6"/>
        <v>69175663</v>
      </c>
      <c r="U27" s="34"/>
    </row>
    <row r="28" ht="15.75" customHeight="1">
      <c r="B28" s="2"/>
      <c r="C28" s="30">
        <v>46235.0</v>
      </c>
      <c r="D28" s="8">
        <f t="shared" si="1"/>
        <v>1944262.603</v>
      </c>
      <c r="E28" s="46"/>
      <c r="F28" s="8">
        <f t="shared" si="2"/>
        <v>441789.3607</v>
      </c>
      <c r="G28" s="8">
        <f t="shared" si="3"/>
        <v>1502473.243</v>
      </c>
      <c r="H28" s="8">
        <f t="shared" si="4"/>
        <v>42676462.83</v>
      </c>
      <c r="J28" s="5"/>
      <c r="L28" s="33">
        <v>46144.0</v>
      </c>
      <c r="M28" s="34" t="s">
        <v>206</v>
      </c>
      <c r="N28" s="35" t="s">
        <v>199</v>
      </c>
      <c r="O28" s="36"/>
      <c r="P28" s="36">
        <v>2600000.0</v>
      </c>
      <c r="Q28" s="36"/>
      <c r="R28" s="36"/>
      <c r="S28" s="36">
        <f t="shared" si="5"/>
        <v>2600000</v>
      </c>
      <c r="T28" s="36">
        <f t="shared" si="6"/>
        <v>66575663</v>
      </c>
      <c r="U28" s="34"/>
    </row>
    <row r="29" ht="15.75" customHeight="1">
      <c r="B29" s="2"/>
      <c r="C29" s="30">
        <v>46266.0</v>
      </c>
      <c r="D29" s="8">
        <f t="shared" si="1"/>
        <v>1944262.603</v>
      </c>
      <c r="E29" s="46"/>
      <c r="F29" s="8">
        <f t="shared" si="2"/>
        <v>426764.6283</v>
      </c>
      <c r="G29" s="8">
        <f t="shared" si="3"/>
        <v>1517497.975</v>
      </c>
      <c r="H29" s="8">
        <f t="shared" si="4"/>
        <v>41158964.85</v>
      </c>
      <c r="J29" s="5"/>
      <c r="L29" s="33">
        <v>46191.0</v>
      </c>
      <c r="M29" s="34" t="s">
        <v>122</v>
      </c>
      <c r="N29" s="35" t="s">
        <v>201</v>
      </c>
      <c r="O29" s="36"/>
      <c r="P29" s="36">
        <v>2000000.0</v>
      </c>
      <c r="Q29" s="36"/>
      <c r="R29" s="36"/>
      <c r="S29" s="36">
        <f t="shared" si="5"/>
        <v>2000000</v>
      </c>
      <c r="T29" s="36">
        <f t="shared" si="6"/>
        <v>64575663</v>
      </c>
      <c r="U29" s="34"/>
    </row>
    <row r="30" ht="15.75" customHeight="1">
      <c r="B30" s="2"/>
      <c r="C30" s="30">
        <v>46296.0</v>
      </c>
      <c r="D30" s="8">
        <f t="shared" si="1"/>
        <v>1944262.603</v>
      </c>
      <c r="E30" s="46"/>
      <c r="F30" s="8">
        <f t="shared" si="2"/>
        <v>411589.6485</v>
      </c>
      <c r="G30" s="8">
        <f t="shared" si="3"/>
        <v>1532672.955</v>
      </c>
      <c r="H30" s="8">
        <f t="shared" si="4"/>
        <v>39626291.9</v>
      </c>
      <c r="J30" s="5"/>
      <c r="L30" s="33">
        <v>46213.0</v>
      </c>
      <c r="M30" s="34" t="s">
        <v>124</v>
      </c>
      <c r="N30" s="35" t="s">
        <v>204</v>
      </c>
      <c r="O30" s="36"/>
      <c r="P30" s="36">
        <v>2000000.0</v>
      </c>
      <c r="Q30" s="36"/>
      <c r="R30" s="36"/>
      <c r="S30" s="36">
        <f t="shared" si="5"/>
        <v>2000000</v>
      </c>
      <c r="T30" s="36">
        <f t="shared" si="6"/>
        <v>62575663</v>
      </c>
      <c r="U30" s="34"/>
    </row>
    <row r="31" ht="15.75" customHeight="1">
      <c r="B31" s="2"/>
      <c r="C31" s="30">
        <v>46327.0</v>
      </c>
      <c r="D31" s="8">
        <f t="shared" si="1"/>
        <v>1944262.603</v>
      </c>
      <c r="E31" s="46"/>
      <c r="F31" s="8">
        <f t="shared" si="2"/>
        <v>396262.919</v>
      </c>
      <c r="G31" s="8">
        <f t="shared" si="3"/>
        <v>1547999.684</v>
      </c>
      <c r="H31" s="8">
        <f t="shared" si="4"/>
        <v>38078292.21</v>
      </c>
      <c r="J31" s="5"/>
      <c r="L31" s="25"/>
      <c r="M31" s="38" t="s">
        <v>69</v>
      </c>
      <c r="N31" s="39"/>
      <c r="O31" s="27">
        <f t="shared" ref="O31:S31" si="10">SUM(O11:O30)</f>
        <v>0</v>
      </c>
      <c r="P31" s="27">
        <f t="shared" si="10"/>
        <v>63791600</v>
      </c>
      <c r="Q31" s="27">
        <f t="shared" si="10"/>
        <v>0</v>
      </c>
      <c r="R31" s="27">
        <f t="shared" si="10"/>
        <v>0</v>
      </c>
      <c r="S31" s="27">
        <f t="shared" si="10"/>
        <v>63791600</v>
      </c>
      <c r="T31" s="27">
        <f>T30</f>
        <v>62575663</v>
      </c>
      <c r="U31" s="25"/>
    </row>
    <row r="32" ht="15.75" customHeight="1">
      <c r="B32" s="2"/>
      <c r="C32" s="30">
        <v>46357.0</v>
      </c>
      <c r="D32" s="8">
        <f t="shared" si="1"/>
        <v>1944262.603</v>
      </c>
      <c r="E32" s="46"/>
      <c r="F32" s="8">
        <f t="shared" si="2"/>
        <v>380782.9221</v>
      </c>
      <c r="G32" s="8">
        <f t="shared" si="3"/>
        <v>1563479.681</v>
      </c>
      <c r="H32" s="8">
        <f t="shared" si="4"/>
        <v>36514812.53</v>
      </c>
      <c r="J32" s="5"/>
    </row>
    <row r="33" ht="15.75" customHeight="1">
      <c r="B33" s="2"/>
      <c r="C33" s="30">
        <v>46388.0</v>
      </c>
      <c r="D33" s="8">
        <f t="shared" si="1"/>
        <v>1944262.603</v>
      </c>
      <c r="E33" s="46"/>
      <c r="F33" s="8">
        <f t="shared" si="2"/>
        <v>365148.1253</v>
      </c>
      <c r="G33" s="8">
        <f t="shared" si="3"/>
        <v>1579114.478</v>
      </c>
      <c r="H33" s="8">
        <f t="shared" si="4"/>
        <v>34935698.05</v>
      </c>
      <c r="J33" s="5"/>
    </row>
    <row r="34" ht="15.75" customHeight="1">
      <c r="B34" s="2"/>
      <c r="C34" s="30">
        <v>46419.0</v>
      </c>
      <c r="D34" s="8">
        <f t="shared" si="1"/>
        <v>1944262.603</v>
      </c>
      <c r="E34" s="46"/>
      <c r="F34" s="8">
        <f t="shared" si="2"/>
        <v>349356.9805</v>
      </c>
      <c r="G34" s="8">
        <f t="shared" si="3"/>
        <v>1594905.623</v>
      </c>
      <c r="H34" s="8">
        <f t="shared" si="4"/>
        <v>33340792.43</v>
      </c>
      <c r="J34" s="5"/>
    </row>
    <row r="35" ht="15.75" customHeight="1">
      <c r="B35" s="2"/>
      <c r="C35" s="30">
        <v>46447.0</v>
      </c>
      <c r="D35" s="8">
        <f t="shared" si="1"/>
        <v>1944262.603</v>
      </c>
      <c r="E35" s="46"/>
      <c r="F35" s="8">
        <f t="shared" si="2"/>
        <v>333407.9243</v>
      </c>
      <c r="G35" s="8">
        <f t="shared" si="3"/>
        <v>1610854.679</v>
      </c>
      <c r="H35" s="8">
        <f t="shared" si="4"/>
        <v>31729937.75</v>
      </c>
      <c r="J35" s="5"/>
    </row>
    <row r="36" ht="15.75" customHeight="1">
      <c r="B36" s="2"/>
      <c r="C36" s="30">
        <v>46478.0</v>
      </c>
      <c r="D36" s="8">
        <f t="shared" si="1"/>
        <v>1944262.603</v>
      </c>
      <c r="E36" s="46"/>
      <c r="F36" s="8">
        <f t="shared" si="2"/>
        <v>317299.3775</v>
      </c>
      <c r="G36" s="8">
        <f t="shared" si="3"/>
        <v>1626963.226</v>
      </c>
      <c r="H36" s="8">
        <f t="shared" si="4"/>
        <v>30102974.53</v>
      </c>
      <c r="J36" s="5"/>
    </row>
    <row r="37" ht="15.75" customHeight="1">
      <c r="B37" s="2"/>
      <c r="C37" s="30">
        <v>46508.0</v>
      </c>
      <c r="D37" s="8">
        <f t="shared" si="1"/>
        <v>1944262.603</v>
      </c>
      <c r="E37" s="46"/>
      <c r="F37" s="8">
        <f t="shared" si="2"/>
        <v>301029.7453</v>
      </c>
      <c r="G37" s="8">
        <f t="shared" si="3"/>
        <v>1643232.858</v>
      </c>
      <c r="H37" s="8">
        <f t="shared" si="4"/>
        <v>28459741.67</v>
      </c>
      <c r="J37" s="5"/>
    </row>
    <row r="38" ht="15.75" customHeight="1">
      <c r="B38" s="2"/>
      <c r="C38" s="30">
        <v>46539.0</v>
      </c>
      <c r="D38" s="8">
        <f t="shared" si="1"/>
        <v>1944262.603</v>
      </c>
      <c r="E38" s="46"/>
      <c r="F38" s="8">
        <f t="shared" si="2"/>
        <v>284597.4167</v>
      </c>
      <c r="G38" s="8">
        <f t="shared" si="3"/>
        <v>1659665.187</v>
      </c>
      <c r="H38" s="8">
        <f t="shared" si="4"/>
        <v>26800076.48</v>
      </c>
      <c r="J38" s="5"/>
    </row>
    <row r="39" ht="15.75" customHeight="1">
      <c r="B39" s="2"/>
      <c r="C39" s="30">
        <v>46569.0</v>
      </c>
      <c r="D39" s="8">
        <f t="shared" si="1"/>
        <v>1944262.603</v>
      </c>
      <c r="E39" s="46"/>
      <c r="F39" s="8">
        <f t="shared" si="2"/>
        <v>268000.7648</v>
      </c>
      <c r="G39" s="8">
        <f t="shared" si="3"/>
        <v>1676261.838</v>
      </c>
      <c r="H39" s="8">
        <f t="shared" si="4"/>
        <v>25123814.64</v>
      </c>
      <c r="J39" s="5"/>
    </row>
    <row r="40" ht="15.75" customHeight="1">
      <c r="B40" s="2"/>
      <c r="C40" s="30">
        <v>46600.0</v>
      </c>
      <c r="D40" s="8">
        <f t="shared" si="1"/>
        <v>1944262.603</v>
      </c>
      <c r="E40" s="46"/>
      <c r="F40" s="8">
        <f t="shared" si="2"/>
        <v>251238.1464</v>
      </c>
      <c r="G40" s="8">
        <f t="shared" si="3"/>
        <v>1693024.457</v>
      </c>
      <c r="H40" s="8">
        <f t="shared" si="4"/>
        <v>23430790.19</v>
      </c>
      <c r="J40" s="5"/>
    </row>
    <row r="41" ht="15.75" customHeight="1">
      <c r="B41" s="2"/>
      <c r="C41" s="30">
        <v>46631.0</v>
      </c>
      <c r="D41" s="8">
        <f t="shared" si="1"/>
        <v>1944262.603</v>
      </c>
      <c r="E41" s="46"/>
      <c r="F41" s="8">
        <f t="shared" si="2"/>
        <v>234307.9019</v>
      </c>
      <c r="G41" s="8">
        <f t="shared" si="3"/>
        <v>1709954.701</v>
      </c>
      <c r="H41" s="8">
        <f t="shared" si="4"/>
        <v>21720835.48</v>
      </c>
      <c r="J41" s="5"/>
    </row>
    <row r="42" ht="15.75" customHeight="1">
      <c r="B42" s="2"/>
      <c r="C42" s="30">
        <v>46661.0</v>
      </c>
      <c r="D42" s="8">
        <f t="shared" si="1"/>
        <v>1944262.603</v>
      </c>
      <c r="E42" s="46"/>
      <c r="F42" s="8">
        <f t="shared" si="2"/>
        <v>217208.3548</v>
      </c>
      <c r="G42" s="8">
        <f t="shared" si="3"/>
        <v>1727054.248</v>
      </c>
      <c r="H42" s="8">
        <f t="shared" si="4"/>
        <v>19993781.24</v>
      </c>
      <c r="J42" s="5"/>
    </row>
    <row r="43" ht="15.75" customHeight="1">
      <c r="B43" s="2"/>
      <c r="C43" s="30">
        <v>46692.0</v>
      </c>
      <c r="D43" s="8">
        <f t="shared" si="1"/>
        <v>1944262.603</v>
      </c>
      <c r="E43" s="46"/>
      <c r="F43" s="8">
        <f t="shared" si="2"/>
        <v>199937.8124</v>
      </c>
      <c r="G43" s="8">
        <f t="shared" si="3"/>
        <v>1744324.791</v>
      </c>
      <c r="H43" s="8">
        <f t="shared" si="4"/>
        <v>18249456.44</v>
      </c>
      <c r="J43" s="5"/>
    </row>
    <row r="44" ht="15.75" customHeight="1">
      <c r="B44" s="2"/>
      <c r="C44" s="30">
        <v>46722.0</v>
      </c>
      <c r="D44" s="8">
        <f t="shared" si="1"/>
        <v>1944262.603</v>
      </c>
      <c r="E44" s="46"/>
      <c r="F44" s="8">
        <f t="shared" si="2"/>
        <v>182494.5644</v>
      </c>
      <c r="G44" s="8">
        <f t="shared" si="3"/>
        <v>1761768.039</v>
      </c>
      <c r="H44" s="8">
        <f t="shared" si="4"/>
        <v>16487688.41</v>
      </c>
      <c r="J44" s="5"/>
    </row>
    <row r="45" ht="15.75" customHeight="1">
      <c r="B45" s="2"/>
      <c r="C45" s="30">
        <v>46753.0</v>
      </c>
      <c r="D45" s="8">
        <f t="shared" si="1"/>
        <v>1944262.603</v>
      </c>
      <c r="E45" s="46"/>
      <c r="F45" s="8">
        <f t="shared" si="2"/>
        <v>164876.8841</v>
      </c>
      <c r="G45" s="8">
        <f t="shared" si="3"/>
        <v>1779385.719</v>
      </c>
      <c r="H45" s="8">
        <f t="shared" si="4"/>
        <v>14708302.69</v>
      </c>
      <c r="J45" s="5"/>
    </row>
    <row r="46" ht="15.75" customHeight="1">
      <c r="B46" s="2"/>
      <c r="C46" s="30">
        <v>46784.0</v>
      </c>
      <c r="D46" s="8">
        <f t="shared" si="1"/>
        <v>1944262.603</v>
      </c>
      <c r="E46" s="46"/>
      <c r="F46" s="8">
        <f t="shared" si="2"/>
        <v>147083.0269</v>
      </c>
      <c r="G46" s="8">
        <f t="shared" si="3"/>
        <v>1797179.576</v>
      </c>
      <c r="H46" s="8">
        <f t="shared" si="4"/>
        <v>12911123.11</v>
      </c>
      <c r="J46" s="5"/>
    </row>
    <row r="47" ht="15.75" customHeight="1">
      <c r="B47" s="2"/>
      <c r="C47" s="30">
        <v>46813.0</v>
      </c>
      <c r="D47" s="8">
        <f t="shared" si="1"/>
        <v>1944262.603</v>
      </c>
      <c r="E47" s="46"/>
      <c r="F47" s="8">
        <f t="shared" si="2"/>
        <v>129111.2311</v>
      </c>
      <c r="G47" s="8">
        <f t="shared" si="3"/>
        <v>1815151.372</v>
      </c>
      <c r="H47" s="8">
        <f t="shared" si="4"/>
        <v>11095971.74</v>
      </c>
      <c r="J47" s="5"/>
    </row>
    <row r="48" ht="15.75" customHeight="1">
      <c r="B48" s="2"/>
      <c r="C48" s="30">
        <v>46844.0</v>
      </c>
      <c r="D48" s="8">
        <f t="shared" si="1"/>
        <v>1944262.603</v>
      </c>
      <c r="E48" s="46"/>
      <c r="F48" s="8">
        <f t="shared" si="2"/>
        <v>110959.7174</v>
      </c>
      <c r="G48" s="8">
        <f t="shared" si="3"/>
        <v>1833302.886</v>
      </c>
      <c r="H48" s="8">
        <f t="shared" si="4"/>
        <v>9262668.853</v>
      </c>
      <c r="J48" s="5"/>
    </row>
    <row r="49" ht="15.75" customHeight="1">
      <c r="B49" s="2"/>
      <c r="C49" s="30">
        <v>46874.0</v>
      </c>
      <c r="D49" s="8">
        <f t="shared" si="1"/>
        <v>1944262.603</v>
      </c>
      <c r="E49" s="46"/>
      <c r="F49" s="8">
        <f t="shared" si="2"/>
        <v>92626.68853</v>
      </c>
      <c r="G49" s="8">
        <f t="shared" si="3"/>
        <v>1851635.915</v>
      </c>
      <c r="H49" s="8">
        <f t="shared" si="4"/>
        <v>7411032.938</v>
      </c>
      <c r="J49" s="5"/>
    </row>
    <row r="50" ht="15.75" customHeight="1">
      <c r="B50" s="2"/>
      <c r="C50" s="30">
        <v>46905.0</v>
      </c>
      <c r="D50" s="8">
        <f t="shared" si="1"/>
        <v>1944262.603</v>
      </c>
      <c r="E50" s="46"/>
      <c r="F50" s="8">
        <f t="shared" si="2"/>
        <v>74110.32938</v>
      </c>
      <c r="G50" s="8">
        <f t="shared" si="3"/>
        <v>1870152.274</v>
      </c>
      <c r="H50" s="8">
        <f t="shared" si="4"/>
        <v>5540880.664</v>
      </c>
      <c r="J50" s="5"/>
    </row>
    <row r="51" ht="15.75" customHeight="1">
      <c r="B51" s="2"/>
      <c r="C51" s="30">
        <v>46935.0</v>
      </c>
      <c r="D51" s="8">
        <f t="shared" si="1"/>
        <v>1944262.603</v>
      </c>
      <c r="E51" s="46"/>
      <c r="F51" s="8">
        <f t="shared" si="2"/>
        <v>55408.80664</v>
      </c>
      <c r="G51" s="8">
        <f t="shared" si="3"/>
        <v>1888853.797</v>
      </c>
      <c r="H51" s="8">
        <f t="shared" si="4"/>
        <v>3652026.867</v>
      </c>
      <c r="J51" s="5"/>
    </row>
    <row r="52" ht="15.75" customHeight="1">
      <c r="B52" s="2"/>
      <c r="C52" s="30">
        <v>46966.0</v>
      </c>
      <c r="D52" s="8">
        <f t="shared" si="1"/>
        <v>1944262.603</v>
      </c>
      <c r="E52" s="46"/>
      <c r="F52" s="8">
        <f t="shared" si="2"/>
        <v>36520.26867</v>
      </c>
      <c r="G52" s="8">
        <f t="shared" si="3"/>
        <v>1907742.335</v>
      </c>
      <c r="H52" s="8">
        <f t="shared" si="4"/>
        <v>1744284.533</v>
      </c>
      <c r="J52" s="5"/>
    </row>
    <row r="53" ht="15.75" customHeight="1">
      <c r="B53" s="2"/>
      <c r="C53" s="30">
        <v>46997.0</v>
      </c>
      <c r="D53" s="8">
        <f t="shared" si="1"/>
        <v>1944262.603</v>
      </c>
      <c r="E53" s="46"/>
      <c r="F53" s="8">
        <f t="shared" si="2"/>
        <v>17442.84533</v>
      </c>
      <c r="G53" s="8">
        <f t="shared" si="3"/>
        <v>1926819.758</v>
      </c>
      <c r="H53" s="8">
        <f t="shared" si="4"/>
        <v>-182535.225</v>
      </c>
      <c r="J53" s="5"/>
    </row>
    <row r="54" ht="15.75" customHeight="1">
      <c r="B54" s="2"/>
      <c r="C54" s="30">
        <v>47027.0</v>
      </c>
      <c r="D54" s="8">
        <f t="shared" si="1"/>
        <v>1944262.603</v>
      </c>
      <c r="E54" s="46"/>
      <c r="F54" s="8">
        <f t="shared" si="2"/>
        <v>-1825.35225</v>
      </c>
      <c r="G54" s="8">
        <f t="shared" si="3"/>
        <v>1946087.955</v>
      </c>
      <c r="H54" s="8">
        <f t="shared" si="4"/>
        <v>-2128623.18</v>
      </c>
      <c r="J54" s="5"/>
    </row>
    <row r="55" ht="15.75" customHeight="1">
      <c r="B55" s="2"/>
      <c r="C55" s="30">
        <v>47058.0</v>
      </c>
      <c r="D55" s="8">
        <f t="shared" si="1"/>
        <v>1944262.603</v>
      </c>
      <c r="E55" s="46"/>
      <c r="F55" s="8">
        <f t="shared" si="2"/>
        <v>-21286.2318</v>
      </c>
      <c r="G55" s="8">
        <f t="shared" si="3"/>
        <v>1965548.835</v>
      </c>
      <c r="H55" s="8">
        <f t="shared" si="4"/>
        <v>-4094172.015</v>
      </c>
      <c r="J55" s="5"/>
    </row>
    <row r="56" ht="15.75" customHeight="1">
      <c r="B56" s="2"/>
      <c r="C56" s="30">
        <v>47088.0</v>
      </c>
      <c r="D56" s="8">
        <f t="shared" si="1"/>
        <v>1944262.603</v>
      </c>
      <c r="E56" s="46"/>
      <c r="F56" s="8">
        <f t="shared" si="2"/>
        <v>-40941.72015</v>
      </c>
      <c r="G56" s="8">
        <f t="shared" si="3"/>
        <v>1985204.323</v>
      </c>
      <c r="H56" s="8">
        <f t="shared" si="4"/>
        <v>-6079376.339</v>
      </c>
      <c r="J56" s="5"/>
    </row>
    <row r="57" ht="15.75" customHeight="1">
      <c r="A57" s="47"/>
      <c r="B57" s="48"/>
      <c r="C57" s="49">
        <v>47119.0</v>
      </c>
      <c r="D57" s="50">
        <f t="shared" si="1"/>
        <v>1944262.603</v>
      </c>
      <c r="E57" s="51"/>
      <c r="F57" s="50">
        <f t="shared" si="2"/>
        <v>-60793.76339</v>
      </c>
      <c r="G57" s="50">
        <f t="shared" si="3"/>
        <v>2005056.367</v>
      </c>
      <c r="H57" s="50">
        <f t="shared" si="4"/>
        <v>-8084432.705</v>
      </c>
      <c r="J57" s="5"/>
    </row>
    <row r="58" ht="15.75" customHeight="1">
      <c r="A58" s="47"/>
      <c r="B58" s="48"/>
      <c r="C58" s="49">
        <v>47150.0</v>
      </c>
      <c r="D58" s="50">
        <f t="shared" si="1"/>
        <v>1944262.603</v>
      </c>
      <c r="E58" s="51"/>
      <c r="F58" s="50">
        <f t="shared" si="2"/>
        <v>-80844.32705</v>
      </c>
      <c r="G58" s="50">
        <f t="shared" si="3"/>
        <v>2025106.93</v>
      </c>
      <c r="H58" s="50">
        <f t="shared" si="4"/>
        <v>-10109539.64</v>
      </c>
      <c r="J58" s="5"/>
    </row>
    <row r="59" ht="15.75" customHeight="1">
      <c r="A59" s="47"/>
      <c r="B59" s="48"/>
      <c r="C59" s="49">
        <v>47178.0</v>
      </c>
      <c r="D59" s="50">
        <f t="shared" si="1"/>
        <v>1944262.603</v>
      </c>
      <c r="E59" s="51"/>
      <c r="F59" s="50">
        <f t="shared" si="2"/>
        <v>-101095.3964</v>
      </c>
      <c r="G59" s="50">
        <f t="shared" si="3"/>
        <v>2045358</v>
      </c>
      <c r="H59" s="50">
        <f t="shared" si="4"/>
        <v>-12154897.64</v>
      </c>
      <c r="J59" s="5"/>
    </row>
    <row r="60" ht="15.75" customHeight="1">
      <c r="A60" s="47"/>
      <c r="B60" s="48"/>
      <c r="C60" s="49">
        <v>47209.0</v>
      </c>
      <c r="D60" s="50">
        <f t="shared" si="1"/>
        <v>1944262.603</v>
      </c>
      <c r="E60" s="51"/>
      <c r="F60" s="50">
        <f t="shared" si="2"/>
        <v>-121548.9764</v>
      </c>
      <c r="G60" s="50">
        <f t="shared" si="3"/>
        <v>2065811.58</v>
      </c>
      <c r="H60" s="50">
        <f t="shared" si="4"/>
        <v>-14220709.21</v>
      </c>
      <c r="J60" s="5"/>
    </row>
    <row r="61" ht="15.75" customHeight="1">
      <c r="A61" s="47"/>
      <c r="B61" s="48"/>
      <c r="C61" s="49">
        <v>47239.0</v>
      </c>
      <c r="D61" s="50">
        <f t="shared" si="1"/>
        <v>1944262.603</v>
      </c>
      <c r="E61" s="51"/>
      <c r="F61" s="50">
        <f t="shared" si="2"/>
        <v>-142207.0921</v>
      </c>
      <c r="G61" s="50">
        <f t="shared" si="3"/>
        <v>2086469.695</v>
      </c>
      <c r="H61" s="50">
        <f t="shared" si="4"/>
        <v>-16307178.91</v>
      </c>
      <c r="J61" s="5"/>
    </row>
    <row r="62" ht="15.75" customHeight="1">
      <c r="A62" s="47"/>
      <c r="B62" s="48"/>
      <c r="C62" s="49">
        <v>47270.0</v>
      </c>
      <c r="D62" s="50">
        <f t="shared" si="1"/>
        <v>1944262.603</v>
      </c>
      <c r="E62" s="51"/>
      <c r="F62" s="50">
        <f t="shared" si="2"/>
        <v>-163071.7891</v>
      </c>
      <c r="G62" s="50">
        <f t="shared" si="3"/>
        <v>2107334.392</v>
      </c>
      <c r="H62" s="50">
        <f t="shared" si="4"/>
        <v>-18414513.3</v>
      </c>
      <c r="J62" s="5"/>
    </row>
    <row r="63" ht="15.75" customHeight="1">
      <c r="A63" s="47"/>
      <c r="B63" s="48"/>
      <c r="C63" s="49">
        <v>47300.0</v>
      </c>
      <c r="D63" s="50">
        <f t="shared" si="1"/>
        <v>1944262.603</v>
      </c>
      <c r="E63" s="51"/>
      <c r="F63" s="50">
        <f t="shared" si="2"/>
        <v>-184145.133</v>
      </c>
      <c r="G63" s="50">
        <f t="shared" si="3"/>
        <v>2128407.736</v>
      </c>
      <c r="H63" s="50">
        <f t="shared" si="4"/>
        <v>-20542921.04</v>
      </c>
      <c r="J63" s="5"/>
    </row>
    <row r="64" ht="15.75" customHeight="1">
      <c r="A64" s="47"/>
      <c r="B64" s="48"/>
      <c r="C64" s="49">
        <v>47331.0</v>
      </c>
      <c r="D64" s="50">
        <f t="shared" si="1"/>
        <v>1944262.603</v>
      </c>
      <c r="E64" s="51"/>
      <c r="F64" s="50">
        <f t="shared" si="2"/>
        <v>-205429.2104</v>
      </c>
      <c r="G64" s="50">
        <f t="shared" si="3"/>
        <v>2149691.814</v>
      </c>
      <c r="H64" s="50">
        <f t="shared" si="4"/>
        <v>-22692612.85</v>
      </c>
      <c r="J64" s="5"/>
    </row>
    <row r="65" ht="15.75" customHeight="1">
      <c r="A65" s="47"/>
      <c r="B65" s="48"/>
      <c r="C65" s="49">
        <v>47362.0</v>
      </c>
      <c r="D65" s="50">
        <f t="shared" si="1"/>
        <v>1944262.603</v>
      </c>
      <c r="E65" s="51"/>
      <c r="F65" s="50">
        <f t="shared" si="2"/>
        <v>-226926.1285</v>
      </c>
      <c r="G65" s="50">
        <f t="shared" si="3"/>
        <v>2171188.732</v>
      </c>
      <c r="H65" s="50">
        <f t="shared" si="4"/>
        <v>-24863801.58</v>
      </c>
      <c r="J65" s="5"/>
    </row>
    <row r="66" ht="15.75" customHeight="1">
      <c r="A66" s="47"/>
      <c r="B66" s="48"/>
      <c r="C66" s="49">
        <v>47392.0</v>
      </c>
      <c r="D66" s="50">
        <f t="shared" si="1"/>
        <v>1944262.603</v>
      </c>
      <c r="E66" s="51"/>
      <c r="F66" s="50">
        <f t="shared" si="2"/>
        <v>-248638.0158</v>
      </c>
      <c r="G66" s="50">
        <f t="shared" si="3"/>
        <v>2192900.619</v>
      </c>
      <c r="H66" s="50">
        <f t="shared" si="4"/>
        <v>-27056702.2</v>
      </c>
      <c r="J66" s="5"/>
    </row>
    <row r="67" ht="15.75" customHeight="1">
      <c r="A67" s="47"/>
      <c r="B67" s="48"/>
      <c r="C67" s="49">
        <v>47423.0</v>
      </c>
      <c r="D67" s="50">
        <f t="shared" si="1"/>
        <v>1944262.603</v>
      </c>
      <c r="E67" s="51"/>
      <c r="F67" s="50">
        <f t="shared" si="2"/>
        <v>-270567.022</v>
      </c>
      <c r="G67" s="50">
        <f t="shared" si="3"/>
        <v>2214829.625</v>
      </c>
      <c r="H67" s="50">
        <f t="shared" si="4"/>
        <v>-29271531.83</v>
      </c>
      <c r="J67" s="5"/>
    </row>
    <row r="68" ht="15.75" customHeight="1">
      <c r="A68" s="47"/>
      <c r="B68" s="48"/>
      <c r="C68" s="49">
        <v>47453.0</v>
      </c>
      <c r="D68" s="50">
        <f t="shared" si="1"/>
        <v>1944262.603</v>
      </c>
      <c r="E68" s="51"/>
      <c r="F68" s="50">
        <f t="shared" si="2"/>
        <v>-292715.3183</v>
      </c>
      <c r="G68" s="50">
        <f t="shared" si="3"/>
        <v>2236977.922</v>
      </c>
      <c r="H68" s="50">
        <f t="shared" si="4"/>
        <v>-31508509.75</v>
      </c>
      <c r="J68" s="5"/>
    </row>
    <row r="69" ht="15.75" customHeight="1">
      <c r="A69" s="47"/>
      <c r="B69" s="48"/>
      <c r="C69" s="49">
        <v>47484.0</v>
      </c>
      <c r="D69" s="50">
        <f t="shared" si="1"/>
        <v>1944262.603</v>
      </c>
      <c r="E69" s="51"/>
      <c r="F69" s="50">
        <f t="shared" si="2"/>
        <v>-315085.0975</v>
      </c>
      <c r="G69" s="50">
        <f t="shared" si="3"/>
        <v>2259347.701</v>
      </c>
      <c r="H69" s="50">
        <f t="shared" si="4"/>
        <v>-33767857.45</v>
      </c>
      <c r="J69" s="5"/>
    </row>
    <row r="70" ht="15.75" customHeight="1">
      <c r="A70" s="47"/>
      <c r="B70" s="48"/>
      <c r="C70" s="49">
        <v>47515.0</v>
      </c>
      <c r="D70" s="50">
        <f t="shared" si="1"/>
        <v>1944262.603</v>
      </c>
      <c r="E70" s="51"/>
      <c r="F70" s="50">
        <f t="shared" si="2"/>
        <v>-337678.5745</v>
      </c>
      <c r="G70" s="50">
        <f t="shared" si="3"/>
        <v>2281941.178</v>
      </c>
      <c r="H70" s="50">
        <f t="shared" si="4"/>
        <v>-36049798.63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207</v>
      </c>
      <c r="J1" s="5"/>
    </row>
    <row r="2" ht="15.75" customHeight="1">
      <c r="B2" s="2"/>
      <c r="C2" s="1" t="s">
        <v>6</v>
      </c>
      <c r="D2" s="6">
        <f>+A5*10%</f>
        <v>9711600</v>
      </c>
      <c r="E2" s="7"/>
      <c r="J2" s="5"/>
    </row>
    <row r="3" ht="15.75" customHeight="1">
      <c r="B3" s="2"/>
      <c r="C3" s="1" t="s">
        <v>7</v>
      </c>
      <c r="D3" s="8">
        <f>+A5-D2</f>
        <v>87404400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9.7116E7</v>
      </c>
      <c r="B5" s="2"/>
      <c r="C5" s="1" t="s">
        <v>10</v>
      </c>
      <c r="D5" s="13">
        <v>24.0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4114428.596</v>
      </c>
      <c r="E6" s="12"/>
      <c r="H6" s="5"/>
      <c r="J6" s="5"/>
    </row>
    <row r="7" ht="15.75" customHeight="1">
      <c r="B7" s="2"/>
      <c r="C7" s="1" t="s">
        <v>12</v>
      </c>
      <c r="D7" s="20" t="s">
        <v>208</v>
      </c>
      <c r="H7" s="5"/>
      <c r="J7" s="5"/>
    </row>
    <row r="8" ht="15.75" customHeight="1">
      <c r="B8" s="2"/>
      <c r="C8" s="1" t="s">
        <v>16</v>
      </c>
      <c r="D8" s="16">
        <v>6341384.0</v>
      </c>
      <c r="H8" s="5"/>
      <c r="I8" s="17"/>
      <c r="J8" s="19"/>
      <c r="K8" s="17"/>
      <c r="L8" s="21" t="s">
        <v>209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87404400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1.08457886E8</v>
      </c>
      <c r="U10" s="25"/>
    </row>
    <row r="11" ht="15.75" customHeight="1">
      <c r="A11" s="29">
        <v>45763.0</v>
      </c>
      <c r="B11" s="2" t="s">
        <v>210</v>
      </c>
      <c r="C11" s="30">
        <v>45762.0</v>
      </c>
      <c r="D11" s="8">
        <f t="shared" ref="D11:D34" si="1">$D$6</f>
        <v>4114428.596</v>
      </c>
      <c r="E11" s="15"/>
      <c r="F11" s="8">
        <f t="shared" ref="F11:F34" si="2">+H10*$D$4</f>
        <v>874044</v>
      </c>
      <c r="G11" s="8">
        <f t="shared" ref="G11:G34" si="3">+D11+E11-F11</f>
        <v>3240384.596</v>
      </c>
      <c r="H11" s="8">
        <f t="shared" ref="H11:H34" si="4">+H10-G11</f>
        <v>84164015.4</v>
      </c>
      <c r="J11" s="5"/>
      <c r="L11" s="33">
        <v>45632.0</v>
      </c>
      <c r="M11" s="34" t="s">
        <v>44</v>
      </c>
      <c r="N11" s="35" t="s">
        <v>213</v>
      </c>
      <c r="O11" s="36">
        <v>1000000.0</v>
      </c>
      <c r="P11" s="36"/>
      <c r="Q11" s="36"/>
      <c r="R11" s="36"/>
      <c r="S11" s="36">
        <f t="shared" ref="S11:S30" si="5">SUM(O11:R11)</f>
        <v>1000000</v>
      </c>
      <c r="T11" s="36">
        <f t="shared" ref="T11:T30" si="6">T10-S11</f>
        <v>107457886</v>
      </c>
      <c r="U11" s="34"/>
    </row>
    <row r="12" ht="15.75" customHeight="1">
      <c r="A12" s="29">
        <v>45793.0</v>
      </c>
      <c r="B12" s="2" t="s">
        <v>214</v>
      </c>
      <c r="C12" s="30">
        <v>45792.0</v>
      </c>
      <c r="D12" s="8">
        <f t="shared" si="1"/>
        <v>4114428.596</v>
      </c>
      <c r="E12" s="15"/>
      <c r="F12" s="8">
        <f t="shared" si="2"/>
        <v>841640.154</v>
      </c>
      <c r="G12" s="8">
        <f t="shared" si="3"/>
        <v>3272788.442</v>
      </c>
      <c r="H12" s="8">
        <f t="shared" si="4"/>
        <v>80891226.96</v>
      </c>
      <c r="J12" s="5"/>
      <c r="L12" s="33">
        <v>45673.0</v>
      </c>
      <c r="M12" s="34" t="s">
        <v>44</v>
      </c>
      <c r="N12" s="35" t="s">
        <v>215</v>
      </c>
      <c r="O12" s="36"/>
      <c r="P12" s="36">
        <v>2903866.0</v>
      </c>
      <c r="Q12" s="36"/>
      <c r="R12" s="36"/>
      <c r="S12" s="36">
        <f t="shared" si="5"/>
        <v>2903866</v>
      </c>
      <c r="T12" s="36">
        <f t="shared" si="6"/>
        <v>104554020</v>
      </c>
      <c r="U12" s="34"/>
    </row>
    <row r="13" ht="15.75" customHeight="1">
      <c r="A13" s="29">
        <v>45822.0</v>
      </c>
      <c r="B13" s="2" t="s">
        <v>216</v>
      </c>
      <c r="C13" s="30">
        <v>45823.0</v>
      </c>
      <c r="D13" s="8">
        <f t="shared" si="1"/>
        <v>4114428.596</v>
      </c>
      <c r="E13" s="15"/>
      <c r="F13" s="8">
        <f t="shared" si="2"/>
        <v>808912.2696</v>
      </c>
      <c r="G13" s="8">
        <f t="shared" si="3"/>
        <v>3305516.326</v>
      </c>
      <c r="H13" s="8">
        <f t="shared" si="4"/>
        <v>77585710.64</v>
      </c>
      <c r="J13" s="5" t="s">
        <v>56</v>
      </c>
      <c r="L13" s="33">
        <v>45703.0</v>
      </c>
      <c r="M13" s="34" t="s">
        <v>44</v>
      </c>
      <c r="N13" s="35" t="s">
        <v>218</v>
      </c>
      <c r="O13" s="36"/>
      <c r="P13" s="36">
        <v>2903866.0</v>
      </c>
      <c r="Q13" s="36"/>
      <c r="R13" s="36"/>
      <c r="S13" s="36">
        <f t="shared" si="5"/>
        <v>2903866</v>
      </c>
      <c r="T13" s="36">
        <f t="shared" si="6"/>
        <v>101650154</v>
      </c>
      <c r="U13" s="34"/>
    </row>
    <row r="14" ht="15.75" customHeight="1">
      <c r="A14" s="29">
        <v>45855.0</v>
      </c>
      <c r="B14" s="2" t="s">
        <v>219</v>
      </c>
      <c r="C14" s="30">
        <v>45853.0</v>
      </c>
      <c r="D14" s="8">
        <f t="shared" si="1"/>
        <v>4114428.596</v>
      </c>
      <c r="E14" s="15"/>
      <c r="F14" s="8">
        <f t="shared" si="2"/>
        <v>775857.1064</v>
      </c>
      <c r="G14" s="8">
        <f t="shared" si="3"/>
        <v>3338571.489</v>
      </c>
      <c r="H14" s="8">
        <f t="shared" si="4"/>
        <v>74247139.15</v>
      </c>
      <c r="J14" s="8">
        <f>+H10</f>
        <v>87404400</v>
      </c>
      <c r="L14" s="33">
        <v>45743.0</v>
      </c>
      <c r="M14" s="34" t="s">
        <v>44</v>
      </c>
      <c r="N14" s="35" t="s">
        <v>221</v>
      </c>
      <c r="O14" s="36"/>
      <c r="P14" s="36">
        <v>2903866.0</v>
      </c>
      <c r="Q14" s="36"/>
      <c r="R14" s="36"/>
      <c r="S14" s="36">
        <f t="shared" si="5"/>
        <v>2903866</v>
      </c>
      <c r="T14" s="36">
        <f t="shared" si="6"/>
        <v>98746288</v>
      </c>
      <c r="U14" s="34"/>
    </row>
    <row r="15" ht="15.75" customHeight="1">
      <c r="A15" s="29">
        <v>45884.0</v>
      </c>
      <c r="B15" s="2" t="s">
        <v>222</v>
      </c>
      <c r="C15" s="30">
        <v>45884.0</v>
      </c>
      <c r="D15" s="8">
        <f t="shared" si="1"/>
        <v>4114428.596</v>
      </c>
      <c r="E15" s="15"/>
      <c r="F15" s="8">
        <f t="shared" si="2"/>
        <v>742471.3915</v>
      </c>
      <c r="G15" s="8">
        <f t="shared" si="3"/>
        <v>3371957.204</v>
      </c>
      <c r="H15" s="8">
        <f t="shared" si="4"/>
        <v>70875181.94</v>
      </c>
      <c r="J15" s="5"/>
      <c r="L15" s="33">
        <v>45763.0</v>
      </c>
      <c r="M15" s="34" t="s">
        <v>73</v>
      </c>
      <c r="N15" s="35" t="s">
        <v>210</v>
      </c>
      <c r="O15" s="36"/>
      <c r="P15" s="36">
        <v>4114429.0</v>
      </c>
      <c r="Q15" s="36"/>
      <c r="R15" s="36"/>
      <c r="S15" s="36">
        <f t="shared" si="5"/>
        <v>4114429</v>
      </c>
      <c r="T15" s="36">
        <f t="shared" si="6"/>
        <v>94631859</v>
      </c>
      <c r="U15" s="34"/>
    </row>
    <row r="16" ht="15.75" customHeight="1">
      <c r="A16" s="29">
        <v>45919.0</v>
      </c>
      <c r="B16" s="2" t="s">
        <v>224</v>
      </c>
      <c r="C16" s="30">
        <v>45915.0</v>
      </c>
      <c r="D16" s="8">
        <f t="shared" si="1"/>
        <v>4114428.596</v>
      </c>
      <c r="E16" s="15"/>
      <c r="F16" s="8">
        <f t="shared" si="2"/>
        <v>708751.8194</v>
      </c>
      <c r="G16" s="8">
        <f t="shared" si="3"/>
        <v>3405676.776</v>
      </c>
      <c r="H16" s="8">
        <f t="shared" si="4"/>
        <v>67469505.17</v>
      </c>
      <c r="J16" s="5"/>
      <c r="L16" s="33">
        <v>45793.0</v>
      </c>
      <c r="M16" s="34" t="s">
        <v>78</v>
      </c>
      <c r="N16" s="35" t="s">
        <v>214</v>
      </c>
      <c r="O16" s="36"/>
      <c r="P16" s="36">
        <v>4114429.0</v>
      </c>
      <c r="Q16" s="36"/>
      <c r="R16" s="36"/>
      <c r="S16" s="36">
        <f t="shared" si="5"/>
        <v>4114429</v>
      </c>
      <c r="T16" s="36">
        <f t="shared" si="6"/>
        <v>90517430</v>
      </c>
      <c r="U16" s="34"/>
    </row>
    <row r="17" ht="15.75" customHeight="1">
      <c r="A17" s="29">
        <v>45948.0</v>
      </c>
      <c r="B17" s="2" t="s">
        <v>226</v>
      </c>
      <c r="C17" s="30">
        <v>45945.0</v>
      </c>
      <c r="D17" s="8">
        <f t="shared" si="1"/>
        <v>4114428.596</v>
      </c>
      <c r="E17" s="15"/>
      <c r="F17" s="8">
        <f t="shared" si="2"/>
        <v>674695.0517</v>
      </c>
      <c r="G17" s="8">
        <f t="shared" si="3"/>
        <v>3439733.544</v>
      </c>
      <c r="H17" s="8">
        <f t="shared" si="4"/>
        <v>64029771.62</v>
      </c>
      <c r="J17" s="5"/>
      <c r="L17" s="33">
        <v>45822.0</v>
      </c>
      <c r="M17" s="34" t="s">
        <v>83</v>
      </c>
      <c r="N17" s="35" t="s">
        <v>216</v>
      </c>
      <c r="O17" s="36">
        <v>4114429.0</v>
      </c>
      <c r="P17" s="36"/>
      <c r="Q17" s="36"/>
      <c r="R17" s="36"/>
      <c r="S17" s="36">
        <f t="shared" si="5"/>
        <v>4114429</v>
      </c>
      <c r="T17" s="36">
        <f t="shared" si="6"/>
        <v>86403001</v>
      </c>
      <c r="U17" s="34"/>
    </row>
    <row r="18" ht="15.75" customHeight="1">
      <c r="A18" s="29">
        <v>45978.0</v>
      </c>
      <c r="B18" s="2" t="s">
        <v>228</v>
      </c>
      <c r="C18" s="30">
        <v>45976.0</v>
      </c>
      <c r="D18" s="8">
        <f t="shared" si="1"/>
        <v>4114428.596</v>
      </c>
      <c r="E18" s="15"/>
      <c r="F18" s="8">
        <f t="shared" si="2"/>
        <v>640297.7162</v>
      </c>
      <c r="G18" s="8">
        <f t="shared" si="3"/>
        <v>3474130.879</v>
      </c>
      <c r="H18" s="8">
        <f t="shared" si="4"/>
        <v>60555640.74</v>
      </c>
      <c r="J18" s="5"/>
      <c r="L18" s="33">
        <v>45855.0</v>
      </c>
      <c r="M18" s="34" t="s">
        <v>85</v>
      </c>
      <c r="N18" s="35" t="s">
        <v>219</v>
      </c>
      <c r="O18" s="36">
        <v>4114429.0</v>
      </c>
      <c r="P18" s="36"/>
      <c r="Q18" s="36"/>
      <c r="R18" s="36"/>
      <c r="S18" s="36">
        <f t="shared" si="5"/>
        <v>4114429</v>
      </c>
      <c r="T18" s="36">
        <f t="shared" si="6"/>
        <v>82288572</v>
      </c>
      <c r="U18" s="34"/>
    </row>
    <row r="19" ht="15.75" customHeight="1">
      <c r="A19" s="29">
        <v>46038.0</v>
      </c>
      <c r="B19" s="2" t="s">
        <v>231</v>
      </c>
      <c r="C19" s="30">
        <v>46006.0</v>
      </c>
      <c r="D19" s="8">
        <f t="shared" si="1"/>
        <v>4114428.596</v>
      </c>
      <c r="E19" s="15"/>
      <c r="F19" s="8">
        <f t="shared" si="2"/>
        <v>605556.4074</v>
      </c>
      <c r="G19" s="8">
        <f t="shared" si="3"/>
        <v>3508872.188</v>
      </c>
      <c r="H19" s="8">
        <f t="shared" si="4"/>
        <v>57046768.56</v>
      </c>
      <c r="I19" s="1"/>
      <c r="J19" s="41"/>
      <c r="K19" s="1"/>
      <c r="L19" s="42">
        <v>45884.0</v>
      </c>
      <c r="M19" s="43" t="s">
        <v>89</v>
      </c>
      <c r="N19" s="44" t="s">
        <v>222</v>
      </c>
      <c r="O19" s="45">
        <v>4114429.0</v>
      </c>
      <c r="P19" s="45"/>
      <c r="Q19" s="45"/>
      <c r="R19" s="45"/>
      <c r="S19" s="45">
        <f t="shared" si="5"/>
        <v>4114429</v>
      </c>
      <c r="T19" s="45">
        <f t="shared" si="6"/>
        <v>78174143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46067.0</v>
      </c>
      <c r="B20" s="2" t="s">
        <v>234</v>
      </c>
      <c r="C20" s="30">
        <v>46037.0</v>
      </c>
      <c r="D20" s="8">
        <f t="shared" si="1"/>
        <v>4114428.596</v>
      </c>
      <c r="E20" s="15"/>
      <c r="F20" s="8">
        <f t="shared" si="2"/>
        <v>570467.6856</v>
      </c>
      <c r="G20" s="8">
        <f t="shared" si="3"/>
        <v>3543960.91</v>
      </c>
      <c r="H20" s="8">
        <f t="shared" si="4"/>
        <v>53502807.65</v>
      </c>
      <c r="J20" s="5"/>
      <c r="L20" s="33">
        <v>45919.0</v>
      </c>
      <c r="M20" s="34" t="s">
        <v>93</v>
      </c>
      <c r="N20" s="35" t="s">
        <v>224</v>
      </c>
      <c r="O20" s="36">
        <v>4114429.0</v>
      </c>
      <c r="P20" s="36"/>
      <c r="Q20" s="36"/>
      <c r="R20" s="36"/>
      <c r="S20" s="36">
        <f t="shared" si="5"/>
        <v>4114429</v>
      </c>
      <c r="T20" s="36">
        <f t="shared" si="6"/>
        <v>74059714</v>
      </c>
      <c r="U20" s="34"/>
    </row>
    <row r="21" ht="15.75" customHeight="1">
      <c r="A21" s="29">
        <v>46070.0</v>
      </c>
      <c r="B21" s="2" t="s">
        <v>236</v>
      </c>
      <c r="C21" s="30">
        <v>46068.0</v>
      </c>
      <c r="D21" s="8">
        <f t="shared" si="1"/>
        <v>4114428.596</v>
      </c>
      <c r="E21" s="15"/>
      <c r="F21" s="8">
        <f t="shared" si="2"/>
        <v>535028.0765</v>
      </c>
      <c r="G21" s="8">
        <f t="shared" si="3"/>
        <v>3579400.519</v>
      </c>
      <c r="H21" s="8">
        <f t="shared" si="4"/>
        <v>49923407.13</v>
      </c>
      <c r="J21" s="5"/>
      <c r="L21" s="33">
        <v>45948.0</v>
      </c>
      <c r="M21" s="34" t="s">
        <v>96</v>
      </c>
      <c r="N21" s="35" t="s">
        <v>226</v>
      </c>
      <c r="O21" s="36">
        <v>4114429.0</v>
      </c>
      <c r="P21" s="36"/>
      <c r="Q21" s="36"/>
      <c r="R21" s="36"/>
      <c r="S21" s="36">
        <f t="shared" si="5"/>
        <v>4114429</v>
      </c>
      <c r="T21" s="36">
        <f t="shared" si="6"/>
        <v>69945285</v>
      </c>
      <c r="U21" s="34"/>
    </row>
    <row r="22" ht="15.75" customHeight="1">
      <c r="A22" s="29">
        <v>46097.0</v>
      </c>
      <c r="B22" s="2" t="s">
        <v>239</v>
      </c>
      <c r="C22" s="30">
        <v>46096.0</v>
      </c>
      <c r="D22" s="8">
        <f t="shared" si="1"/>
        <v>4114428.596</v>
      </c>
      <c r="E22" s="15"/>
      <c r="F22" s="8">
        <f t="shared" si="2"/>
        <v>499234.0713</v>
      </c>
      <c r="G22" s="8">
        <f t="shared" si="3"/>
        <v>3615194.524</v>
      </c>
      <c r="H22" s="8">
        <f t="shared" si="4"/>
        <v>46308212.6</v>
      </c>
      <c r="J22" s="5"/>
      <c r="L22" s="33">
        <v>45978.0</v>
      </c>
      <c r="M22" s="34" t="s">
        <v>100</v>
      </c>
      <c r="N22" s="35" t="s">
        <v>228</v>
      </c>
      <c r="O22" s="36">
        <v>4114429.0</v>
      </c>
      <c r="P22" s="36"/>
      <c r="Q22" s="36"/>
      <c r="R22" s="36"/>
      <c r="S22" s="36">
        <f t="shared" si="5"/>
        <v>4114429</v>
      </c>
      <c r="T22" s="36">
        <f t="shared" si="6"/>
        <v>65830856</v>
      </c>
      <c r="U22" s="34"/>
    </row>
    <row r="23" ht="15.75" customHeight="1">
      <c r="A23" s="29">
        <v>46128.0</v>
      </c>
      <c r="B23" s="2" t="s">
        <v>241</v>
      </c>
      <c r="C23" s="30">
        <v>46127.0</v>
      </c>
      <c r="D23" s="8">
        <f t="shared" si="1"/>
        <v>4114428.596</v>
      </c>
      <c r="E23" s="46"/>
      <c r="F23" s="8">
        <f t="shared" si="2"/>
        <v>463082.126</v>
      </c>
      <c r="G23" s="8">
        <f t="shared" si="3"/>
        <v>3651346.47</v>
      </c>
      <c r="H23" s="8">
        <f t="shared" si="4"/>
        <v>42656866.13</v>
      </c>
      <c r="J23" s="5"/>
      <c r="L23" s="33">
        <v>46038.0</v>
      </c>
      <c r="M23" s="34" t="s">
        <v>103</v>
      </c>
      <c r="N23" s="35" t="s">
        <v>231</v>
      </c>
      <c r="O23" s="36"/>
      <c r="P23" s="36">
        <v>4114429.0</v>
      </c>
      <c r="Q23" s="36"/>
      <c r="R23" s="36"/>
      <c r="S23" s="36">
        <f t="shared" si="5"/>
        <v>4114429</v>
      </c>
      <c r="T23" s="36">
        <f t="shared" si="6"/>
        <v>61716427</v>
      </c>
      <c r="U23" s="34"/>
    </row>
    <row r="24" ht="15.75" customHeight="1">
      <c r="A24" s="29">
        <v>46158.0</v>
      </c>
      <c r="B24" s="2" t="s">
        <v>244</v>
      </c>
      <c r="C24" s="30">
        <v>46157.0</v>
      </c>
      <c r="D24" s="8">
        <f t="shared" si="1"/>
        <v>4114428.596</v>
      </c>
      <c r="E24" s="46"/>
      <c r="F24" s="8">
        <f t="shared" si="2"/>
        <v>426568.6613</v>
      </c>
      <c r="G24" s="8">
        <f t="shared" si="3"/>
        <v>3687859.934</v>
      </c>
      <c r="H24" s="8">
        <f t="shared" si="4"/>
        <v>38969006.2</v>
      </c>
      <c r="J24" s="5"/>
      <c r="L24" s="33">
        <v>46067.0</v>
      </c>
      <c r="M24" s="34" t="s">
        <v>107</v>
      </c>
      <c r="N24" s="35" t="s">
        <v>236</v>
      </c>
      <c r="O24" s="36"/>
      <c r="P24" s="36">
        <v>4114429.0</v>
      </c>
      <c r="Q24" s="36"/>
      <c r="R24" s="36"/>
      <c r="S24" s="36">
        <f t="shared" si="5"/>
        <v>4114429</v>
      </c>
      <c r="T24" s="36">
        <f t="shared" si="6"/>
        <v>57601998</v>
      </c>
      <c r="U24" s="34"/>
    </row>
    <row r="25" ht="15.75" customHeight="1">
      <c r="A25" s="29">
        <v>46187.0</v>
      </c>
      <c r="B25" s="2" t="s">
        <v>246</v>
      </c>
      <c r="C25" s="30">
        <v>46188.0</v>
      </c>
      <c r="D25" s="8">
        <f t="shared" si="1"/>
        <v>4114428.596</v>
      </c>
      <c r="E25" s="46"/>
      <c r="F25" s="8">
        <f t="shared" si="2"/>
        <v>389690.062</v>
      </c>
      <c r="G25" s="8">
        <f t="shared" si="3"/>
        <v>3724738.534</v>
      </c>
      <c r="H25" s="8">
        <f t="shared" si="4"/>
        <v>35244267.67</v>
      </c>
      <c r="J25" s="5"/>
      <c r="L25" s="33">
        <v>46070.0</v>
      </c>
      <c r="M25" s="34" t="s">
        <v>112</v>
      </c>
      <c r="N25" s="35" t="s">
        <v>234</v>
      </c>
      <c r="O25" s="36">
        <v>4114429.0</v>
      </c>
      <c r="P25" s="36"/>
      <c r="Q25" s="36"/>
      <c r="R25" s="36"/>
      <c r="S25" s="36">
        <f t="shared" si="5"/>
        <v>4114429</v>
      </c>
      <c r="T25" s="36">
        <f t="shared" si="6"/>
        <v>53487569</v>
      </c>
      <c r="U25" s="34"/>
    </row>
    <row r="26" ht="15.75" customHeight="1">
      <c r="A26" s="29">
        <v>46217.0</v>
      </c>
      <c r="B26" s="2" t="s">
        <v>249</v>
      </c>
      <c r="C26" s="30">
        <v>46218.0</v>
      </c>
      <c r="D26" s="8">
        <f t="shared" si="1"/>
        <v>4114428.596</v>
      </c>
      <c r="E26" s="46"/>
      <c r="F26" s="8">
        <f t="shared" si="2"/>
        <v>352442.6767</v>
      </c>
      <c r="G26" s="8">
        <f t="shared" si="3"/>
        <v>3761985.919</v>
      </c>
      <c r="H26" s="8">
        <f t="shared" si="4"/>
        <v>31482281.75</v>
      </c>
      <c r="J26" s="5"/>
      <c r="L26" s="33">
        <v>46097.0</v>
      </c>
      <c r="M26" s="34" t="s">
        <v>115</v>
      </c>
      <c r="N26" s="35" t="s">
        <v>239</v>
      </c>
      <c r="O26" s="36"/>
      <c r="P26" s="36">
        <v>4114429.0</v>
      </c>
      <c r="Q26" s="36"/>
      <c r="R26" s="36"/>
      <c r="S26" s="36">
        <f t="shared" si="5"/>
        <v>4114429</v>
      </c>
      <c r="T26" s="36">
        <f t="shared" si="6"/>
        <v>49373140</v>
      </c>
      <c r="U26" s="34"/>
    </row>
    <row r="27" ht="15.75" customHeight="1">
      <c r="B27" s="2"/>
      <c r="C27" s="30">
        <v>46249.0</v>
      </c>
      <c r="D27" s="8">
        <f t="shared" si="1"/>
        <v>4114428.596</v>
      </c>
      <c r="E27" s="46"/>
      <c r="F27" s="8">
        <f t="shared" si="2"/>
        <v>314822.8175</v>
      </c>
      <c r="G27" s="8">
        <f t="shared" si="3"/>
        <v>3799605.778</v>
      </c>
      <c r="H27" s="8">
        <f t="shared" si="4"/>
        <v>27682675.97</v>
      </c>
      <c r="J27" s="5"/>
      <c r="L27" s="33">
        <v>46128.0</v>
      </c>
      <c r="M27" s="34" t="s">
        <v>116</v>
      </c>
      <c r="N27" s="35" t="s">
        <v>241</v>
      </c>
      <c r="O27" s="36"/>
      <c r="P27" s="36">
        <v>4114429.0</v>
      </c>
      <c r="Q27" s="36"/>
      <c r="R27" s="36"/>
      <c r="S27" s="36">
        <f t="shared" si="5"/>
        <v>4114429</v>
      </c>
      <c r="T27" s="36">
        <f t="shared" si="6"/>
        <v>45258711</v>
      </c>
      <c r="U27" s="34"/>
    </row>
    <row r="28" ht="15.75" customHeight="1">
      <c r="B28" s="2"/>
      <c r="C28" s="30">
        <v>46280.0</v>
      </c>
      <c r="D28" s="8">
        <f t="shared" si="1"/>
        <v>4114428.596</v>
      </c>
      <c r="E28" s="46"/>
      <c r="F28" s="8">
        <f t="shared" si="2"/>
        <v>276826.7597</v>
      </c>
      <c r="G28" s="8">
        <f t="shared" si="3"/>
        <v>3837601.836</v>
      </c>
      <c r="H28" s="8">
        <f t="shared" si="4"/>
        <v>23845074.13</v>
      </c>
      <c r="J28" s="5"/>
      <c r="L28" s="33">
        <v>46158.0</v>
      </c>
      <c r="M28" s="34" t="s">
        <v>118</v>
      </c>
      <c r="N28" s="35" t="s">
        <v>244</v>
      </c>
      <c r="O28" s="36"/>
      <c r="P28" s="36">
        <v>4114429.0</v>
      </c>
      <c r="Q28" s="36"/>
      <c r="R28" s="36"/>
      <c r="S28" s="36">
        <f t="shared" si="5"/>
        <v>4114429</v>
      </c>
      <c r="T28" s="36">
        <f t="shared" si="6"/>
        <v>41144282</v>
      </c>
      <c r="U28" s="34"/>
    </row>
    <row r="29" ht="15.75" customHeight="1">
      <c r="B29" s="2"/>
      <c r="C29" s="30">
        <v>46310.0</v>
      </c>
      <c r="D29" s="8">
        <f t="shared" si="1"/>
        <v>4114428.596</v>
      </c>
      <c r="E29" s="46"/>
      <c r="F29" s="8">
        <f t="shared" si="2"/>
        <v>238450.7413</v>
      </c>
      <c r="G29" s="8">
        <f t="shared" si="3"/>
        <v>3875977.854</v>
      </c>
      <c r="H29" s="8">
        <f t="shared" si="4"/>
        <v>19969096.28</v>
      </c>
      <c r="J29" s="5"/>
      <c r="L29" s="33">
        <v>46187.0</v>
      </c>
      <c r="M29" s="34" t="s">
        <v>120</v>
      </c>
      <c r="N29" s="35" t="s">
        <v>246</v>
      </c>
      <c r="O29" s="36"/>
      <c r="P29" s="36">
        <v>4114429.0</v>
      </c>
      <c r="Q29" s="36"/>
      <c r="R29" s="36"/>
      <c r="S29" s="36">
        <f t="shared" si="5"/>
        <v>4114429</v>
      </c>
      <c r="T29" s="36">
        <f t="shared" si="6"/>
        <v>37029853</v>
      </c>
      <c r="U29" s="34"/>
    </row>
    <row r="30" ht="15.75" customHeight="1">
      <c r="B30" s="2"/>
      <c r="C30" s="30">
        <v>46341.0</v>
      </c>
      <c r="D30" s="8">
        <f t="shared" si="1"/>
        <v>4114428.596</v>
      </c>
      <c r="E30" s="46"/>
      <c r="F30" s="8">
        <f t="shared" si="2"/>
        <v>199690.9628</v>
      </c>
      <c r="G30" s="8">
        <f t="shared" si="3"/>
        <v>3914737.633</v>
      </c>
      <c r="H30" s="8">
        <f t="shared" si="4"/>
        <v>16054358.65</v>
      </c>
      <c r="J30" s="5"/>
      <c r="L30" s="33">
        <v>46217.0</v>
      </c>
      <c r="M30" s="34" t="s">
        <v>122</v>
      </c>
      <c r="N30" s="35" t="s">
        <v>249</v>
      </c>
      <c r="O30" s="36"/>
      <c r="P30" s="36">
        <v>4114429.0</v>
      </c>
      <c r="Q30" s="36"/>
      <c r="R30" s="36"/>
      <c r="S30" s="36">
        <f t="shared" si="5"/>
        <v>4114429</v>
      </c>
      <c r="T30" s="36">
        <f t="shared" si="6"/>
        <v>32915424</v>
      </c>
      <c r="U30" s="34"/>
    </row>
    <row r="31" ht="15.75" customHeight="1">
      <c r="B31" s="2"/>
      <c r="C31" s="30">
        <v>46371.0</v>
      </c>
      <c r="D31" s="8">
        <f t="shared" si="1"/>
        <v>4114428.596</v>
      </c>
      <c r="E31" s="46"/>
      <c r="F31" s="8">
        <f t="shared" si="2"/>
        <v>160543.5865</v>
      </c>
      <c r="G31" s="8">
        <f t="shared" si="3"/>
        <v>3953885.009</v>
      </c>
      <c r="H31" s="8">
        <f t="shared" si="4"/>
        <v>12100473.64</v>
      </c>
      <c r="J31" s="5"/>
      <c r="L31" s="25"/>
      <c r="M31" s="38" t="s">
        <v>69</v>
      </c>
      <c r="N31" s="39"/>
      <c r="O31" s="27">
        <f t="shared" ref="O31:S31" si="7">SUM(O11:O30)</f>
        <v>29801003</v>
      </c>
      <c r="P31" s="27">
        <f t="shared" si="7"/>
        <v>45741459</v>
      </c>
      <c r="Q31" s="27">
        <f t="shared" si="7"/>
        <v>0</v>
      </c>
      <c r="R31" s="27">
        <f t="shared" si="7"/>
        <v>0</v>
      </c>
      <c r="S31" s="27">
        <f t="shared" si="7"/>
        <v>75542462</v>
      </c>
      <c r="T31" s="27">
        <f>T30</f>
        <v>32915424</v>
      </c>
      <c r="U31" s="25"/>
    </row>
    <row r="32" ht="15.75" customHeight="1">
      <c r="B32" s="2"/>
      <c r="C32" s="30">
        <v>46402.0</v>
      </c>
      <c r="D32" s="8">
        <f t="shared" si="1"/>
        <v>4114428.596</v>
      </c>
      <c r="E32" s="46"/>
      <c r="F32" s="8">
        <f t="shared" si="2"/>
        <v>121004.7364</v>
      </c>
      <c r="G32" s="8">
        <f t="shared" si="3"/>
        <v>3993423.859</v>
      </c>
      <c r="H32" s="8">
        <f t="shared" si="4"/>
        <v>8107049.777</v>
      </c>
      <c r="J32" s="5"/>
    </row>
    <row r="33" ht="15.75" customHeight="1">
      <c r="B33" s="2"/>
      <c r="C33" s="30">
        <v>46433.0</v>
      </c>
      <c r="D33" s="8">
        <f t="shared" si="1"/>
        <v>4114428.596</v>
      </c>
      <c r="E33" s="46"/>
      <c r="F33" s="8">
        <f t="shared" si="2"/>
        <v>81070.49777</v>
      </c>
      <c r="G33" s="8">
        <f t="shared" si="3"/>
        <v>4033358.098</v>
      </c>
      <c r="H33" s="8">
        <f t="shared" si="4"/>
        <v>4073691.679</v>
      </c>
      <c r="J33" s="5"/>
    </row>
    <row r="34" ht="15.75" customHeight="1">
      <c r="B34" s="2"/>
      <c r="C34" s="30">
        <v>46461.0</v>
      </c>
      <c r="D34" s="8">
        <f t="shared" si="1"/>
        <v>4114428.596</v>
      </c>
      <c r="E34" s="46"/>
      <c r="F34" s="8">
        <f t="shared" si="2"/>
        <v>40736.91679</v>
      </c>
      <c r="G34" s="8">
        <f t="shared" si="3"/>
        <v>4073691.679</v>
      </c>
      <c r="H34" s="8">
        <f t="shared" si="4"/>
        <v>0.00000008754432201</v>
      </c>
      <c r="J34" s="5"/>
    </row>
    <row r="35" ht="15.75" customHeight="1">
      <c r="B35" s="2"/>
      <c r="E35" s="9"/>
      <c r="J35" s="5"/>
    </row>
    <row r="36" ht="15.75" customHeight="1">
      <c r="B36" s="2"/>
      <c r="E36" s="9"/>
      <c r="J36" s="5"/>
    </row>
    <row r="37" ht="15.75" customHeight="1">
      <c r="B37" s="2"/>
      <c r="E37" s="9"/>
      <c r="J37" s="5"/>
    </row>
    <row r="38" ht="15.75" customHeight="1">
      <c r="B38" s="2"/>
      <c r="E38" s="9"/>
      <c r="J38" s="5"/>
    </row>
    <row r="39" ht="15.75" customHeight="1">
      <c r="B39" s="2"/>
      <c r="E39" s="9"/>
      <c r="J39" s="5"/>
    </row>
    <row r="40" ht="15.75" customHeight="1">
      <c r="B40" s="2"/>
      <c r="E40" s="9"/>
      <c r="J40" s="5"/>
    </row>
    <row r="41" ht="15.75" customHeight="1">
      <c r="B41" s="2"/>
      <c r="E41" s="9"/>
      <c r="J41" s="5"/>
    </row>
    <row r="42" ht="15.75" customHeight="1">
      <c r="B42" s="2"/>
      <c r="E42" s="9"/>
      <c r="J42" s="5"/>
    </row>
    <row r="43" ht="15.75" customHeight="1">
      <c r="B43" s="2"/>
      <c r="E43" s="9"/>
      <c r="J43" s="5"/>
    </row>
    <row r="44" ht="15.75" customHeight="1">
      <c r="B44" s="2"/>
      <c r="E44" s="9"/>
      <c r="J44" s="5"/>
    </row>
    <row r="45" ht="15.75" customHeight="1">
      <c r="B45" s="2"/>
      <c r="E45" s="9"/>
      <c r="J45" s="5"/>
    </row>
    <row r="46" ht="15.75" customHeight="1">
      <c r="B46" s="2"/>
      <c r="E46" s="9"/>
      <c r="J46" s="5"/>
    </row>
    <row r="47" ht="15.75" customHeight="1">
      <c r="B47" s="2"/>
      <c r="E47" s="9"/>
      <c r="J47" s="5"/>
    </row>
    <row r="48" ht="15.75" customHeight="1">
      <c r="B48" s="2"/>
      <c r="E48" s="9"/>
      <c r="J48" s="5"/>
    </row>
    <row r="49" ht="15.75" customHeight="1">
      <c r="B49" s="2"/>
      <c r="E49" s="9"/>
      <c r="J49" s="5"/>
    </row>
    <row r="50" ht="15.75" customHeight="1">
      <c r="B50" s="2"/>
      <c r="E50" s="9"/>
      <c r="J50" s="5"/>
    </row>
    <row r="51" ht="15.75" customHeight="1">
      <c r="B51" s="2"/>
      <c r="E51" s="9"/>
      <c r="J51" s="5"/>
    </row>
    <row r="52" ht="15.75" customHeight="1">
      <c r="B52" s="2"/>
      <c r="E52" s="9"/>
      <c r="J52" s="5"/>
    </row>
    <row r="53" ht="15.75" customHeight="1">
      <c r="B53" s="2"/>
      <c r="E53" s="9"/>
      <c r="J53" s="5"/>
    </row>
    <row r="54" ht="15.75" customHeight="1">
      <c r="B54" s="2"/>
      <c r="E54" s="9"/>
      <c r="J54" s="5"/>
    </row>
    <row r="55" ht="15.75" customHeight="1">
      <c r="B55" s="2"/>
      <c r="E55" s="9"/>
      <c r="J55" s="5"/>
    </row>
    <row r="56" ht="15.75" customHeight="1">
      <c r="B56" s="2"/>
      <c r="E56" s="9"/>
      <c r="J56" s="5"/>
    </row>
    <row r="57" ht="15.75" customHeight="1">
      <c r="B57" s="2"/>
      <c r="E57" s="9"/>
      <c r="J57" s="5"/>
    </row>
    <row r="58" ht="15.75" customHeight="1">
      <c r="B58" s="2"/>
      <c r="E58" s="9"/>
      <c r="J58" s="5"/>
    </row>
    <row r="59" ht="15.75" customHeight="1">
      <c r="B59" s="2"/>
      <c r="E59" s="9"/>
      <c r="J59" s="5"/>
    </row>
    <row r="60" ht="15.75" customHeight="1">
      <c r="B60" s="2"/>
      <c r="E60" s="9"/>
      <c r="J60" s="5"/>
    </row>
    <row r="61" ht="15.75" customHeight="1">
      <c r="B61" s="2"/>
      <c r="E61" s="9"/>
      <c r="J61" s="5"/>
    </row>
    <row r="62" ht="15.75" customHeight="1">
      <c r="B62" s="2"/>
      <c r="E62" s="9"/>
      <c r="J62" s="5"/>
    </row>
    <row r="63" ht="15.75" customHeight="1">
      <c r="B63" s="2"/>
      <c r="E63" s="9"/>
      <c r="J63" s="5"/>
    </row>
    <row r="64" ht="15.75" customHeight="1">
      <c r="B64" s="2"/>
      <c r="E64" s="9"/>
      <c r="J64" s="5"/>
    </row>
    <row r="65" ht="15.75" customHeight="1">
      <c r="B65" s="2"/>
      <c r="E65" s="9"/>
      <c r="J65" s="5"/>
    </row>
    <row r="66" ht="15.75" customHeight="1">
      <c r="B66" s="2"/>
      <c r="E66" s="9"/>
      <c r="J66" s="5"/>
    </row>
    <row r="67" ht="15.75" customHeight="1">
      <c r="B67" s="2"/>
      <c r="E67" s="9"/>
      <c r="J67" s="5"/>
    </row>
    <row r="68" ht="15.75" customHeight="1">
      <c r="B68" s="2"/>
      <c r="E68" s="9"/>
      <c r="J68" s="5"/>
    </row>
    <row r="69" ht="15.75" customHeight="1">
      <c r="B69" s="2"/>
      <c r="E69" s="9"/>
      <c r="J69" s="5"/>
    </row>
    <row r="70" ht="15.75" customHeight="1">
      <c r="B70" s="2"/>
      <c r="E70" s="9"/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211</v>
      </c>
      <c r="H1" s="57" t="s">
        <v>212</v>
      </c>
      <c r="J1" s="5"/>
    </row>
    <row r="2" ht="15.75" customHeight="1">
      <c r="B2" s="2"/>
      <c r="C2" s="1" t="s">
        <v>6</v>
      </c>
      <c r="D2" s="6">
        <f>+A5*10%</f>
        <v>13821200</v>
      </c>
      <c r="E2" s="7"/>
      <c r="J2" s="5"/>
    </row>
    <row r="3" ht="15.75" customHeight="1">
      <c r="B3" s="2"/>
      <c r="C3" s="1" t="s">
        <v>7</v>
      </c>
      <c r="D3" s="8">
        <f>+A5-D2</f>
        <v>124390800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1.38212E8</v>
      </c>
      <c r="B5" s="2"/>
      <c r="C5" s="1" t="s">
        <v>10</v>
      </c>
      <c r="D5" s="13">
        <v>6.0</v>
      </c>
      <c r="E5" s="12"/>
      <c r="H5" s="5"/>
      <c r="J5" s="5"/>
    </row>
    <row r="6" ht="15.75" customHeight="1">
      <c r="B6" s="2"/>
      <c r="C6" s="1" t="s">
        <v>11</v>
      </c>
      <c r="D6" s="8">
        <f>D3/D5</f>
        <v>20731800</v>
      </c>
      <c r="E6" s="12"/>
      <c r="H6" s="5"/>
      <c r="J6" s="5"/>
    </row>
    <row r="7" ht="15.75" customHeight="1">
      <c r="B7" s="2"/>
      <c r="C7" s="1" t="s">
        <v>12</v>
      </c>
      <c r="D7" s="20" t="s">
        <v>217</v>
      </c>
      <c r="H7" s="5"/>
      <c r="J7" s="5"/>
    </row>
    <row r="8" ht="15.75" customHeight="1">
      <c r="B8" s="2"/>
      <c r="C8" s="1" t="s">
        <v>16</v>
      </c>
      <c r="D8" s="16">
        <v>3.152287E7</v>
      </c>
      <c r="H8" s="5"/>
      <c r="I8" s="17"/>
      <c r="J8" s="19"/>
      <c r="K8" s="17"/>
      <c r="L8" s="21" t="s">
        <v>220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124390800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1.38212E8</v>
      </c>
      <c r="U10" s="25"/>
    </row>
    <row r="11" ht="15.75" customHeight="1">
      <c r="A11" s="29">
        <v>46002.0</v>
      </c>
      <c r="B11" s="2" t="s">
        <v>225</v>
      </c>
      <c r="C11" s="30">
        <v>45992.0</v>
      </c>
      <c r="D11" s="8">
        <f t="shared" ref="D11:D16" si="1">$D$6</f>
        <v>20731800</v>
      </c>
      <c r="E11" s="15"/>
      <c r="F11" s="8"/>
      <c r="G11" s="8">
        <f t="shared" ref="G11:G16" si="2">+D11+E11-F11</f>
        <v>20731800</v>
      </c>
      <c r="H11" s="8">
        <f t="shared" ref="H11:H16" si="3">+H10-G11</f>
        <v>103659000</v>
      </c>
      <c r="J11" s="5"/>
      <c r="L11" s="33">
        <v>45961.0</v>
      </c>
      <c r="M11" s="34" t="s">
        <v>44</v>
      </c>
      <c r="N11" s="35" t="s">
        <v>227</v>
      </c>
      <c r="O11" s="36"/>
      <c r="P11" s="36">
        <v>1.38212E7</v>
      </c>
      <c r="Q11" s="36"/>
      <c r="R11" s="36"/>
      <c r="S11" s="36">
        <f t="shared" ref="S11:S17" si="4">SUM(O11:R11)</f>
        <v>13821200</v>
      </c>
      <c r="T11" s="36">
        <f t="shared" ref="T11:T17" si="5">T10-S11</f>
        <v>124390800</v>
      </c>
      <c r="U11" s="34"/>
    </row>
    <row r="12" ht="15.75" customHeight="1">
      <c r="A12" s="29">
        <v>46029.0</v>
      </c>
      <c r="B12" s="2" t="s">
        <v>230</v>
      </c>
      <c r="C12" s="30">
        <v>46023.0</v>
      </c>
      <c r="D12" s="8">
        <f t="shared" si="1"/>
        <v>20731800</v>
      </c>
      <c r="E12" s="15"/>
      <c r="F12" s="8"/>
      <c r="G12" s="8">
        <f t="shared" si="2"/>
        <v>20731800</v>
      </c>
      <c r="H12" s="8">
        <f t="shared" si="3"/>
        <v>82927200</v>
      </c>
      <c r="J12" s="5"/>
      <c r="L12" s="33">
        <v>46002.0</v>
      </c>
      <c r="M12" s="34" t="s">
        <v>73</v>
      </c>
      <c r="N12" s="35" t="s">
        <v>225</v>
      </c>
      <c r="O12" s="36"/>
      <c r="P12" s="36">
        <v>2.07318E7</v>
      </c>
      <c r="Q12" s="36"/>
      <c r="R12" s="36"/>
      <c r="S12" s="36">
        <f t="shared" si="4"/>
        <v>20731800</v>
      </c>
      <c r="T12" s="36">
        <f t="shared" si="5"/>
        <v>103659000</v>
      </c>
      <c r="U12" s="34"/>
    </row>
    <row r="13" ht="15.75" customHeight="1">
      <c r="A13" s="29">
        <v>46059.0</v>
      </c>
      <c r="B13" s="2" t="s">
        <v>233</v>
      </c>
      <c r="C13" s="30">
        <v>46054.0</v>
      </c>
      <c r="D13" s="8">
        <f t="shared" si="1"/>
        <v>20731800</v>
      </c>
      <c r="E13" s="15"/>
      <c r="F13" s="8"/>
      <c r="G13" s="8">
        <f t="shared" si="2"/>
        <v>20731800</v>
      </c>
      <c r="H13" s="8">
        <f t="shared" si="3"/>
        <v>62195400</v>
      </c>
      <c r="J13" s="5" t="s">
        <v>56</v>
      </c>
      <c r="L13" s="33">
        <v>46029.0</v>
      </c>
      <c r="M13" s="34" t="s">
        <v>78</v>
      </c>
      <c r="N13" s="35" t="s">
        <v>230</v>
      </c>
      <c r="O13" s="36"/>
      <c r="P13" s="36">
        <v>2.07318E7</v>
      </c>
      <c r="Q13" s="36"/>
      <c r="R13" s="36"/>
      <c r="S13" s="36">
        <f t="shared" si="4"/>
        <v>20731800</v>
      </c>
      <c r="T13" s="36">
        <f t="shared" si="5"/>
        <v>82927200</v>
      </c>
      <c r="U13" s="34"/>
    </row>
    <row r="14" ht="15.75" customHeight="1">
      <c r="A14" s="29">
        <v>46086.0</v>
      </c>
      <c r="B14" s="2" t="s">
        <v>235</v>
      </c>
      <c r="C14" s="30">
        <v>46082.0</v>
      </c>
      <c r="D14" s="8">
        <f t="shared" si="1"/>
        <v>20731800</v>
      </c>
      <c r="E14" s="15">
        <f>20731800-D14</f>
        <v>0</v>
      </c>
      <c r="F14" s="8"/>
      <c r="G14" s="8">
        <f t="shared" si="2"/>
        <v>20731800</v>
      </c>
      <c r="H14" s="8">
        <f t="shared" si="3"/>
        <v>41463600</v>
      </c>
      <c r="J14" s="8">
        <f>+H10</f>
        <v>124390800</v>
      </c>
      <c r="L14" s="33">
        <v>46059.0</v>
      </c>
      <c r="M14" s="34" t="s">
        <v>83</v>
      </c>
      <c r="N14" s="35" t="s">
        <v>233</v>
      </c>
      <c r="O14" s="36"/>
      <c r="P14" s="36">
        <v>2.07318E7</v>
      </c>
      <c r="Q14" s="36"/>
      <c r="R14" s="36"/>
      <c r="S14" s="36">
        <f t="shared" si="4"/>
        <v>20731800</v>
      </c>
      <c r="T14" s="36">
        <f t="shared" si="5"/>
        <v>62195400</v>
      </c>
      <c r="U14" s="34"/>
    </row>
    <row r="15" ht="15.75" customHeight="1">
      <c r="A15" s="29">
        <v>46118.0</v>
      </c>
      <c r="B15" s="2" t="s">
        <v>238</v>
      </c>
      <c r="C15" s="30">
        <v>46113.0</v>
      </c>
      <c r="D15" s="8">
        <f t="shared" si="1"/>
        <v>20731800</v>
      </c>
      <c r="E15" s="15"/>
      <c r="F15" s="8"/>
      <c r="G15" s="8">
        <f t="shared" si="2"/>
        <v>20731800</v>
      </c>
      <c r="H15" s="8">
        <f t="shared" si="3"/>
        <v>20731800</v>
      </c>
      <c r="J15" s="5"/>
      <c r="L15" s="33">
        <v>46086.0</v>
      </c>
      <c r="M15" s="34" t="s">
        <v>85</v>
      </c>
      <c r="N15" s="35" t="s">
        <v>235</v>
      </c>
      <c r="O15" s="36"/>
      <c r="P15" s="36">
        <v>2.07318E7</v>
      </c>
      <c r="Q15" s="36"/>
      <c r="R15" s="36"/>
      <c r="S15" s="36">
        <f t="shared" si="4"/>
        <v>20731800</v>
      </c>
      <c r="T15" s="36">
        <f t="shared" si="5"/>
        <v>41463600</v>
      </c>
      <c r="U15" s="34"/>
    </row>
    <row r="16" ht="15.75" customHeight="1">
      <c r="A16" s="29">
        <v>46211.0</v>
      </c>
      <c r="B16" s="2" t="s">
        <v>240</v>
      </c>
      <c r="C16" s="30">
        <v>46143.0</v>
      </c>
      <c r="D16" s="8">
        <f t="shared" si="1"/>
        <v>20731800</v>
      </c>
      <c r="E16" s="15"/>
      <c r="F16" s="8"/>
      <c r="G16" s="8">
        <f t="shared" si="2"/>
        <v>20731800</v>
      </c>
      <c r="H16" s="8">
        <f t="shared" si="3"/>
        <v>0</v>
      </c>
      <c r="J16" s="5"/>
      <c r="L16" s="33">
        <v>46118.0</v>
      </c>
      <c r="M16" s="34" t="s">
        <v>89</v>
      </c>
      <c r="N16" s="35" t="s">
        <v>238</v>
      </c>
      <c r="O16" s="36"/>
      <c r="P16" s="36">
        <v>2.07318E7</v>
      </c>
      <c r="Q16" s="36"/>
      <c r="R16" s="36"/>
      <c r="S16" s="36">
        <f t="shared" si="4"/>
        <v>20731800</v>
      </c>
      <c r="T16" s="36">
        <f t="shared" si="5"/>
        <v>20731800</v>
      </c>
      <c r="U16" s="34"/>
    </row>
    <row r="17" ht="15.75" customHeight="1">
      <c r="A17" s="37"/>
      <c r="B17" s="2"/>
      <c r="C17" s="30"/>
      <c r="D17" s="8"/>
      <c r="E17" s="60"/>
      <c r="F17" s="8"/>
      <c r="G17" s="8"/>
      <c r="H17" s="8"/>
      <c r="J17" s="5"/>
      <c r="L17" s="33">
        <v>46211.0</v>
      </c>
      <c r="M17" s="34" t="s">
        <v>93</v>
      </c>
      <c r="N17" s="35" t="s">
        <v>240</v>
      </c>
      <c r="O17" s="36"/>
      <c r="P17" s="36">
        <v>2.07318E7</v>
      </c>
      <c r="Q17" s="36"/>
      <c r="R17" s="36"/>
      <c r="S17" s="36">
        <f t="shared" si="4"/>
        <v>20731800</v>
      </c>
      <c r="T17" s="36">
        <f t="shared" si="5"/>
        <v>0</v>
      </c>
      <c r="U17" s="34"/>
    </row>
    <row r="18" ht="15.75" customHeight="1">
      <c r="A18" s="37"/>
      <c r="B18" s="2"/>
      <c r="C18" s="30"/>
      <c r="D18" s="8"/>
      <c r="E18" s="60"/>
      <c r="F18" s="8"/>
      <c r="G18" s="8"/>
      <c r="H18" s="8"/>
      <c r="J18" s="5"/>
      <c r="L18" s="25"/>
      <c r="M18" s="38" t="s">
        <v>69</v>
      </c>
      <c r="N18" s="39"/>
      <c r="O18" s="27">
        <f t="shared" ref="O18:S18" si="6">SUM(O11:O17)</f>
        <v>0</v>
      </c>
      <c r="P18" s="27">
        <f t="shared" si="6"/>
        <v>138212000</v>
      </c>
      <c r="Q18" s="27">
        <f t="shared" si="6"/>
        <v>0</v>
      </c>
      <c r="R18" s="27">
        <f t="shared" si="6"/>
        <v>0</v>
      </c>
      <c r="S18" s="27">
        <f t="shared" si="6"/>
        <v>138212000</v>
      </c>
      <c r="T18" s="27">
        <f>T17</f>
        <v>0</v>
      </c>
      <c r="U18" s="25"/>
    </row>
    <row r="19" ht="15.75" customHeight="1">
      <c r="A19" s="37"/>
      <c r="B19" s="2"/>
      <c r="C19" s="30"/>
      <c r="D19" s="8"/>
      <c r="E19" s="60"/>
      <c r="F19" s="8"/>
      <c r="G19" s="8"/>
      <c r="H19" s="8"/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/>
      <c r="D20" s="8"/>
      <c r="E20" s="60"/>
      <c r="F20" s="8"/>
      <c r="G20" s="8"/>
      <c r="H20" s="8"/>
      <c r="J20" s="5"/>
    </row>
    <row r="21" ht="15.75" customHeight="1">
      <c r="A21" s="37"/>
      <c r="B21" s="2"/>
      <c r="C21" s="30"/>
      <c r="D21" s="8"/>
      <c r="E21" s="60"/>
      <c r="F21" s="8"/>
      <c r="G21" s="8"/>
      <c r="H21" s="8"/>
      <c r="J21" s="5"/>
    </row>
    <row r="22" ht="15.75" customHeight="1">
      <c r="A22" s="37"/>
      <c r="B22" s="2"/>
      <c r="C22" s="30"/>
      <c r="D22" s="8"/>
      <c r="E22" s="60"/>
      <c r="F22" s="8"/>
      <c r="G22" s="8"/>
      <c r="H22" s="8"/>
      <c r="J22" s="5"/>
    </row>
    <row r="23" ht="15.75" customHeight="1">
      <c r="A23" s="37"/>
      <c r="B23" s="2"/>
      <c r="C23" s="30"/>
      <c r="D23" s="8"/>
      <c r="E23" s="61"/>
      <c r="F23" s="8"/>
      <c r="G23" s="8"/>
      <c r="H23" s="8"/>
      <c r="J23" s="5"/>
    </row>
    <row r="24" ht="15.75" customHeight="1">
      <c r="A24" s="37"/>
      <c r="B24" s="2"/>
      <c r="C24" s="30"/>
      <c r="D24" s="8"/>
      <c r="E24" s="61"/>
      <c r="F24" s="8"/>
      <c r="G24" s="8"/>
      <c r="H24" s="8"/>
      <c r="J24" s="5"/>
    </row>
    <row r="25" ht="15.75" customHeight="1">
      <c r="B25" s="2"/>
      <c r="C25" s="30"/>
      <c r="D25" s="8"/>
      <c r="E25" s="61"/>
      <c r="F25" s="8"/>
      <c r="G25" s="8"/>
      <c r="H25" s="8"/>
      <c r="J25" s="5"/>
    </row>
    <row r="26" ht="15.75" customHeight="1">
      <c r="B26" s="2"/>
      <c r="C26" s="30"/>
      <c r="D26" s="8"/>
      <c r="E26" s="61"/>
      <c r="F26" s="8"/>
      <c r="G26" s="8"/>
      <c r="H26" s="8"/>
      <c r="J26" s="5"/>
    </row>
    <row r="27" ht="15.75" customHeight="1">
      <c r="B27" s="2"/>
      <c r="C27" s="30"/>
      <c r="D27" s="8"/>
      <c r="E27" s="61"/>
      <c r="F27" s="8"/>
      <c r="G27" s="8"/>
      <c r="H27" s="8"/>
      <c r="J27" s="5"/>
    </row>
    <row r="28" ht="15.75" customHeight="1">
      <c r="B28" s="2"/>
      <c r="C28" s="30"/>
      <c r="D28" s="8"/>
      <c r="E28" s="61"/>
      <c r="F28" s="8"/>
      <c r="G28" s="8"/>
      <c r="H28" s="8"/>
      <c r="J28" s="5"/>
    </row>
    <row r="29" ht="15.75" customHeight="1">
      <c r="B29" s="2"/>
      <c r="C29" s="30"/>
      <c r="D29" s="8"/>
      <c r="E29" s="61"/>
      <c r="F29" s="8"/>
      <c r="G29" s="8"/>
      <c r="H29" s="8"/>
      <c r="J29" s="5"/>
    </row>
    <row r="30" ht="15.75" customHeight="1">
      <c r="B30" s="2"/>
      <c r="C30" s="30"/>
      <c r="D30" s="8"/>
      <c r="E30" s="61"/>
      <c r="F30" s="8"/>
      <c r="G30" s="8"/>
      <c r="H30" s="8"/>
      <c r="J30" s="5"/>
    </row>
    <row r="31" ht="15.75" customHeight="1">
      <c r="B31" s="2"/>
      <c r="C31" s="30"/>
      <c r="D31" s="8"/>
      <c r="E31" s="61"/>
      <c r="F31" s="8"/>
      <c r="G31" s="8"/>
      <c r="H31" s="8"/>
      <c r="J31" s="5"/>
    </row>
    <row r="32" ht="15.75" customHeight="1">
      <c r="B32" s="2"/>
      <c r="C32" s="30"/>
      <c r="D32" s="8"/>
      <c r="E32" s="61"/>
      <c r="F32" s="8"/>
      <c r="G32" s="8"/>
      <c r="H32" s="8"/>
      <c r="J32" s="5"/>
    </row>
    <row r="33" ht="15.75" customHeight="1">
      <c r="B33" s="2"/>
      <c r="C33" s="30"/>
      <c r="D33" s="8"/>
      <c r="E33" s="61"/>
      <c r="F33" s="8"/>
      <c r="G33" s="8"/>
      <c r="H33" s="8"/>
      <c r="J33" s="5"/>
    </row>
    <row r="34" ht="15.75" customHeight="1">
      <c r="B34" s="2"/>
      <c r="C34" s="30"/>
      <c r="D34" s="8"/>
      <c r="E34" s="61"/>
      <c r="F34" s="8"/>
      <c r="G34" s="8"/>
      <c r="H34" s="8"/>
      <c r="J34" s="5"/>
    </row>
    <row r="35" ht="15.75" customHeight="1">
      <c r="B35" s="2"/>
      <c r="E35" s="9"/>
      <c r="J35" s="5"/>
    </row>
    <row r="36" ht="15.75" customHeight="1">
      <c r="B36" s="2"/>
      <c r="E36" s="9"/>
      <c r="J36" s="5"/>
    </row>
    <row r="37" ht="15.75" customHeight="1">
      <c r="B37" s="2"/>
      <c r="E37" s="9"/>
      <c r="J37" s="5"/>
    </row>
    <row r="38" ht="15.75" customHeight="1">
      <c r="B38" s="2"/>
      <c r="E38" s="9"/>
      <c r="J38" s="5"/>
    </row>
    <row r="39" ht="15.75" customHeight="1">
      <c r="B39" s="2"/>
      <c r="E39" s="9"/>
      <c r="J39" s="5"/>
    </row>
    <row r="40" ht="15.75" customHeight="1">
      <c r="B40" s="2"/>
      <c r="E40" s="9"/>
      <c r="J40" s="5"/>
    </row>
    <row r="41" ht="15.75" customHeight="1">
      <c r="B41" s="2"/>
      <c r="E41" s="9"/>
      <c r="J41" s="5"/>
    </row>
    <row r="42" ht="15.75" customHeight="1">
      <c r="B42" s="2"/>
      <c r="E42" s="9"/>
      <c r="J42" s="5"/>
    </row>
    <row r="43" ht="15.75" customHeight="1">
      <c r="B43" s="2"/>
      <c r="E43" s="9"/>
      <c r="J43" s="5"/>
    </row>
    <row r="44" ht="15.75" customHeight="1">
      <c r="B44" s="2"/>
      <c r="E44" s="9"/>
      <c r="J44" s="5"/>
    </row>
    <row r="45" ht="15.75" customHeight="1">
      <c r="B45" s="2"/>
      <c r="E45" s="9"/>
      <c r="J45" s="5"/>
    </row>
    <row r="46" ht="15.75" customHeight="1">
      <c r="B46" s="2"/>
      <c r="E46" s="9"/>
      <c r="J46" s="5"/>
    </row>
    <row r="47" ht="15.75" customHeight="1">
      <c r="B47" s="2"/>
      <c r="E47" s="9"/>
      <c r="J47" s="5"/>
    </row>
    <row r="48" ht="15.75" customHeight="1">
      <c r="B48" s="2"/>
      <c r="E48" s="9"/>
      <c r="J48" s="5"/>
    </row>
    <row r="49" ht="15.75" customHeight="1">
      <c r="B49" s="2"/>
      <c r="E49" s="9"/>
      <c r="J49" s="5"/>
    </row>
    <row r="50" ht="15.75" customHeight="1">
      <c r="B50" s="2"/>
      <c r="E50" s="9"/>
      <c r="J50" s="5"/>
    </row>
    <row r="51" ht="15.75" customHeight="1">
      <c r="B51" s="2"/>
      <c r="E51" s="9"/>
      <c r="J51" s="5"/>
    </row>
    <row r="52" ht="15.75" customHeight="1">
      <c r="B52" s="2"/>
      <c r="E52" s="9"/>
      <c r="J52" s="5"/>
    </row>
    <row r="53" ht="15.75" customHeight="1">
      <c r="B53" s="2"/>
      <c r="E53" s="9"/>
      <c r="J53" s="5"/>
    </row>
    <row r="54" ht="15.75" customHeight="1">
      <c r="B54" s="2"/>
      <c r="E54" s="9"/>
      <c r="J54" s="5"/>
    </row>
    <row r="55" ht="15.75" customHeight="1">
      <c r="B55" s="2"/>
      <c r="E55" s="9"/>
      <c r="J55" s="5"/>
    </row>
    <row r="56" ht="15.75" customHeight="1">
      <c r="B56" s="2"/>
      <c r="E56" s="9"/>
      <c r="J56" s="5"/>
    </row>
    <row r="57" ht="15.75" customHeight="1">
      <c r="B57" s="2"/>
      <c r="E57" s="9"/>
      <c r="J57" s="5"/>
    </row>
    <row r="58" ht="15.75" customHeight="1">
      <c r="B58" s="2"/>
      <c r="E58" s="9"/>
      <c r="J58" s="5"/>
    </row>
    <row r="59" ht="15.75" customHeight="1">
      <c r="B59" s="2"/>
      <c r="E59" s="9"/>
      <c r="J59" s="5"/>
    </row>
    <row r="60" ht="15.75" customHeight="1">
      <c r="B60" s="2"/>
      <c r="E60" s="9"/>
      <c r="J60" s="5"/>
    </row>
    <row r="61" ht="15.75" customHeight="1">
      <c r="B61" s="2"/>
      <c r="E61" s="9"/>
      <c r="J61" s="5"/>
    </row>
    <row r="62" ht="15.75" customHeight="1">
      <c r="B62" s="2"/>
      <c r="E62" s="9"/>
      <c r="J62" s="5"/>
    </row>
    <row r="63" ht="15.75" customHeight="1">
      <c r="B63" s="2"/>
      <c r="E63" s="9"/>
      <c r="J63" s="5"/>
    </row>
    <row r="64" ht="15.75" customHeight="1">
      <c r="B64" s="2"/>
      <c r="E64" s="9"/>
      <c r="J64" s="5"/>
    </row>
    <row r="65" ht="15.75" customHeight="1">
      <c r="B65" s="2"/>
      <c r="E65" s="9"/>
      <c r="J65" s="5"/>
    </row>
    <row r="66" ht="15.75" customHeight="1">
      <c r="B66" s="2"/>
      <c r="E66" s="9"/>
      <c r="J66" s="5"/>
    </row>
    <row r="67" ht="15.75" customHeight="1">
      <c r="B67" s="2"/>
      <c r="E67" s="9"/>
      <c r="J67" s="5"/>
    </row>
    <row r="68" ht="15.75" customHeight="1">
      <c r="B68" s="2"/>
      <c r="E68" s="9"/>
      <c r="J68" s="5"/>
    </row>
    <row r="69" ht="15.75" customHeight="1">
      <c r="B69" s="2"/>
      <c r="E69" s="9"/>
      <c r="J69" s="5"/>
    </row>
    <row r="70" ht="15.75" customHeight="1">
      <c r="B70" s="2"/>
      <c r="E70" s="9"/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3.78"/>
    <col customWidth="1" min="6" max="7" width="12.78"/>
    <col customWidth="1" min="8" max="8" width="17.11"/>
    <col customWidth="1" min="9" max="10" width="13.11"/>
    <col customWidth="1" min="11" max="11" width="11.11"/>
    <col customWidth="1" min="12" max="28" width="12.0"/>
  </cols>
  <sheetData>
    <row r="1" ht="15.75" customHeight="1">
      <c r="B1" s="2"/>
      <c r="C1" s="1" t="s">
        <v>0</v>
      </c>
      <c r="D1" s="3" t="s">
        <v>1</v>
      </c>
      <c r="E1" s="4"/>
      <c r="G1" s="1" t="s">
        <v>223</v>
      </c>
      <c r="J1" s="5"/>
    </row>
    <row r="2" ht="15.75" customHeight="1">
      <c r="B2" s="2"/>
      <c r="C2" s="1" t="s">
        <v>6</v>
      </c>
      <c r="D2" s="6">
        <f>+A5*10%</f>
        <v>10019750</v>
      </c>
      <c r="E2" s="7"/>
      <c r="J2" s="5"/>
    </row>
    <row r="3" ht="15.75" customHeight="1">
      <c r="B3" s="2"/>
      <c r="C3" s="1" t="s">
        <v>7</v>
      </c>
      <c r="D3" s="8">
        <f>+A5-D2</f>
        <v>90177750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1.001975E8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2005954.242</v>
      </c>
      <c r="E6" s="12"/>
      <c r="H6" s="5"/>
      <c r="J6" s="5"/>
    </row>
    <row r="7" ht="15.75" customHeight="1">
      <c r="B7" s="2"/>
      <c r="C7" s="1" t="s">
        <v>12</v>
      </c>
      <c r="D7" s="15" t="s">
        <v>229</v>
      </c>
      <c r="H7" s="5"/>
      <c r="J7" s="5"/>
    </row>
    <row r="8" ht="15.75" customHeight="1">
      <c r="B8" s="2"/>
      <c r="C8" s="1" t="s">
        <v>16</v>
      </c>
      <c r="D8" s="18">
        <v>1.061598231E9</v>
      </c>
      <c r="H8" s="5"/>
      <c r="I8" s="17"/>
      <c r="J8" s="19"/>
      <c r="K8" s="17"/>
      <c r="L8" s="21" t="s">
        <v>232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90177750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1.30377005E8</v>
      </c>
      <c r="U10" s="25"/>
    </row>
    <row r="11" ht="15.75" customHeight="1">
      <c r="A11" s="29">
        <v>45721.0</v>
      </c>
      <c r="B11" s="2" t="s">
        <v>237</v>
      </c>
      <c r="C11" s="30">
        <v>45752.0</v>
      </c>
      <c r="D11" s="8">
        <f t="shared" ref="D11:D70" si="1">$D$6</f>
        <v>2005954.242</v>
      </c>
      <c r="E11" s="15"/>
      <c r="F11" s="8">
        <f t="shared" ref="F11:F70" si="2">+H10*$D$4</f>
        <v>901777.5</v>
      </c>
      <c r="G11" s="8">
        <f t="shared" ref="G11:G70" si="3">+D11+E11-F11</f>
        <v>1104176.742</v>
      </c>
      <c r="H11" s="8">
        <f t="shared" ref="H11:H70" si="4">+H10-G11</f>
        <v>89073573.26</v>
      </c>
      <c r="J11" s="5"/>
      <c r="L11" s="40">
        <v>45690.0</v>
      </c>
      <c r="M11" s="34" t="s">
        <v>242</v>
      </c>
      <c r="N11" s="35" t="s">
        <v>243</v>
      </c>
      <c r="O11" s="36">
        <v>1000000.0</v>
      </c>
      <c r="P11" s="36"/>
      <c r="Q11" s="36"/>
      <c r="R11" s="36"/>
      <c r="S11" s="36">
        <f t="shared" ref="S11:S22" si="5">SUM(O11:R11)</f>
        <v>1000000</v>
      </c>
      <c r="T11" s="36">
        <f t="shared" ref="T11:T22" si="6">T10-S11</f>
        <v>129377005</v>
      </c>
      <c r="U11" s="34" t="s">
        <v>245</v>
      </c>
    </row>
    <row r="12" ht="15.75" customHeight="1">
      <c r="A12" s="29">
        <v>45721.0</v>
      </c>
      <c r="B12" s="2" t="s">
        <v>237</v>
      </c>
      <c r="C12" s="30">
        <v>45782.0</v>
      </c>
      <c r="D12" s="8">
        <f t="shared" si="1"/>
        <v>2005954.242</v>
      </c>
      <c r="E12" s="15"/>
      <c r="F12" s="8">
        <f t="shared" si="2"/>
        <v>890735.7326</v>
      </c>
      <c r="G12" s="8">
        <f t="shared" si="3"/>
        <v>1115218.51</v>
      </c>
      <c r="H12" s="8">
        <f t="shared" si="4"/>
        <v>87958354.75</v>
      </c>
      <c r="J12" s="5"/>
      <c r="L12" s="33">
        <v>45692.0</v>
      </c>
      <c r="M12" s="34" t="s">
        <v>242</v>
      </c>
      <c r="N12" s="35" t="s">
        <v>247</v>
      </c>
      <c r="O12" s="36"/>
      <c r="P12" s="36">
        <v>4000000.0</v>
      </c>
      <c r="Q12" s="36"/>
      <c r="R12" s="36"/>
      <c r="S12" s="36">
        <f t="shared" si="5"/>
        <v>4000000</v>
      </c>
      <c r="T12" s="36">
        <f t="shared" si="6"/>
        <v>125377005</v>
      </c>
      <c r="U12" s="34"/>
    </row>
    <row r="13" ht="15.75" customHeight="1">
      <c r="A13" s="29">
        <v>45748.0</v>
      </c>
      <c r="B13" s="2" t="s">
        <v>248</v>
      </c>
      <c r="C13" s="30">
        <v>45813.0</v>
      </c>
      <c r="D13" s="8">
        <f t="shared" si="1"/>
        <v>2005954.242</v>
      </c>
      <c r="E13" s="15"/>
      <c r="F13" s="8">
        <f t="shared" si="2"/>
        <v>879583.5475</v>
      </c>
      <c r="G13" s="8">
        <f t="shared" si="3"/>
        <v>1126370.695</v>
      </c>
      <c r="H13" s="8">
        <f t="shared" si="4"/>
        <v>86831984.05</v>
      </c>
      <c r="J13" s="5" t="s">
        <v>56</v>
      </c>
      <c r="L13" s="40">
        <v>45700.0</v>
      </c>
      <c r="M13" s="34" t="s">
        <v>242</v>
      </c>
      <c r="N13" s="35" t="s">
        <v>250</v>
      </c>
      <c r="O13" s="36"/>
      <c r="P13" s="36">
        <v>5019750.0</v>
      </c>
      <c r="Q13" s="36"/>
      <c r="R13" s="36"/>
      <c r="S13" s="36">
        <f t="shared" si="5"/>
        <v>5019750</v>
      </c>
      <c r="T13" s="36">
        <f t="shared" si="6"/>
        <v>120357255</v>
      </c>
      <c r="U13" s="34" t="s">
        <v>251</v>
      </c>
    </row>
    <row r="14" ht="15.75" customHeight="1">
      <c r="A14" s="29">
        <v>45748.0</v>
      </c>
      <c r="B14" s="2" t="s">
        <v>248</v>
      </c>
      <c r="C14" s="30">
        <v>45843.0</v>
      </c>
      <c r="D14" s="8">
        <f t="shared" si="1"/>
        <v>2005954.242</v>
      </c>
      <c r="E14" s="15"/>
      <c r="F14" s="8">
        <f t="shared" si="2"/>
        <v>868319.8405</v>
      </c>
      <c r="G14" s="8">
        <f t="shared" si="3"/>
        <v>1137634.402</v>
      </c>
      <c r="H14" s="8">
        <f t="shared" si="4"/>
        <v>85694349.65</v>
      </c>
      <c r="J14" s="8">
        <f>+H10</f>
        <v>90177750</v>
      </c>
      <c r="L14" s="33">
        <v>45721.0</v>
      </c>
      <c r="M14" s="34" t="s">
        <v>252</v>
      </c>
      <c r="N14" s="35" t="s">
        <v>237</v>
      </c>
      <c r="O14" s="36"/>
      <c r="P14" s="36">
        <v>3980250.0</v>
      </c>
      <c r="Q14" s="36"/>
      <c r="R14" s="36"/>
      <c r="S14" s="36">
        <f t="shared" si="5"/>
        <v>3980250</v>
      </c>
      <c r="T14" s="36">
        <f t="shared" si="6"/>
        <v>116377005</v>
      </c>
      <c r="U14" s="34"/>
    </row>
    <row r="15" ht="15.75" customHeight="1">
      <c r="A15" s="29">
        <v>45782.0</v>
      </c>
      <c r="B15" s="2" t="s">
        <v>253</v>
      </c>
      <c r="C15" s="30">
        <v>45874.0</v>
      </c>
      <c r="D15" s="8">
        <f t="shared" si="1"/>
        <v>2005954.242</v>
      </c>
      <c r="E15" s="15"/>
      <c r="F15" s="8">
        <f t="shared" si="2"/>
        <v>856943.4965</v>
      </c>
      <c r="G15" s="8">
        <f t="shared" si="3"/>
        <v>1149010.746</v>
      </c>
      <c r="H15" s="8">
        <f t="shared" si="4"/>
        <v>84545338.91</v>
      </c>
      <c r="J15" s="5"/>
      <c r="L15" s="33">
        <v>45748.0</v>
      </c>
      <c r="M15" s="34" t="s">
        <v>254</v>
      </c>
      <c r="N15" s="35" t="s">
        <v>248</v>
      </c>
      <c r="O15" s="36"/>
      <c r="P15" s="36">
        <v>4000000.0</v>
      </c>
      <c r="Q15" s="36"/>
      <c r="R15" s="36"/>
      <c r="S15" s="36">
        <f t="shared" si="5"/>
        <v>4000000</v>
      </c>
      <c r="T15" s="36">
        <f t="shared" si="6"/>
        <v>112377005</v>
      </c>
      <c r="U15" s="34"/>
    </row>
    <row r="16" ht="15.75" customHeight="1">
      <c r="A16" s="29">
        <v>45782.0</v>
      </c>
      <c r="B16" s="2" t="s">
        <v>253</v>
      </c>
      <c r="C16" s="30">
        <v>45905.0</v>
      </c>
      <c r="D16" s="8">
        <f t="shared" si="1"/>
        <v>2005954.242</v>
      </c>
      <c r="E16" s="15"/>
      <c r="F16" s="8">
        <f t="shared" si="2"/>
        <v>845453.3891</v>
      </c>
      <c r="G16" s="8">
        <f t="shared" si="3"/>
        <v>1160500.853</v>
      </c>
      <c r="H16" s="8">
        <f t="shared" si="4"/>
        <v>83384838.05</v>
      </c>
      <c r="J16" s="5"/>
      <c r="L16" s="33">
        <v>45782.0</v>
      </c>
      <c r="M16" s="34" t="s">
        <v>255</v>
      </c>
      <c r="N16" s="35" t="s">
        <v>253</v>
      </c>
      <c r="O16" s="36"/>
      <c r="P16" s="36">
        <v>4000000.0</v>
      </c>
      <c r="Q16" s="36"/>
      <c r="R16" s="36"/>
      <c r="S16" s="36">
        <f t="shared" si="5"/>
        <v>4000000</v>
      </c>
      <c r="T16" s="36">
        <f t="shared" si="6"/>
        <v>108377005</v>
      </c>
      <c r="U16" s="34"/>
    </row>
    <row r="17" ht="15.75" customHeight="1">
      <c r="A17" s="29">
        <v>45811.0</v>
      </c>
      <c r="B17" s="2" t="s">
        <v>256</v>
      </c>
      <c r="C17" s="30">
        <v>45935.0</v>
      </c>
      <c r="D17" s="8">
        <f t="shared" si="1"/>
        <v>2005954.242</v>
      </c>
      <c r="E17" s="15"/>
      <c r="F17" s="8">
        <f t="shared" si="2"/>
        <v>833848.3805</v>
      </c>
      <c r="G17" s="8">
        <f t="shared" si="3"/>
        <v>1172105.862</v>
      </c>
      <c r="H17" s="8">
        <f t="shared" si="4"/>
        <v>82212732.19</v>
      </c>
      <c r="J17" s="5">
        <f>14041680/55</f>
        <v>255303.2727</v>
      </c>
      <c r="K17" s="8">
        <f>D16+J17</f>
        <v>2261257.515</v>
      </c>
      <c r="L17" s="33">
        <v>45811.0</v>
      </c>
      <c r="M17" s="34" t="s">
        <v>257</v>
      </c>
      <c r="N17" s="35" t="s">
        <v>256</v>
      </c>
      <c r="O17" s="36"/>
      <c r="P17" s="36">
        <v>4000000.0</v>
      </c>
      <c r="Q17" s="36"/>
      <c r="R17" s="36"/>
      <c r="S17" s="36">
        <f t="shared" si="5"/>
        <v>4000000</v>
      </c>
      <c r="T17" s="36">
        <f t="shared" si="6"/>
        <v>104377005</v>
      </c>
      <c r="U17" s="34"/>
    </row>
    <row r="18" ht="15.75" customHeight="1">
      <c r="A18" s="29">
        <v>45811.0</v>
      </c>
      <c r="B18" s="2" t="s">
        <v>256</v>
      </c>
      <c r="C18" s="30">
        <v>45966.0</v>
      </c>
      <c r="D18" s="8">
        <f t="shared" si="1"/>
        <v>2005954.242</v>
      </c>
      <c r="E18" s="15"/>
      <c r="F18" s="8">
        <f t="shared" si="2"/>
        <v>822127.3219</v>
      </c>
      <c r="G18" s="8">
        <f t="shared" si="3"/>
        <v>1183826.92</v>
      </c>
      <c r="H18" s="8">
        <f t="shared" si="4"/>
        <v>81028905.27</v>
      </c>
      <c r="J18" s="5"/>
      <c r="L18" s="33">
        <v>45842.0</v>
      </c>
      <c r="M18" s="34" t="s">
        <v>258</v>
      </c>
      <c r="N18" s="35" t="s">
        <v>259</v>
      </c>
      <c r="O18" s="36"/>
      <c r="P18" s="36">
        <v>4000000.0</v>
      </c>
      <c r="Q18" s="36"/>
      <c r="R18" s="36"/>
      <c r="S18" s="36">
        <f t="shared" si="5"/>
        <v>4000000</v>
      </c>
      <c r="T18" s="36">
        <f t="shared" si="6"/>
        <v>100377005</v>
      </c>
      <c r="U18" s="34"/>
    </row>
    <row r="19" ht="15.75" customHeight="1">
      <c r="A19" s="29">
        <v>45842.0</v>
      </c>
      <c r="B19" s="2" t="s">
        <v>259</v>
      </c>
      <c r="C19" s="30">
        <v>45996.0</v>
      </c>
      <c r="D19" s="8">
        <f t="shared" si="1"/>
        <v>2005954.242</v>
      </c>
      <c r="E19" s="15"/>
      <c r="F19" s="8">
        <f t="shared" si="2"/>
        <v>810289.0527</v>
      </c>
      <c r="G19" s="8">
        <f t="shared" si="3"/>
        <v>1195665.19</v>
      </c>
      <c r="H19" s="8">
        <f t="shared" si="4"/>
        <v>79833240.08</v>
      </c>
      <c r="I19" s="1"/>
      <c r="J19" s="41"/>
      <c r="K19" s="1"/>
      <c r="L19" s="42">
        <v>45905.0</v>
      </c>
      <c r="M19" s="43" t="s">
        <v>112</v>
      </c>
      <c r="N19" s="44" t="s">
        <v>260</v>
      </c>
      <c r="O19" s="45"/>
      <c r="P19" s="45">
        <v>2000000.0</v>
      </c>
      <c r="Q19" s="45"/>
      <c r="R19" s="45"/>
      <c r="S19" s="45">
        <f t="shared" si="5"/>
        <v>2000000</v>
      </c>
      <c r="T19" s="45">
        <f t="shared" si="6"/>
        <v>98377005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45842.0</v>
      </c>
      <c r="B20" s="2" t="s">
        <v>259</v>
      </c>
      <c r="C20" s="30">
        <v>46027.0</v>
      </c>
      <c r="D20" s="8">
        <f t="shared" si="1"/>
        <v>2005954.242</v>
      </c>
      <c r="E20" s="15"/>
      <c r="F20" s="8">
        <f t="shared" si="2"/>
        <v>798332.4008</v>
      </c>
      <c r="G20" s="8">
        <f t="shared" si="3"/>
        <v>1207621.841</v>
      </c>
      <c r="H20" s="8">
        <f t="shared" si="4"/>
        <v>78625618.24</v>
      </c>
      <c r="J20" s="5"/>
      <c r="L20" s="33">
        <v>46112.0</v>
      </c>
      <c r="M20" s="34" t="s">
        <v>115</v>
      </c>
      <c r="N20" s="35" t="s">
        <v>261</v>
      </c>
      <c r="O20" s="36"/>
      <c r="P20" s="36">
        <v>2100000.0</v>
      </c>
      <c r="Q20" s="36"/>
      <c r="R20" s="36"/>
      <c r="S20" s="36">
        <f t="shared" si="5"/>
        <v>2100000</v>
      </c>
      <c r="T20" s="36">
        <f t="shared" si="6"/>
        <v>96277005</v>
      </c>
      <c r="U20" s="34"/>
    </row>
    <row r="21" ht="15.75" customHeight="1">
      <c r="A21" s="29">
        <v>45905.0</v>
      </c>
      <c r="B21" s="2" t="s">
        <v>260</v>
      </c>
      <c r="C21" s="30">
        <v>46058.0</v>
      </c>
      <c r="D21" s="8">
        <f t="shared" si="1"/>
        <v>2005954.242</v>
      </c>
      <c r="E21" s="15"/>
      <c r="F21" s="8">
        <f t="shared" si="2"/>
        <v>786256.1824</v>
      </c>
      <c r="G21" s="8">
        <f t="shared" si="3"/>
        <v>1219698.06</v>
      </c>
      <c r="H21" s="8">
        <f t="shared" si="4"/>
        <v>77405920.18</v>
      </c>
      <c r="J21" s="5"/>
      <c r="L21" s="33">
        <v>46126.0</v>
      </c>
      <c r="M21" s="34" t="s">
        <v>116</v>
      </c>
      <c r="N21" s="35" t="s">
        <v>262</v>
      </c>
      <c r="O21" s="36"/>
      <c r="P21" s="36">
        <v>2000000.0</v>
      </c>
      <c r="Q21" s="36"/>
      <c r="R21" s="36"/>
      <c r="S21" s="36">
        <f t="shared" si="5"/>
        <v>2000000</v>
      </c>
      <c r="T21" s="36">
        <f t="shared" si="6"/>
        <v>94277005</v>
      </c>
      <c r="U21" s="34"/>
    </row>
    <row r="22" ht="15.75" customHeight="1">
      <c r="A22" s="29">
        <v>46112.0</v>
      </c>
      <c r="B22" s="2" t="s">
        <v>261</v>
      </c>
      <c r="C22" s="30">
        <v>46086.0</v>
      </c>
      <c r="D22" s="8">
        <f t="shared" si="1"/>
        <v>2005954.242</v>
      </c>
      <c r="E22" s="15"/>
      <c r="F22" s="8">
        <f t="shared" si="2"/>
        <v>774059.2018</v>
      </c>
      <c r="G22" s="8">
        <f t="shared" si="3"/>
        <v>1231895.04</v>
      </c>
      <c r="H22" s="8">
        <f t="shared" si="4"/>
        <v>76174025.14</v>
      </c>
      <c r="J22" s="5"/>
      <c r="L22" s="33">
        <v>46193.0</v>
      </c>
      <c r="M22" s="34" t="s">
        <v>118</v>
      </c>
      <c r="N22" s="35" t="s">
        <v>263</v>
      </c>
      <c r="O22" s="36"/>
      <c r="P22" s="36">
        <v>2000000.0</v>
      </c>
      <c r="Q22" s="36"/>
      <c r="R22" s="36"/>
      <c r="S22" s="36">
        <f t="shared" si="5"/>
        <v>2000000</v>
      </c>
      <c r="T22" s="36">
        <f t="shared" si="6"/>
        <v>92277005</v>
      </c>
      <c r="U22" s="34"/>
    </row>
    <row r="23" ht="15.75" customHeight="1">
      <c r="A23" s="29">
        <v>46126.0</v>
      </c>
      <c r="B23" s="2" t="s">
        <v>262</v>
      </c>
      <c r="C23" s="30">
        <v>46117.0</v>
      </c>
      <c r="D23" s="8">
        <f t="shared" si="1"/>
        <v>2005954.242</v>
      </c>
      <c r="E23" s="8"/>
      <c r="F23" s="8">
        <f t="shared" si="2"/>
        <v>761740.2514</v>
      </c>
      <c r="G23" s="8">
        <f t="shared" si="3"/>
        <v>1244213.991</v>
      </c>
      <c r="H23" s="8">
        <f t="shared" si="4"/>
        <v>74929811.15</v>
      </c>
      <c r="J23" s="5"/>
      <c r="L23" s="25"/>
      <c r="M23" s="38" t="s">
        <v>69</v>
      </c>
      <c r="N23" s="39"/>
      <c r="O23" s="27">
        <f t="shared" ref="O23:S23" si="7">SUM(O11:O22)</f>
        <v>1000000</v>
      </c>
      <c r="P23" s="27">
        <f t="shared" si="7"/>
        <v>37100000</v>
      </c>
      <c r="Q23" s="27">
        <f t="shared" si="7"/>
        <v>0</v>
      </c>
      <c r="R23" s="27">
        <f t="shared" si="7"/>
        <v>0</v>
      </c>
      <c r="S23" s="27">
        <f t="shared" si="7"/>
        <v>38100000</v>
      </c>
      <c r="T23" s="27">
        <f>T22</f>
        <v>92277005</v>
      </c>
      <c r="U23" s="25"/>
    </row>
    <row r="24" ht="15.75" customHeight="1">
      <c r="A24" s="29">
        <v>46193.0</v>
      </c>
      <c r="B24" s="2" t="s">
        <v>263</v>
      </c>
      <c r="C24" s="30">
        <v>46147.0</v>
      </c>
      <c r="D24" s="8">
        <f t="shared" si="1"/>
        <v>2005954.242</v>
      </c>
      <c r="E24" s="8">
        <f>2000000+2845-D24</f>
        <v>-3109.242217</v>
      </c>
      <c r="F24" s="8">
        <f t="shared" si="2"/>
        <v>749298.1115</v>
      </c>
      <c r="G24" s="8">
        <f t="shared" si="3"/>
        <v>1253546.889</v>
      </c>
      <c r="H24" s="8">
        <f t="shared" si="4"/>
        <v>73676264.26</v>
      </c>
      <c r="J24" s="5"/>
    </row>
    <row r="25" ht="15.75" customHeight="1">
      <c r="B25" s="2"/>
      <c r="C25" s="30">
        <v>46178.0</v>
      </c>
      <c r="D25" s="8">
        <f t="shared" si="1"/>
        <v>2005954.242</v>
      </c>
      <c r="E25" s="46"/>
      <c r="F25" s="8">
        <f t="shared" si="2"/>
        <v>736762.6426</v>
      </c>
      <c r="G25" s="8">
        <f t="shared" si="3"/>
        <v>1269191.6</v>
      </c>
      <c r="H25" s="8">
        <f t="shared" si="4"/>
        <v>72407072.66</v>
      </c>
      <c r="J25" s="5"/>
    </row>
    <row r="26" ht="15.75" customHeight="1">
      <c r="B26" s="2"/>
      <c r="C26" s="30">
        <v>46208.0</v>
      </c>
      <c r="D26" s="8">
        <f t="shared" si="1"/>
        <v>2005954.242</v>
      </c>
      <c r="E26" s="46"/>
      <c r="F26" s="8">
        <f t="shared" si="2"/>
        <v>724070.7266</v>
      </c>
      <c r="G26" s="8">
        <f t="shared" si="3"/>
        <v>1281883.516</v>
      </c>
      <c r="H26" s="8">
        <f t="shared" si="4"/>
        <v>71125189.15</v>
      </c>
      <c r="J26" s="5"/>
    </row>
    <row r="27" ht="15.75" customHeight="1">
      <c r="B27" s="2"/>
      <c r="C27" s="30">
        <v>46239.0</v>
      </c>
      <c r="D27" s="8">
        <f t="shared" si="1"/>
        <v>2005954.242</v>
      </c>
      <c r="E27" s="46"/>
      <c r="F27" s="8">
        <f t="shared" si="2"/>
        <v>711251.8915</v>
      </c>
      <c r="G27" s="8">
        <f t="shared" si="3"/>
        <v>1294702.351</v>
      </c>
      <c r="H27" s="8">
        <f t="shared" si="4"/>
        <v>69830486.79</v>
      </c>
      <c r="J27" s="5"/>
    </row>
    <row r="28" ht="15.75" customHeight="1">
      <c r="B28" s="2"/>
      <c r="C28" s="30">
        <v>46270.0</v>
      </c>
      <c r="D28" s="8">
        <f t="shared" si="1"/>
        <v>2005954.242</v>
      </c>
      <c r="E28" s="46"/>
      <c r="F28" s="8">
        <f t="shared" si="2"/>
        <v>698304.8679</v>
      </c>
      <c r="G28" s="8">
        <f t="shared" si="3"/>
        <v>1307649.374</v>
      </c>
      <c r="H28" s="8">
        <f t="shared" si="4"/>
        <v>68522837.42</v>
      </c>
      <c r="J28" s="5"/>
    </row>
    <row r="29" ht="15.75" customHeight="1">
      <c r="B29" s="2"/>
      <c r="C29" s="30">
        <v>46300.0</v>
      </c>
      <c r="D29" s="8">
        <f t="shared" si="1"/>
        <v>2005954.242</v>
      </c>
      <c r="E29" s="46"/>
      <c r="F29" s="8">
        <f t="shared" si="2"/>
        <v>685228.3742</v>
      </c>
      <c r="G29" s="8">
        <f t="shared" si="3"/>
        <v>1320725.868</v>
      </c>
      <c r="H29" s="8">
        <f t="shared" si="4"/>
        <v>67202111.55</v>
      </c>
      <c r="J29" s="5"/>
    </row>
    <row r="30" ht="15.75" customHeight="1">
      <c r="B30" s="2"/>
      <c r="C30" s="30">
        <v>46331.0</v>
      </c>
      <c r="D30" s="8">
        <f t="shared" si="1"/>
        <v>2005954.242</v>
      </c>
      <c r="E30" s="46"/>
      <c r="F30" s="8">
        <f t="shared" si="2"/>
        <v>672021.1155</v>
      </c>
      <c r="G30" s="8">
        <f t="shared" si="3"/>
        <v>1333933.127</v>
      </c>
      <c r="H30" s="8">
        <f t="shared" si="4"/>
        <v>65868178.43</v>
      </c>
      <c r="J30" s="5"/>
    </row>
    <row r="31" ht="15.75" customHeight="1">
      <c r="B31" s="2"/>
      <c r="C31" s="30">
        <v>46361.0</v>
      </c>
      <c r="D31" s="8">
        <f t="shared" si="1"/>
        <v>2005954.242</v>
      </c>
      <c r="E31" s="46"/>
      <c r="F31" s="8">
        <f t="shared" si="2"/>
        <v>658681.7843</v>
      </c>
      <c r="G31" s="8">
        <f t="shared" si="3"/>
        <v>1347272.458</v>
      </c>
      <c r="H31" s="8">
        <f t="shared" si="4"/>
        <v>64520905.97</v>
      </c>
      <c r="J31" s="5"/>
    </row>
    <row r="32" ht="15.75" customHeight="1">
      <c r="B32" s="2"/>
      <c r="C32" s="30">
        <v>46392.0</v>
      </c>
      <c r="D32" s="8">
        <f t="shared" si="1"/>
        <v>2005954.242</v>
      </c>
      <c r="E32" s="46"/>
      <c r="F32" s="8">
        <f t="shared" si="2"/>
        <v>645209.0597</v>
      </c>
      <c r="G32" s="8">
        <f t="shared" si="3"/>
        <v>1360745.183</v>
      </c>
      <c r="H32" s="8">
        <f t="shared" si="4"/>
        <v>63160160.78</v>
      </c>
      <c r="J32" s="5"/>
    </row>
    <row r="33" ht="15.75" customHeight="1">
      <c r="B33" s="2"/>
      <c r="C33" s="30">
        <v>46423.0</v>
      </c>
      <c r="D33" s="8">
        <f t="shared" si="1"/>
        <v>2005954.242</v>
      </c>
      <c r="E33" s="46"/>
      <c r="F33" s="8">
        <f t="shared" si="2"/>
        <v>631601.6078</v>
      </c>
      <c r="G33" s="8">
        <f t="shared" si="3"/>
        <v>1374352.634</v>
      </c>
      <c r="H33" s="8">
        <f t="shared" si="4"/>
        <v>61785808.15</v>
      </c>
      <c r="J33" s="5"/>
    </row>
    <row r="34" ht="15.75" customHeight="1">
      <c r="B34" s="2"/>
      <c r="C34" s="30">
        <v>46451.0</v>
      </c>
      <c r="D34" s="8">
        <f t="shared" si="1"/>
        <v>2005954.242</v>
      </c>
      <c r="E34" s="46"/>
      <c r="F34" s="8">
        <f t="shared" si="2"/>
        <v>617858.0815</v>
      </c>
      <c r="G34" s="8">
        <f t="shared" si="3"/>
        <v>1388096.161</v>
      </c>
      <c r="H34" s="8">
        <f t="shared" si="4"/>
        <v>60397711.99</v>
      </c>
      <c r="J34" s="5"/>
    </row>
    <row r="35" ht="15.75" customHeight="1">
      <c r="B35" s="2"/>
      <c r="C35" s="30">
        <v>46482.0</v>
      </c>
      <c r="D35" s="8">
        <f t="shared" si="1"/>
        <v>2005954.242</v>
      </c>
      <c r="E35" s="46"/>
      <c r="F35" s="8">
        <f t="shared" si="2"/>
        <v>603977.1199</v>
      </c>
      <c r="G35" s="8">
        <f t="shared" si="3"/>
        <v>1401977.122</v>
      </c>
      <c r="H35" s="8">
        <f t="shared" si="4"/>
        <v>58995734.87</v>
      </c>
      <c r="J35" s="5"/>
    </row>
    <row r="36" ht="15.75" customHeight="1">
      <c r="B36" s="2"/>
      <c r="C36" s="30">
        <v>46512.0</v>
      </c>
      <c r="D36" s="8">
        <f t="shared" si="1"/>
        <v>2005954.242</v>
      </c>
      <c r="E36" s="46"/>
      <c r="F36" s="8">
        <f t="shared" si="2"/>
        <v>589957.3487</v>
      </c>
      <c r="G36" s="8">
        <f t="shared" si="3"/>
        <v>1415996.894</v>
      </c>
      <c r="H36" s="8">
        <f t="shared" si="4"/>
        <v>57579737.97</v>
      </c>
      <c r="J36" s="5"/>
    </row>
    <row r="37" ht="15.75" customHeight="1">
      <c r="B37" s="2"/>
      <c r="C37" s="30">
        <v>46543.0</v>
      </c>
      <c r="D37" s="8">
        <f t="shared" si="1"/>
        <v>2005954.242</v>
      </c>
      <c r="E37" s="46"/>
      <c r="F37" s="8">
        <f t="shared" si="2"/>
        <v>575797.3797</v>
      </c>
      <c r="G37" s="8">
        <f t="shared" si="3"/>
        <v>1430156.862</v>
      </c>
      <c r="H37" s="8">
        <f t="shared" si="4"/>
        <v>56149581.11</v>
      </c>
      <c r="J37" s="5"/>
    </row>
    <row r="38" ht="15.75" customHeight="1">
      <c r="B38" s="2"/>
      <c r="C38" s="30">
        <v>46573.0</v>
      </c>
      <c r="D38" s="8">
        <f t="shared" si="1"/>
        <v>2005954.242</v>
      </c>
      <c r="E38" s="46"/>
      <c r="F38" s="8">
        <f t="shared" si="2"/>
        <v>561495.8111</v>
      </c>
      <c r="G38" s="8">
        <f t="shared" si="3"/>
        <v>1444458.431</v>
      </c>
      <c r="H38" s="8">
        <f t="shared" si="4"/>
        <v>54705122.68</v>
      </c>
      <c r="J38" s="5"/>
    </row>
    <row r="39" ht="15.75" customHeight="1">
      <c r="B39" s="2"/>
      <c r="C39" s="30">
        <v>46604.0</v>
      </c>
      <c r="D39" s="8">
        <f t="shared" si="1"/>
        <v>2005954.242</v>
      </c>
      <c r="E39" s="46"/>
      <c r="F39" s="8">
        <f t="shared" si="2"/>
        <v>547051.2268</v>
      </c>
      <c r="G39" s="8">
        <f t="shared" si="3"/>
        <v>1458903.015</v>
      </c>
      <c r="H39" s="8">
        <f t="shared" si="4"/>
        <v>53246219.66</v>
      </c>
      <c r="J39" s="5"/>
    </row>
    <row r="40" ht="15.75" customHeight="1">
      <c r="B40" s="2"/>
      <c r="C40" s="30">
        <v>46635.0</v>
      </c>
      <c r="D40" s="8">
        <f t="shared" si="1"/>
        <v>2005954.242</v>
      </c>
      <c r="E40" s="46"/>
      <c r="F40" s="8">
        <f t="shared" si="2"/>
        <v>532462.1966</v>
      </c>
      <c r="G40" s="8">
        <f t="shared" si="3"/>
        <v>1473492.046</v>
      </c>
      <c r="H40" s="8">
        <f t="shared" si="4"/>
        <v>51772727.62</v>
      </c>
      <c r="J40" s="5"/>
    </row>
    <row r="41" ht="15.75" customHeight="1">
      <c r="B41" s="2"/>
      <c r="C41" s="30">
        <v>46665.0</v>
      </c>
      <c r="D41" s="8">
        <f t="shared" si="1"/>
        <v>2005954.242</v>
      </c>
      <c r="E41" s="46"/>
      <c r="F41" s="8">
        <f t="shared" si="2"/>
        <v>517727.2762</v>
      </c>
      <c r="G41" s="8">
        <f t="shared" si="3"/>
        <v>1488226.966</v>
      </c>
      <c r="H41" s="8">
        <f t="shared" si="4"/>
        <v>50284500.65</v>
      </c>
      <c r="J41" s="5"/>
    </row>
    <row r="42" ht="15.75" customHeight="1">
      <c r="B42" s="2"/>
      <c r="C42" s="30">
        <v>46696.0</v>
      </c>
      <c r="D42" s="8">
        <f t="shared" si="1"/>
        <v>2005954.242</v>
      </c>
      <c r="E42" s="46"/>
      <c r="F42" s="8">
        <f t="shared" si="2"/>
        <v>502845.0065</v>
      </c>
      <c r="G42" s="8">
        <f t="shared" si="3"/>
        <v>1503109.236</v>
      </c>
      <c r="H42" s="8">
        <f t="shared" si="4"/>
        <v>48781391.42</v>
      </c>
      <c r="J42" s="5"/>
    </row>
    <row r="43" ht="15.75" customHeight="1">
      <c r="B43" s="2"/>
      <c r="C43" s="30">
        <v>46726.0</v>
      </c>
      <c r="D43" s="8">
        <f t="shared" si="1"/>
        <v>2005954.242</v>
      </c>
      <c r="E43" s="46"/>
      <c r="F43" s="8">
        <f t="shared" si="2"/>
        <v>487813.9142</v>
      </c>
      <c r="G43" s="8">
        <f t="shared" si="3"/>
        <v>1518140.328</v>
      </c>
      <c r="H43" s="8">
        <f t="shared" si="4"/>
        <v>47263251.09</v>
      </c>
      <c r="J43" s="5"/>
    </row>
    <row r="44" ht="15.75" customHeight="1">
      <c r="B44" s="2"/>
      <c r="C44" s="30">
        <v>46757.0</v>
      </c>
      <c r="D44" s="8">
        <f t="shared" si="1"/>
        <v>2005954.242</v>
      </c>
      <c r="E44" s="46"/>
      <c r="F44" s="8">
        <f t="shared" si="2"/>
        <v>472632.5109</v>
      </c>
      <c r="G44" s="8">
        <f t="shared" si="3"/>
        <v>1533321.731</v>
      </c>
      <c r="H44" s="8">
        <f t="shared" si="4"/>
        <v>45729929.36</v>
      </c>
      <c r="J44" s="5"/>
    </row>
    <row r="45" ht="15.75" customHeight="1">
      <c r="B45" s="2"/>
      <c r="C45" s="30">
        <v>46788.0</v>
      </c>
      <c r="D45" s="8">
        <f t="shared" si="1"/>
        <v>2005954.242</v>
      </c>
      <c r="E45" s="46"/>
      <c r="F45" s="8">
        <f t="shared" si="2"/>
        <v>457299.2936</v>
      </c>
      <c r="G45" s="8">
        <f t="shared" si="3"/>
        <v>1548654.949</v>
      </c>
      <c r="H45" s="8">
        <f t="shared" si="4"/>
        <v>44181274.41</v>
      </c>
      <c r="J45" s="5"/>
    </row>
    <row r="46" ht="15.75" customHeight="1">
      <c r="B46" s="2"/>
      <c r="C46" s="30">
        <v>46817.0</v>
      </c>
      <c r="D46" s="8">
        <f t="shared" si="1"/>
        <v>2005954.242</v>
      </c>
      <c r="E46" s="46"/>
      <c r="F46" s="8">
        <f t="shared" si="2"/>
        <v>441812.7441</v>
      </c>
      <c r="G46" s="8">
        <f t="shared" si="3"/>
        <v>1564141.498</v>
      </c>
      <c r="H46" s="8">
        <f t="shared" si="4"/>
        <v>42617132.91</v>
      </c>
      <c r="J46" s="5"/>
    </row>
    <row r="47" ht="15.75" customHeight="1">
      <c r="B47" s="2"/>
      <c r="C47" s="30">
        <v>46848.0</v>
      </c>
      <c r="D47" s="8">
        <f t="shared" si="1"/>
        <v>2005954.242</v>
      </c>
      <c r="E47" s="46"/>
      <c r="F47" s="8">
        <f t="shared" si="2"/>
        <v>426171.3291</v>
      </c>
      <c r="G47" s="8">
        <f t="shared" si="3"/>
        <v>1579782.913</v>
      </c>
      <c r="H47" s="8">
        <f t="shared" si="4"/>
        <v>41037350</v>
      </c>
      <c r="J47" s="5"/>
    </row>
    <row r="48" ht="15.75" customHeight="1">
      <c r="B48" s="2"/>
      <c r="C48" s="30">
        <v>46878.0</v>
      </c>
      <c r="D48" s="8">
        <f t="shared" si="1"/>
        <v>2005954.242</v>
      </c>
      <c r="E48" s="46"/>
      <c r="F48" s="8">
        <f t="shared" si="2"/>
        <v>410373.5</v>
      </c>
      <c r="G48" s="8">
        <f t="shared" si="3"/>
        <v>1595580.742</v>
      </c>
      <c r="H48" s="8">
        <f t="shared" si="4"/>
        <v>39441769.26</v>
      </c>
      <c r="J48" s="5"/>
    </row>
    <row r="49" ht="15.75" customHeight="1">
      <c r="B49" s="2"/>
      <c r="C49" s="30">
        <v>46909.0</v>
      </c>
      <c r="D49" s="8">
        <f t="shared" si="1"/>
        <v>2005954.242</v>
      </c>
      <c r="E49" s="46"/>
      <c r="F49" s="8">
        <f t="shared" si="2"/>
        <v>394417.6926</v>
      </c>
      <c r="G49" s="8">
        <f t="shared" si="3"/>
        <v>1611536.55</v>
      </c>
      <c r="H49" s="8">
        <f t="shared" si="4"/>
        <v>37830232.71</v>
      </c>
      <c r="J49" s="5"/>
    </row>
    <row r="50" ht="15.75" customHeight="1">
      <c r="B50" s="2"/>
      <c r="C50" s="30">
        <v>46939.0</v>
      </c>
      <c r="D50" s="8">
        <f t="shared" si="1"/>
        <v>2005954.242</v>
      </c>
      <c r="E50" s="46"/>
      <c r="F50" s="8">
        <f t="shared" si="2"/>
        <v>378302.3271</v>
      </c>
      <c r="G50" s="8">
        <f t="shared" si="3"/>
        <v>1627651.915</v>
      </c>
      <c r="H50" s="8">
        <f t="shared" si="4"/>
        <v>36202580.79</v>
      </c>
      <c r="J50" s="5"/>
    </row>
    <row r="51" ht="15.75" customHeight="1">
      <c r="B51" s="2"/>
      <c r="C51" s="30">
        <v>46970.0</v>
      </c>
      <c r="D51" s="8">
        <f t="shared" si="1"/>
        <v>2005954.242</v>
      </c>
      <c r="E51" s="46"/>
      <c r="F51" s="8">
        <f t="shared" si="2"/>
        <v>362025.8079</v>
      </c>
      <c r="G51" s="8">
        <f t="shared" si="3"/>
        <v>1643928.434</v>
      </c>
      <c r="H51" s="8">
        <f t="shared" si="4"/>
        <v>34558652.36</v>
      </c>
      <c r="J51" s="5"/>
    </row>
    <row r="52" ht="15.75" customHeight="1">
      <c r="B52" s="2"/>
      <c r="C52" s="30">
        <v>47001.0</v>
      </c>
      <c r="D52" s="8">
        <f t="shared" si="1"/>
        <v>2005954.242</v>
      </c>
      <c r="E52" s="46"/>
      <c r="F52" s="8">
        <f t="shared" si="2"/>
        <v>345586.5236</v>
      </c>
      <c r="G52" s="8">
        <f t="shared" si="3"/>
        <v>1660367.719</v>
      </c>
      <c r="H52" s="8">
        <f t="shared" si="4"/>
        <v>32898284.64</v>
      </c>
      <c r="J52" s="5"/>
    </row>
    <row r="53" ht="15.75" customHeight="1">
      <c r="B53" s="2"/>
      <c r="C53" s="30">
        <v>47031.0</v>
      </c>
      <c r="D53" s="8">
        <f t="shared" si="1"/>
        <v>2005954.242</v>
      </c>
      <c r="E53" s="46"/>
      <c r="F53" s="8">
        <f t="shared" si="2"/>
        <v>328982.8464</v>
      </c>
      <c r="G53" s="8">
        <f t="shared" si="3"/>
        <v>1676971.396</v>
      </c>
      <c r="H53" s="8">
        <f t="shared" si="4"/>
        <v>31221313.24</v>
      </c>
      <c r="J53" s="5"/>
    </row>
    <row r="54" ht="15.75" customHeight="1">
      <c r="B54" s="2"/>
      <c r="C54" s="30">
        <v>47062.0</v>
      </c>
      <c r="D54" s="8">
        <f t="shared" si="1"/>
        <v>2005954.242</v>
      </c>
      <c r="E54" s="46"/>
      <c r="F54" s="8">
        <f t="shared" si="2"/>
        <v>312213.1324</v>
      </c>
      <c r="G54" s="8">
        <f t="shared" si="3"/>
        <v>1693741.11</v>
      </c>
      <c r="H54" s="8">
        <f t="shared" si="4"/>
        <v>29527572.13</v>
      </c>
      <c r="J54" s="5"/>
    </row>
    <row r="55" ht="15.75" customHeight="1">
      <c r="B55" s="2"/>
      <c r="C55" s="30">
        <v>47092.0</v>
      </c>
      <c r="D55" s="8">
        <f t="shared" si="1"/>
        <v>2005954.242</v>
      </c>
      <c r="E55" s="46"/>
      <c r="F55" s="8">
        <f t="shared" si="2"/>
        <v>295275.7213</v>
      </c>
      <c r="G55" s="8">
        <f t="shared" si="3"/>
        <v>1710678.521</v>
      </c>
      <c r="H55" s="8">
        <f t="shared" si="4"/>
        <v>27816893.61</v>
      </c>
      <c r="J55" s="5"/>
    </row>
    <row r="56" ht="15.75" customHeight="1">
      <c r="B56" s="2"/>
      <c r="C56" s="30">
        <v>47123.0</v>
      </c>
      <c r="D56" s="8">
        <f t="shared" si="1"/>
        <v>2005954.242</v>
      </c>
      <c r="E56" s="46"/>
      <c r="F56" s="8">
        <f t="shared" si="2"/>
        <v>278168.9361</v>
      </c>
      <c r="G56" s="8">
        <f t="shared" si="3"/>
        <v>1727785.306</v>
      </c>
      <c r="H56" s="8">
        <f t="shared" si="4"/>
        <v>26089108.31</v>
      </c>
      <c r="J56" s="5"/>
    </row>
    <row r="57" ht="15.75" customHeight="1">
      <c r="B57" s="2"/>
      <c r="C57" s="30">
        <v>47154.0</v>
      </c>
      <c r="D57" s="8">
        <f t="shared" si="1"/>
        <v>2005954.242</v>
      </c>
      <c r="E57" s="46"/>
      <c r="F57" s="8">
        <f t="shared" si="2"/>
        <v>260891.0831</v>
      </c>
      <c r="G57" s="8">
        <f t="shared" si="3"/>
        <v>1745063.159</v>
      </c>
      <c r="H57" s="8">
        <f t="shared" si="4"/>
        <v>24344045.15</v>
      </c>
      <c r="J57" s="5"/>
    </row>
    <row r="58" ht="15.75" customHeight="1">
      <c r="B58" s="2"/>
      <c r="C58" s="30">
        <v>47182.0</v>
      </c>
      <c r="D58" s="8">
        <f t="shared" si="1"/>
        <v>2005954.242</v>
      </c>
      <c r="E58" s="46"/>
      <c r="F58" s="8">
        <f t="shared" si="2"/>
        <v>243440.4515</v>
      </c>
      <c r="G58" s="8">
        <f t="shared" si="3"/>
        <v>1762513.791</v>
      </c>
      <c r="H58" s="8">
        <f t="shared" si="4"/>
        <v>22581531.36</v>
      </c>
      <c r="J58" s="5"/>
    </row>
    <row r="59" ht="15.75" customHeight="1">
      <c r="B59" s="2"/>
      <c r="C59" s="30">
        <v>47213.0</v>
      </c>
      <c r="D59" s="8">
        <f t="shared" si="1"/>
        <v>2005954.242</v>
      </c>
      <c r="E59" s="46"/>
      <c r="F59" s="8">
        <f t="shared" si="2"/>
        <v>225815.3136</v>
      </c>
      <c r="G59" s="8">
        <f t="shared" si="3"/>
        <v>1780138.929</v>
      </c>
      <c r="H59" s="8">
        <f t="shared" si="4"/>
        <v>20801392.43</v>
      </c>
      <c r="J59" s="5"/>
    </row>
    <row r="60" ht="15.75" customHeight="1">
      <c r="B60" s="2"/>
      <c r="C60" s="30">
        <v>47243.0</v>
      </c>
      <c r="D60" s="8">
        <f t="shared" si="1"/>
        <v>2005954.242</v>
      </c>
      <c r="E60" s="46"/>
      <c r="F60" s="8">
        <f t="shared" si="2"/>
        <v>208013.9243</v>
      </c>
      <c r="G60" s="8">
        <f t="shared" si="3"/>
        <v>1797940.318</v>
      </c>
      <c r="H60" s="8">
        <f t="shared" si="4"/>
        <v>19003452.11</v>
      </c>
      <c r="J60" s="5"/>
    </row>
    <row r="61" ht="15.75" customHeight="1">
      <c r="B61" s="2"/>
      <c r="C61" s="30">
        <v>47274.0</v>
      </c>
      <c r="D61" s="8">
        <f t="shared" si="1"/>
        <v>2005954.242</v>
      </c>
      <c r="E61" s="46"/>
      <c r="F61" s="8">
        <f t="shared" si="2"/>
        <v>190034.5211</v>
      </c>
      <c r="G61" s="8">
        <f t="shared" si="3"/>
        <v>1815919.721</v>
      </c>
      <c r="H61" s="8">
        <f t="shared" si="4"/>
        <v>17187532.39</v>
      </c>
      <c r="J61" s="5"/>
    </row>
    <row r="62" ht="15.75" customHeight="1">
      <c r="B62" s="2"/>
      <c r="C62" s="30">
        <v>47304.0</v>
      </c>
      <c r="D62" s="8">
        <f t="shared" si="1"/>
        <v>2005954.242</v>
      </c>
      <c r="E62" s="46"/>
      <c r="F62" s="8">
        <f t="shared" si="2"/>
        <v>171875.3239</v>
      </c>
      <c r="G62" s="8">
        <f t="shared" si="3"/>
        <v>1834078.918</v>
      </c>
      <c r="H62" s="8">
        <f t="shared" si="4"/>
        <v>15353453.47</v>
      </c>
      <c r="J62" s="5"/>
    </row>
    <row r="63" ht="15.75" customHeight="1">
      <c r="B63" s="2"/>
      <c r="C63" s="30">
        <v>47335.0</v>
      </c>
      <c r="D63" s="8">
        <f t="shared" si="1"/>
        <v>2005954.242</v>
      </c>
      <c r="E63" s="46"/>
      <c r="F63" s="8">
        <f t="shared" si="2"/>
        <v>153534.5347</v>
      </c>
      <c r="G63" s="8">
        <f t="shared" si="3"/>
        <v>1852419.708</v>
      </c>
      <c r="H63" s="8">
        <f t="shared" si="4"/>
        <v>13501033.76</v>
      </c>
      <c r="J63" s="5"/>
    </row>
    <row r="64" ht="15.75" customHeight="1">
      <c r="B64" s="2"/>
      <c r="C64" s="30">
        <v>47366.0</v>
      </c>
      <c r="D64" s="8">
        <f t="shared" si="1"/>
        <v>2005954.242</v>
      </c>
      <c r="E64" s="46"/>
      <c r="F64" s="8">
        <f t="shared" si="2"/>
        <v>135010.3376</v>
      </c>
      <c r="G64" s="8">
        <f t="shared" si="3"/>
        <v>1870943.905</v>
      </c>
      <c r="H64" s="8">
        <f t="shared" si="4"/>
        <v>11630089.86</v>
      </c>
      <c r="J64" s="5"/>
    </row>
    <row r="65" ht="15.75" customHeight="1">
      <c r="B65" s="2"/>
      <c r="C65" s="30">
        <v>47396.0</v>
      </c>
      <c r="D65" s="8">
        <f t="shared" si="1"/>
        <v>2005954.242</v>
      </c>
      <c r="E65" s="46"/>
      <c r="F65" s="8">
        <f t="shared" si="2"/>
        <v>116300.8986</v>
      </c>
      <c r="G65" s="8">
        <f t="shared" si="3"/>
        <v>1889653.344</v>
      </c>
      <c r="H65" s="8">
        <f t="shared" si="4"/>
        <v>9740436.514</v>
      </c>
      <c r="J65" s="5"/>
    </row>
    <row r="66" ht="15.75" customHeight="1">
      <c r="B66" s="2"/>
      <c r="C66" s="30">
        <v>47427.0</v>
      </c>
      <c r="D66" s="8">
        <f t="shared" si="1"/>
        <v>2005954.242</v>
      </c>
      <c r="E66" s="46"/>
      <c r="F66" s="8">
        <f t="shared" si="2"/>
        <v>97404.36514</v>
      </c>
      <c r="G66" s="8">
        <f t="shared" si="3"/>
        <v>1908549.877</v>
      </c>
      <c r="H66" s="8">
        <f t="shared" si="4"/>
        <v>7831886.637</v>
      </c>
      <c r="J66" s="5"/>
    </row>
    <row r="67" ht="15.75" customHeight="1">
      <c r="B67" s="2"/>
      <c r="C67" s="30">
        <v>47457.0</v>
      </c>
      <c r="D67" s="8">
        <f t="shared" si="1"/>
        <v>2005954.242</v>
      </c>
      <c r="E67" s="46"/>
      <c r="F67" s="8">
        <f t="shared" si="2"/>
        <v>78318.86637</v>
      </c>
      <c r="G67" s="8">
        <f t="shared" si="3"/>
        <v>1927635.376</v>
      </c>
      <c r="H67" s="8">
        <f t="shared" si="4"/>
        <v>5904251.261</v>
      </c>
      <c r="J67" s="5"/>
    </row>
    <row r="68" ht="15.75" customHeight="1">
      <c r="B68" s="2"/>
      <c r="C68" s="30">
        <v>47488.0</v>
      </c>
      <c r="D68" s="8">
        <f t="shared" si="1"/>
        <v>2005954.242</v>
      </c>
      <c r="E68" s="46"/>
      <c r="F68" s="8">
        <f t="shared" si="2"/>
        <v>59042.51261</v>
      </c>
      <c r="G68" s="8">
        <f t="shared" si="3"/>
        <v>1946911.73</v>
      </c>
      <c r="H68" s="8">
        <f t="shared" si="4"/>
        <v>3957339.532</v>
      </c>
      <c r="J68" s="5"/>
    </row>
    <row r="69" ht="15.75" customHeight="1">
      <c r="B69" s="2"/>
      <c r="C69" s="30">
        <v>47519.0</v>
      </c>
      <c r="D69" s="8">
        <f t="shared" si="1"/>
        <v>2005954.242</v>
      </c>
      <c r="E69" s="46"/>
      <c r="F69" s="8">
        <f t="shared" si="2"/>
        <v>39573.39532</v>
      </c>
      <c r="G69" s="8">
        <f t="shared" si="3"/>
        <v>1966380.847</v>
      </c>
      <c r="H69" s="8">
        <f t="shared" si="4"/>
        <v>1990958.685</v>
      </c>
      <c r="J69" s="5"/>
    </row>
    <row r="70" ht="15.75" customHeight="1">
      <c r="B70" s="2"/>
      <c r="C70" s="30">
        <v>47547.0</v>
      </c>
      <c r="D70" s="8">
        <f t="shared" si="1"/>
        <v>2005954.242</v>
      </c>
      <c r="E70" s="46"/>
      <c r="F70" s="8">
        <f t="shared" si="2"/>
        <v>19909.58685</v>
      </c>
      <c r="G70" s="8">
        <f t="shared" si="3"/>
        <v>1986044.655</v>
      </c>
      <c r="H70" s="8">
        <f t="shared" si="4"/>
        <v>4914.029394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264</v>
      </c>
      <c r="J1" s="5"/>
    </row>
    <row r="2" ht="15.75" customHeight="1">
      <c r="B2" s="2"/>
      <c r="C2" s="1" t="s">
        <v>6</v>
      </c>
      <c r="D2" s="6">
        <f>A5*10%</f>
        <v>10019750</v>
      </c>
      <c r="E2" s="7"/>
      <c r="J2" s="5"/>
    </row>
    <row r="3" ht="15.75" customHeight="1">
      <c r="B3" s="2"/>
      <c r="C3" s="1" t="s">
        <v>7</v>
      </c>
      <c r="D3" s="8">
        <f>+A5-D2</f>
        <v>90177750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1.001975E8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2005954.242</v>
      </c>
      <c r="E6" s="12"/>
      <c r="H6" s="5"/>
      <c r="J6" s="5"/>
    </row>
    <row r="7" ht="15.75" customHeight="1">
      <c r="B7" s="2"/>
      <c r="C7" s="1" t="s">
        <v>12</v>
      </c>
      <c r="D7" s="8" t="s">
        <v>265</v>
      </c>
      <c r="E7" s="12"/>
      <c r="H7" s="5"/>
      <c r="J7" s="5"/>
    </row>
    <row r="8" ht="15.75" customHeight="1">
      <c r="B8" s="2"/>
      <c r="C8" s="1" t="s">
        <v>16</v>
      </c>
      <c r="D8" s="62">
        <v>1.085935379E9</v>
      </c>
      <c r="E8" s="12"/>
      <c r="H8" s="5"/>
      <c r="I8" s="17"/>
      <c r="J8" s="19"/>
      <c r="K8" s="17"/>
      <c r="L8" s="21" t="s">
        <v>266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90177750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1.30377005E8</v>
      </c>
      <c r="U10" s="25"/>
    </row>
    <row r="11" ht="15.75" customHeight="1">
      <c r="A11" s="29">
        <v>45779.0</v>
      </c>
      <c r="B11" s="2" t="s">
        <v>267</v>
      </c>
      <c r="C11" s="30">
        <v>45782.0</v>
      </c>
      <c r="D11" s="8">
        <f t="shared" ref="D11:D70" si="1">$D$6</f>
        <v>2005954.242</v>
      </c>
      <c r="E11" s="15">
        <f>2020000-D11</f>
        <v>14045.75778</v>
      </c>
      <c r="F11" s="8">
        <f t="shared" ref="F11:F70" si="2">+H10*$D$4</f>
        <v>901777.5</v>
      </c>
      <c r="G11" s="8">
        <f t="shared" ref="G11:G70" si="3">+D11+E11-F11</f>
        <v>1118222.5</v>
      </c>
      <c r="H11" s="8">
        <f t="shared" ref="H11:H70" si="4">+H10-G11</f>
        <v>89059527.5</v>
      </c>
      <c r="J11" s="5"/>
      <c r="L11" s="33">
        <v>45692.0</v>
      </c>
      <c r="M11" s="34" t="s">
        <v>44</v>
      </c>
      <c r="N11" s="35" t="s">
        <v>268</v>
      </c>
      <c r="O11" s="36"/>
      <c r="P11" s="36">
        <v>5000000.0</v>
      </c>
      <c r="Q11" s="36"/>
      <c r="R11" s="36"/>
      <c r="S11" s="36">
        <f t="shared" ref="S11:S28" si="5">SUM(O11:R11)</f>
        <v>5000000</v>
      </c>
      <c r="T11" s="36">
        <f t="shared" ref="T11:T28" si="6">T10-S11</f>
        <v>125377005</v>
      </c>
      <c r="U11" s="34"/>
    </row>
    <row r="12" ht="15.75" customHeight="1">
      <c r="A12" s="29">
        <v>45811.0</v>
      </c>
      <c r="B12" s="2" t="s">
        <v>269</v>
      </c>
      <c r="C12" s="30">
        <v>45813.0</v>
      </c>
      <c r="D12" s="8">
        <f t="shared" si="1"/>
        <v>2005954.242</v>
      </c>
      <c r="E12" s="15">
        <f>2007000-D12</f>
        <v>1045.757783</v>
      </c>
      <c r="F12" s="8">
        <f t="shared" si="2"/>
        <v>890595.275</v>
      </c>
      <c r="G12" s="8">
        <f t="shared" si="3"/>
        <v>1116404.725</v>
      </c>
      <c r="H12" s="8">
        <f t="shared" si="4"/>
        <v>87943122.78</v>
      </c>
      <c r="J12" s="5"/>
      <c r="L12" s="33">
        <v>45763.0</v>
      </c>
      <c r="M12" s="34" t="s">
        <v>44</v>
      </c>
      <c r="N12" s="35" t="s">
        <v>270</v>
      </c>
      <c r="O12" s="36"/>
      <c r="P12" s="36">
        <v>5020000.0</v>
      </c>
      <c r="Q12" s="36"/>
      <c r="R12" s="36"/>
      <c r="S12" s="36">
        <f t="shared" si="5"/>
        <v>5020000</v>
      </c>
      <c r="T12" s="36">
        <f t="shared" si="6"/>
        <v>120357005</v>
      </c>
      <c r="U12" s="34"/>
    </row>
    <row r="13" ht="15.75" customHeight="1">
      <c r="A13" s="29">
        <v>45843.0</v>
      </c>
      <c r="B13" s="2" t="s">
        <v>271</v>
      </c>
      <c r="C13" s="30">
        <v>45843.0</v>
      </c>
      <c r="D13" s="8">
        <f t="shared" si="1"/>
        <v>2005954.242</v>
      </c>
      <c r="E13" s="15"/>
      <c r="F13" s="8">
        <f t="shared" si="2"/>
        <v>879431.2278</v>
      </c>
      <c r="G13" s="8">
        <f t="shared" si="3"/>
        <v>1126523.014</v>
      </c>
      <c r="H13" s="8">
        <f t="shared" si="4"/>
        <v>86816599.76</v>
      </c>
      <c r="J13" s="5" t="s">
        <v>56</v>
      </c>
      <c r="L13" s="33">
        <v>45779.0</v>
      </c>
      <c r="M13" s="34" t="s">
        <v>73</v>
      </c>
      <c r="N13" s="35" t="s">
        <v>267</v>
      </c>
      <c r="O13" s="36"/>
      <c r="P13" s="36">
        <v>2020000.0</v>
      </c>
      <c r="Q13" s="36"/>
      <c r="R13" s="36"/>
      <c r="S13" s="36">
        <f t="shared" si="5"/>
        <v>2020000</v>
      </c>
      <c r="T13" s="36">
        <f t="shared" si="6"/>
        <v>118337005</v>
      </c>
      <c r="U13" s="34"/>
    </row>
    <row r="14" ht="15.75" customHeight="1">
      <c r="A14" s="29">
        <v>45873.0</v>
      </c>
      <c r="B14" s="2" t="s">
        <v>272</v>
      </c>
      <c r="C14" s="30">
        <v>45874.0</v>
      </c>
      <c r="D14" s="8">
        <f t="shared" si="1"/>
        <v>2005954.242</v>
      </c>
      <c r="E14" s="15">
        <f>2005000+1046-D14</f>
        <v>91.75778285</v>
      </c>
      <c r="F14" s="8">
        <f t="shared" si="2"/>
        <v>868165.9976</v>
      </c>
      <c r="G14" s="8">
        <f t="shared" si="3"/>
        <v>1137880.002</v>
      </c>
      <c r="H14" s="8">
        <f t="shared" si="4"/>
        <v>85678719.76</v>
      </c>
      <c r="J14" s="8">
        <f>+H10</f>
        <v>90177750</v>
      </c>
      <c r="L14" s="33">
        <v>45811.0</v>
      </c>
      <c r="M14" s="34" t="s">
        <v>78</v>
      </c>
      <c r="N14" s="35" t="s">
        <v>269</v>
      </c>
      <c r="O14" s="36"/>
      <c r="P14" s="36">
        <v>2007000.0</v>
      </c>
      <c r="Q14" s="36"/>
      <c r="R14" s="36"/>
      <c r="S14" s="36">
        <f t="shared" si="5"/>
        <v>2007000</v>
      </c>
      <c r="T14" s="36">
        <f t="shared" si="6"/>
        <v>116330005</v>
      </c>
      <c r="U14" s="34"/>
    </row>
    <row r="15" ht="15.75" customHeight="1">
      <c r="A15" s="29">
        <v>45905.0</v>
      </c>
      <c r="B15" s="2" t="s">
        <v>273</v>
      </c>
      <c r="C15" s="30">
        <v>45905.0</v>
      </c>
      <c r="D15" s="8">
        <f t="shared" si="1"/>
        <v>2005954.242</v>
      </c>
      <c r="E15" s="15">
        <f>2010000-D15</f>
        <v>4045.757783</v>
      </c>
      <c r="F15" s="8">
        <f t="shared" si="2"/>
        <v>856787.1976</v>
      </c>
      <c r="G15" s="8">
        <f t="shared" si="3"/>
        <v>1153212.802</v>
      </c>
      <c r="H15" s="8">
        <f t="shared" si="4"/>
        <v>84525506.96</v>
      </c>
      <c r="J15" s="5"/>
      <c r="L15" s="33">
        <v>45843.0</v>
      </c>
      <c r="M15" s="34" t="s">
        <v>83</v>
      </c>
      <c r="N15" s="35" t="s">
        <v>271</v>
      </c>
      <c r="O15" s="36"/>
      <c r="P15" s="36">
        <v>2007000.0</v>
      </c>
      <c r="Q15" s="36"/>
      <c r="R15" s="36"/>
      <c r="S15" s="36">
        <f t="shared" si="5"/>
        <v>2007000</v>
      </c>
      <c r="T15" s="36">
        <f t="shared" si="6"/>
        <v>114323005</v>
      </c>
      <c r="U15" s="34"/>
    </row>
    <row r="16" ht="15.75" customHeight="1">
      <c r="A16" s="29">
        <v>45934.0</v>
      </c>
      <c r="B16" s="2" t="s">
        <v>274</v>
      </c>
      <c r="C16" s="30">
        <v>45935.0</v>
      </c>
      <c r="D16" s="8">
        <f t="shared" si="1"/>
        <v>2005954.242</v>
      </c>
      <c r="E16" s="15">
        <f>2008000-D16</f>
        <v>2045.757783</v>
      </c>
      <c r="F16" s="8">
        <f t="shared" si="2"/>
        <v>845255.0696</v>
      </c>
      <c r="G16" s="8">
        <f t="shared" si="3"/>
        <v>1162744.93</v>
      </c>
      <c r="H16" s="8">
        <f t="shared" si="4"/>
        <v>83362762.03</v>
      </c>
      <c r="J16" s="5"/>
      <c r="L16" s="33">
        <v>45873.0</v>
      </c>
      <c r="M16" s="34" t="s">
        <v>85</v>
      </c>
      <c r="N16" s="35" t="s">
        <v>272</v>
      </c>
      <c r="O16" s="36"/>
      <c r="P16" s="36">
        <v>2005000.0</v>
      </c>
      <c r="Q16" s="36"/>
      <c r="R16" s="36"/>
      <c r="S16" s="36">
        <f t="shared" si="5"/>
        <v>2005000</v>
      </c>
      <c r="T16" s="36">
        <f t="shared" si="6"/>
        <v>112318005</v>
      </c>
      <c r="U16" s="34"/>
    </row>
    <row r="17" ht="15.75" customHeight="1">
      <c r="A17" s="29">
        <v>45966.0</v>
      </c>
      <c r="B17" s="2" t="s">
        <v>275</v>
      </c>
      <c r="C17" s="30">
        <v>45966.0</v>
      </c>
      <c r="D17" s="8">
        <f t="shared" si="1"/>
        <v>2005954.242</v>
      </c>
      <c r="E17" s="15">
        <f t="shared" ref="E17:E20" si="7">2010000-D17</f>
        <v>4045.757783</v>
      </c>
      <c r="F17" s="8">
        <f t="shared" si="2"/>
        <v>833627.6203</v>
      </c>
      <c r="G17" s="8">
        <f t="shared" si="3"/>
        <v>1176372.38</v>
      </c>
      <c r="H17" s="8">
        <f t="shared" si="4"/>
        <v>82186389.65</v>
      </c>
      <c r="J17" s="5"/>
      <c r="L17" s="33">
        <v>45905.0</v>
      </c>
      <c r="M17" s="34" t="s">
        <v>89</v>
      </c>
      <c r="N17" s="35" t="s">
        <v>273</v>
      </c>
      <c r="O17" s="36"/>
      <c r="P17" s="36">
        <v>2010000.0</v>
      </c>
      <c r="Q17" s="36"/>
      <c r="R17" s="36"/>
      <c r="S17" s="36">
        <f t="shared" si="5"/>
        <v>2010000</v>
      </c>
      <c r="T17" s="36">
        <f t="shared" si="6"/>
        <v>110308005</v>
      </c>
      <c r="U17" s="34"/>
    </row>
    <row r="18" ht="15.75" customHeight="1">
      <c r="A18" s="29">
        <v>46007.0</v>
      </c>
      <c r="B18" s="2" t="s">
        <v>276</v>
      </c>
      <c r="C18" s="30">
        <v>45996.0</v>
      </c>
      <c r="D18" s="8">
        <f t="shared" si="1"/>
        <v>2005954.242</v>
      </c>
      <c r="E18" s="15">
        <f t="shared" si="7"/>
        <v>4045.757783</v>
      </c>
      <c r="F18" s="8">
        <f t="shared" si="2"/>
        <v>821863.8965</v>
      </c>
      <c r="G18" s="8">
        <f t="shared" si="3"/>
        <v>1188136.104</v>
      </c>
      <c r="H18" s="8">
        <f t="shared" si="4"/>
        <v>80998253.54</v>
      </c>
      <c r="J18" s="5"/>
      <c r="L18" s="33">
        <v>45934.0</v>
      </c>
      <c r="M18" s="34" t="s">
        <v>93</v>
      </c>
      <c r="N18" s="35" t="s">
        <v>274</v>
      </c>
      <c r="O18" s="36"/>
      <c r="P18" s="36">
        <v>2008000.0</v>
      </c>
      <c r="Q18" s="36"/>
      <c r="R18" s="36"/>
      <c r="S18" s="36">
        <f t="shared" si="5"/>
        <v>2008000</v>
      </c>
      <c r="T18" s="36">
        <f t="shared" si="6"/>
        <v>108300005</v>
      </c>
      <c r="U18" s="34"/>
    </row>
    <row r="19" ht="15.75" customHeight="1">
      <c r="A19" s="29">
        <v>46027.0</v>
      </c>
      <c r="B19" s="2" t="s">
        <v>277</v>
      </c>
      <c r="C19" s="30">
        <v>46027.0</v>
      </c>
      <c r="D19" s="8">
        <f t="shared" si="1"/>
        <v>2005954.242</v>
      </c>
      <c r="E19" s="15">
        <f t="shared" si="7"/>
        <v>4045.757783</v>
      </c>
      <c r="F19" s="8">
        <f t="shared" si="2"/>
        <v>809982.5354</v>
      </c>
      <c r="G19" s="8">
        <f t="shared" si="3"/>
        <v>1200017.465</v>
      </c>
      <c r="H19" s="8">
        <f t="shared" si="4"/>
        <v>79798236.08</v>
      </c>
      <c r="I19" s="1"/>
      <c r="J19" s="41"/>
      <c r="K19" s="1"/>
      <c r="L19" s="42">
        <v>45966.0</v>
      </c>
      <c r="M19" s="43" t="s">
        <v>96</v>
      </c>
      <c r="N19" s="44" t="s">
        <v>275</v>
      </c>
      <c r="O19" s="45"/>
      <c r="P19" s="45">
        <v>2010000.0</v>
      </c>
      <c r="Q19" s="45"/>
      <c r="R19" s="45"/>
      <c r="S19" s="45">
        <f t="shared" si="5"/>
        <v>2010000</v>
      </c>
      <c r="T19" s="45">
        <f t="shared" si="6"/>
        <v>106290005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46058.0</v>
      </c>
      <c r="B20" s="2" t="s">
        <v>278</v>
      </c>
      <c r="C20" s="30">
        <v>46058.0</v>
      </c>
      <c r="D20" s="8">
        <f t="shared" si="1"/>
        <v>2005954.242</v>
      </c>
      <c r="E20" s="15">
        <f t="shared" si="7"/>
        <v>4045.757783</v>
      </c>
      <c r="F20" s="8">
        <f t="shared" si="2"/>
        <v>797982.3608</v>
      </c>
      <c r="G20" s="8">
        <f t="shared" si="3"/>
        <v>1212017.639</v>
      </c>
      <c r="H20" s="8">
        <f t="shared" si="4"/>
        <v>78586218.44</v>
      </c>
      <c r="J20" s="5"/>
      <c r="L20" s="33">
        <v>46007.0</v>
      </c>
      <c r="M20" s="34" t="s">
        <v>100</v>
      </c>
      <c r="N20" s="35" t="s">
        <v>276</v>
      </c>
      <c r="O20" s="36"/>
      <c r="P20" s="36">
        <v>2010000.0</v>
      </c>
      <c r="Q20" s="36"/>
      <c r="R20" s="36"/>
      <c r="S20" s="36">
        <f t="shared" si="5"/>
        <v>2010000</v>
      </c>
      <c r="T20" s="36">
        <f t="shared" si="6"/>
        <v>104280005</v>
      </c>
      <c r="U20" s="34"/>
    </row>
    <row r="21" ht="15.75" customHeight="1">
      <c r="A21" s="29">
        <v>46086.0</v>
      </c>
      <c r="B21" s="2" t="s">
        <v>279</v>
      </c>
      <c r="C21" s="30">
        <v>46086.0</v>
      </c>
      <c r="D21" s="8">
        <f t="shared" si="1"/>
        <v>2005954.242</v>
      </c>
      <c r="E21" s="15"/>
      <c r="F21" s="8">
        <f t="shared" si="2"/>
        <v>785862.1844</v>
      </c>
      <c r="G21" s="8">
        <f t="shared" si="3"/>
        <v>1220092.058</v>
      </c>
      <c r="H21" s="8">
        <f t="shared" si="4"/>
        <v>77366126.38</v>
      </c>
      <c r="J21" s="5"/>
      <c r="L21" s="33">
        <v>46027.0</v>
      </c>
      <c r="M21" s="34" t="s">
        <v>103</v>
      </c>
      <c r="N21" s="35" t="s">
        <v>277</v>
      </c>
      <c r="O21" s="36"/>
      <c r="P21" s="36">
        <v>2010000.0</v>
      </c>
      <c r="Q21" s="36"/>
      <c r="R21" s="36"/>
      <c r="S21" s="36">
        <f t="shared" si="5"/>
        <v>2010000</v>
      </c>
      <c r="T21" s="36">
        <f t="shared" si="6"/>
        <v>102270005</v>
      </c>
      <c r="U21" s="34"/>
    </row>
    <row r="22" ht="15.75" customHeight="1">
      <c r="A22" s="29">
        <v>46118.0</v>
      </c>
      <c r="B22" s="2" t="s">
        <v>280</v>
      </c>
      <c r="C22" s="30">
        <v>46117.0</v>
      </c>
      <c r="D22" s="8">
        <f t="shared" si="1"/>
        <v>2005954.242</v>
      </c>
      <c r="E22" s="15"/>
      <c r="F22" s="8">
        <f t="shared" si="2"/>
        <v>773661.2638</v>
      </c>
      <c r="G22" s="8">
        <f t="shared" si="3"/>
        <v>1232292.978</v>
      </c>
      <c r="H22" s="8">
        <f t="shared" si="4"/>
        <v>76133833.4</v>
      </c>
      <c r="J22" s="5"/>
      <c r="L22" s="33">
        <v>46058.0</v>
      </c>
      <c r="M22" s="34" t="s">
        <v>107</v>
      </c>
      <c r="N22" s="35" t="s">
        <v>278</v>
      </c>
      <c r="O22" s="36"/>
      <c r="P22" s="36">
        <v>2010000.0</v>
      </c>
      <c r="Q22" s="36"/>
      <c r="R22" s="36"/>
      <c r="S22" s="36">
        <f t="shared" si="5"/>
        <v>2010000</v>
      </c>
      <c r="T22" s="36">
        <f t="shared" si="6"/>
        <v>100260005</v>
      </c>
      <c r="U22" s="34"/>
    </row>
    <row r="23" ht="15.75" customHeight="1">
      <c r="A23" s="29">
        <v>46147.0</v>
      </c>
      <c r="B23" s="2" t="s">
        <v>281</v>
      </c>
      <c r="C23" s="30">
        <v>46147.0</v>
      </c>
      <c r="D23" s="8">
        <f t="shared" si="1"/>
        <v>2005954.242</v>
      </c>
      <c r="E23" s="8"/>
      <c r="F23" s="8">
        <f t="shared" si="2"/>
        <v>761338.334</v>
      </c>
      <c r="G23" s="8">
        <f t="shared" si="3"/>
        <v>1244615.908</v>
      </c>
      <c r="H23" s="8">
        <f t="shared" si="4"/>
        <v>74889217.49</v>
      </c>
      <c r="J23" s="5"/>
      <c r="L23" s="33">
        <v>46086.0</v>
      </c>
      <c r="M23" s="34" t="s">
        <v>112</v>
      </c>
      <c r="N23" s="35" t="s">
        <v>279</v>
      </c>
      <c r="O23" s="36"/>
      <c r="P23" s="36">
        <v>2010000.0</v>
      </c>
      <c r="Q23" s="36"/>
      <c r="R23" s="36"/>
      <c r="S23" s="36">
        <f t="shared" si="5"/>
        <v>2010000</v>
      </c>
      <c r="T23" s="36">
        <f t="shared" si="6"/>
        <v>98250005</v>
      </c>
      <c r="U23" s="34"/>
    </row>
    <row r="24" ht="15.75" customHeight="1">
      <c r="A24" s="29">
        <v>46174.0</v>
      </c>
      <c r="B24" s="2" t="s">
        <v>282</v>
      </c>
      <c r="C24" s="30">
        <v>46178.0</v>
      </c>
      <c r="D24" s="8">
        <f t="shared" si="1"/>
        <v>2005954.242</v>
      </c>
      <c r="E24" s="8"/>
      <c r="F24" s="8">
        <f t="shared" si="2"/>
        <v>748892.1749</v>
      </c>
      <c r="G24" s="8">
        <f t="shared" si="3"/>
        <v>1257062.067</v>
      </c>
      <c r="H24" s="8">
        <f t="shared" si="4"/>
        <v>73632155.43</v>
      </c>
      <c r="J24" s="5"/>
      <c r="L24" s="33">
        <v>46118.0</v>
      </c>
      <c r="M24" s="34" t="s">
        <v>115</v>
      </c>
      <c r="N24" s="35" t="s">
        <v>280</v>
      </c>
      <c r="O24" s="36"/>
      <c r="P24" s="36">
        <v>2010000.0</v>
      </c>
      <c r="Q24" s="36"/>
      <c r="R24" s="36"/>
      <c r="S24" s="36">
        <f t="shared" si="5"/>
        <v>2010000</v>
      </c>
      <c r="T24" s="36">
        <f t="shared" si="6"/>
        <v>96240005</v>
      </c>
      <c r="U24" s="34"/>
    </row>
    <row r="25" ht="15.75" customHeight="1">
      <c r="A25" s="29">
        <v>46209.0</v>
      </c>
      <c r="B25" s="2" t="s">
        <v>283</v>
      </c>
      <c r="C25" s="30">
        <v>46208.0</v>
      </c>
      <c r="D25" s="8">
        <f t="shared" si="1"/>
        <v>2005954.242</v>
      </c>
      <c r="E25" s="8">
        <f>2020000-3816-D25</f>
        <v>10229.75778</v>
      </c>
      <c r="F25" s="8">
        <f t="shared" si="2"/>
        <v>736321.5543</v>
      </c>
      <c r="G25" s="8">
        <f t="shared" si="3"/>
        <v>1279862.446</v>
      </c>
      <c r="H25" s="8">
        <f t="shared" si="4"/>
        <v>72352292.98</v>
      </c>
      <c r="J25" s="5"/>
      <c r="L25" s="33">
        <v>46147.0</v>
      </c>
      <c r="M25" s="34" t="s">
        <v>116</v>
      </c>
      <c r="N25" s="35" t="s">
        <v>281</v>
      </c>
      <c r="O25" s="36"/>
      <c r="P25" s="36">
        <v>2000000.0</v>
      </c>
      <c r="Q25" s="36"/>
      <c r="R25" s="36"/>
      <c r="S25" s="36">
        <f t="shared" si="5"/>
        <v>2000000</v>
      </c>
      <c r="T25" s="36">
        <f t="shared" si="6"/>
        <v>94240005</v>
      </c>
      <c r="U25" s="34"/>
    </row>
    <row r="26" ht="15.75" customHeight="1">
      <c r="A26" s="29">
        <v>46238.0</v>
      </c>
      <c r="B26" s="2" t="s">
        <v>284</v>
      </c>
      <c r="C26" s="30">
        <v>46239.0</v>
      </c>
      <c r="D26" s="8">
        <f t="shared" si="1"/>
        <v>2005954.242</v>
      </c>
      <c r="E26" s="8">
        <f>2010000-D26</f>
        <v>4045.757783</v>
      </c>
      <c r="F26" s="8">
        <f t="shared" si="2"/>
        <v>723522.9298</v>
      </c>
      <c r="G26" s="8">
        <f t="shared" si="3"/>
        <v>1286477.07</v>
      </c>
      <c r="H26" s="8">
        <f t="shared" si="4"/>
        <v>71065815.91</v>
      </c>
      <c r="J26" s="5"/>
      <c r="L26" s="33">
        <v>46174.0</v>
      </c>
      <c r="M26" s="34" t="s">
        <v>118</v>
      </c>
      <c r="N26" s="35" t="s">
        <v>282</v>
      </c>
      <c r="O26" s="36"/>
      <c r="P26" s="36">
        <v>2000000.0</v>
      </c>
      <c r="Q26" s="36"/>
      <c r="R26" s="36"/>
      <c r="S26" s="36">
        <f t="shared" si="5"/>
        <v>2000000</v>
      </c>
      <c r="T26" s="36">
        <f t="shared" si="6"/>
        <v>92240005</v>
      </c>
      <c r="U26" s="34"/>
    </row>
    <row r="27" ht="15.75" customHeight="1">
      <c r="B27" s="2"/>
      <c r="C27" s="30">
        <v>46270.0</v>
      </c>
      <c r="D27" s="8">
        <f t="shared" si="1"/>
        <v>2005954.242</v>
      </c>
      <c r="E27" s="46"/>
      <c r="F27" s="8">
        <f t="shared" si="2"/>
        <v>710658.1591</v>
      </c>
      <c r="G27" s="8">
        <f t="shared" si="3"/>
        <v>1295296.083</v>
      </c>
      <c r="H27" s="8">
        <f t="shared" si="4"/>
        <v>69770519.83</v>
      </c>
      <c r="J27" s="5"/>
      <c r="L27" s="33">
        <v>46209.0</v>
      </c>
      <c r="M27" s="34" t="s">
        <v>120</v>
      </c>
      <c r="N27" s="35" t="s">
        <v>283</v>
      </c>
      <c r="O27" s="36"/>
      <c r="P27" s="36">
        <v>2020000.0</v>
      </c>
      <c r="Q27" s="36"/>
      <c r="R27" s="36"/>
      <c r="S27" s="36">
        <f t="shared" si="5"/>
        <v>2020000</v>
      </c>
      <c r="T27" s="36">
        <f t="shared" si="6"/>
        <v>90220005</v>
      </c>
      <c r="U27" s="34"/>
    </row>
    <row r="28" ht="15.75" customHeight="1">
      <c r="B28" s="2"/>
      <c r="C28" s="30">
        <v>46300.0</v>
      </c>
      <c r="D28" s="8">
        <f t="shared" si="1"/>
        <v>2005954.242</v>
      </c>
      <c r="E28" s="46"/>
      <c r="F28" s="8">
        <f t="shared" si="2"/>
        <v>697705.1983</v>
      </c>
      <c r="G28" s="8">
        <f t="shared" si="3"/>
        <v>1308249.044</v>
      </c>
      <c r="H28" s="8">
        <f t="shared" si="4"/>
        <v>68462270.78</v>
      </c>
      <c r="J28" s="5"/>
      <c r="L28" s="40">
        <v>46238.0</v>
      </c>
      <c r="M28" s="34" t="s">
        <v>122</v>
      </c>
      <c r="N28" s="35" t="s">
        <v>284</v>
      </c>
      <c r="O28" s="36"/>
      <c r="P28" s="36"/>
      <c r="Q28" s="36"/>
      <c r="R28" s="36">
        <v>2010000.0</v>
      </c>
      <c r="S28" s="36">
        <f t="shared" si="5"/>
        <v>2010000</v>
      </c>
      <c r="T28" s="36">
        <f t="shared" si="6"/>
        <v>88210005</v>
      </c>
      <c r="U28" s="34" t="s">
        <v>125</v>
      </c>
    </row>
    <row r="29" ht="15.75" customHeight="1">
      <c r="B29" s="2"/>
      <c r="C29" s="30">
        <v>46331.0</v>
      </c>
      <c r="D29" s="8">
        <f t="shared" si="1"/>
        <v>2005954.242</v>
      </c>
      <c r="E29" s="46"/>
      <c r="F29" s="8">
        <f t="shared" si="2"/>
        <v>684622.7078</v>
      </c>
      <c r="G29" s="8">
        <f t="shared" si="3"/>
        <v>1321331.534</v>
      </c>
      <c r="H29" s="8">
        <f t="shared" si="4"/>
        <v>67140939.25</v>
      </c>
      <c r="J29" s="5"/>
      <c r="L29" s="25"/>
      <c r="M29" s="38" t="s">
        <v>69</v>
      </c>
      <c r="N29" s="39"/>
      <c r="O29" s="27">
        <f t="shared" ref="O29:S29" si="8">SUM(O11:O28)</f>
        <v>0</v>
      </c>
      <c r="P29" s="27">
        <f t="shared" si="8"/>
        <v>40157000</v>
      </c>
      <c r="Q29" s="27">
        <f t="shared" si="8"/>
        <v>0</v>
      </c>
      <c r="R29" s="27">
        <f t="shared" si="8"/>
        <v>2010000</v>
      </c>
      <c r="S29" s="27">
        <f t="shared" si="8"/>
        <v>42167000</v>
      </c>
      <c r="T29" s="27">
        <f>T28</f>
        <v>88210005</v>
      </c>
      <c r="U29" s="25"/>
    </row>
    <row r="30" ht="15.75" customHeight="1">
      <c r="B30" s="2"/>
      <c r="C30" s="30">
        <v>46361.0</v>
      </c>
      <c r="D30" s="8">
        <f t="shared" si="1"/>
        <v>2005954.242</v>
      </c>
      <c r="E30" s="46"/>
      <c r="F30" s="8">
        <f t="shared" si="2"/>
        <v>671409.3925</v>
      </c>
      <c r="G30" s="8">
        <f t="shared" si="3"/>
        <v>1334544.85</v>
      </c>
      <c r="H30" s="8">
        <f t="shared" si="4"/>
        <v>65806394.4</v>
      </c>
      <c r="J30" s="5"/>
    </row>
    <row r="31" ht="15.75" customHeight="1">
      <c r="B31" s="2"/>
      <c r="C31" s="30">
        <v>46392.0</v>
      </c>
      <c r="D31" s="8">
        <f t="shared" si="1"/>
        <v>2005954.242</v>
      </c>
      <c r="E31" s="46"/>
      <c r="F31" s="8">
        <f t="shared" si="2"/>
        <v>658063.944</v>
      </c>
      <c r="G31" s="8">
        <f t="shared" si="3"/>
        <v>1347890.298</v>
      </c>
      <c r="H31" s="8">
        <f t="shared" si="4"/>
        <v>64458504.1</v>
      </c>
      <c r="J31" s="5"/>
    </row>
    <row r="32" ht="15.75" customHeight="1">
      <c r="B32" s="2"/>
      <c r="C32" s="30">
        <v>46423.0</v>
      </c>
      <c r="D32" s="8">
        <f t="shared" si="1"/>
        <v>2005954.242</v>
      </c>
      <c r="E32" s="46"/>
      <c r="F32" s="8">
        <f t="shared" si="2"/>
        <v>644585.041</v>
      </c>
      <c r="G32" s="8">
        <f t="shared" si="3"/>
        <v>1361369.201</v>
      </c>
      <c r="H32" s="8">
        <f t="shared" si="4"/>
        <v>63097134.9</v>
      </c>
      <c r="J32" s="5"/>
    </row>
    <row r="33" ht="15.75" customHeight="1">
      <c r="B33" s="2"/>
      <c r="C33" s="30">
        <v>46451.0</v>
      </c>
      <c r="D33" s="8">
        <f t="shared" si="1"/>
        <v>2005954.242</v>
      </c>
      <c r="E33" s="46"/>
      <c r="F33" s="8">
        <f t="shared" si="2"/>
        <v>630971.349</v>
      </c>
      <c r="G33" s="8">
        <f t="shared" si="3"/>
        <v>1374982.893</v>
      </c>
      <c r="H33" s="8">
        <f t="shared" si="4"/>
        <v>61722152.01</v>
      </c>
      <c r="J33" s="5"/>
    </row>
    <row r="34" ht="15.75" customHeight="1">
      <c r="B34" s="2"/>
      <c r="C34" s="30">
        <v>46482.0</v>
      </c>
      <c r="D34" s="8">
        <f t="shared" si="1"/>
        <v>2005954.242</v>
      </c>
      <c r="E34" s="46"/>
      <c r="F34" s="8">
        <f t="shared" si="2"/>
        <v>617221.5201</v>
      </c>
      <c r="G34" s="8">
        <f t="shared" si="3"/>
        <v>1388732.722</v>
      </c>
      <c r="H34" s="8">
        <f t="shared" si="4"/>
        <v>60333419.28</v>
      </c>
      <c r="J34" s="5"/>
    </row>
    <row r="35" ht="15.75" customHeight="1">
      <c r="B35" s="2"/>
      <c r="C35" s="30">
        <v>46512.0</v>
      </c>
      <c r="D35" s="8">
        <f t="shared" si="1"/>
        <v>2005954.242</v>
      </c>
      <c r="E35" s="46"/>
      <c r="F35" s="8">
        <f t="shared" si="2"/>
        <v>603334.1928</v>
      </c>
      <c r="G35" s="8">
        <f t="shared" si="3"/>
        <v>1402620.049</v>
      </c>
      <c r="H35" s="8">
        <f t="shared" si="4"/>
        <v>58930799.24</v>
      </c>
      <c r="J35" s="5"/>
    </row>
    <row r="36" ht="15.75" customHeight="1">
      <c r="B36" s="2"/>
      <c r="C36" s="30">
        <v>46543.0</v>
      </c>
      <c r="D36" s="8">
        <f t="shared" si="1"/>
        <v>2005954.242</v>
      </c>
      <c r="E36" s="46"/>
      <c r="F36" s="8">
        <f t="shared" si="2"/>
        <v>589307.9924</v>
      </c>
      <c r="G36" s="8">
        <f t="shared" si="3"/>
        <v>1416646.25</v>
      </c>
      <c r="H36" s="8">
        <f t="shared" si="4"/>
        <v>57514152.99</v>
      </c>
      <c r="J36" s="5"/>
    </row>
    <row r="37" ht="15.75" customHeight="1">
      <c r="B37" s="2"/>
      <c r="C37" s="30">
        <v>46573.0</v>
      </c>
      <c r="D37" s="8">
        <f t="shared" si="1"/>
        <v>2005954.242</v>
      </c>
      <c r="E37" s="46"/>
      <c r="F37" s="8">
        <f t="shared" si="2"/>
        <v>575141.5299</v>
      </c>
      <c r="G37" s="8">
        <f t="shared" si="3"/>
        <v>1430812.712</v>
      </c>
      <c r="H37" s="8">
        <f t="shared" si="4"/>
        <v>56083340.27</v>
      </c>
      <c r="J37" s="5"/>
    </row>
    <row r="38" ht="15.75" customHeight="1">
      <c r="B38" s="2"/>
      <c r="C38" s="30">
        <v>46604.0</v>
      </c>
      <c r="D38" s="8">
        <f t="shared" si="1"/>
        <v>2005954.242</v>
      </c>
      <c r="E38" s="46"/>
      <c r="F38" s="8">
        <f t="shared" si="2"/>
        <v>560833.4027</v>
      </c>
      <c r="G38" s="8">
        <f t="shared" si="3"/>
        <v>1445120.839</v>
      </c>
      <c r="H38" s="8">
        <f t="shared" si="4"/>
        <v>54638219.43</v>
      </c>
      <c r="J38" s="5"/>
    </row>
    <row r="39" ht="15.75" customHeight="1">
      <c r="B39" s="2"/>
      <c r="C39" s="30">
        <v>46635.0</v>
      </c>
      <c r="D39" s="8">
        <f t="shared" si="1"/>
        <v>2005954.242</v>
      </c>
      <c r="E39" s="46"/>
      <c r="F39" s="8">
        <f t="shared" si="2"/>
        <v>546382.1943</v>
      </c>
      <c r="G39" s="8">
        <f t="shared" si="3"/>
        <v>1459572.048</v>
      </c>
      <c r="H39" s="8">
        <f t="shared" si="4"/>
        <v>53178647.39</v>
      </c>
      <c r="J39" s="5"/>
    </row>
    <row r="40" ht="15.75" customHeight="1">
      <c r="B40" s="2"/>
      <c r="C40" s="30">
        <v>46665.0</v>
      </c>
      <c r="D40" s="8">
        <f t="shared" si="1"/>
        <v>2005954.242</v>
      </c>
      <c r="E40" s="46"/>
      <c r="F40" s="8">
        <f t="shared" si="2"/>
        <v>531786.4739</v>
      </c>
      <c r="G40" s="8">
        <f t="shared" si="3"/>
        <v>1474167.768</v>
      </c>
      <c r="H40" s="8">
        <f t="shared" si="4"/>
        <v>51704479.62</v>
      </c>
      <c r="J40" s="5"/>
    </row>
    <row r="41" ht="15.75" customHeight="1">
      <c r="B41" s="2"/>
      <c r="C41" s="30">
        <v>46696.0</v>
      </c>
      <c r="D41" s="8">
        <f t="shared" si="1"/>
        <v>2005954.242</v>
      </c>
      <c r="E41" s="46"/>
      <c r="F41" s="8">
        <f t="shared" si="2"/>
        <v>517044.7962</v>
      </c>
      <c r="G41" s="8">
        <f t="shared" si="3"/>
        <v>1488909.446</v>
      </c>
      <c r="H41" s="8">
        <f t="shared" si="4"/>
        <v>50215570.17</v>
      </c>
      <c r="J41" s="5"/>
    </row>
    <row r="42" ht="15.75" customHeight="1">
      <c r="B42" s="2"/>
      <c r="C42" s="30">
        <v>46726.0</v>
      </c>
      <c r="D42" s="8">
        <f t="shared" si="1"/>
        <v>2005954.242</v>
      </c>
      <c r="E42" s="46"/>
      <c r="F42" s="8">
        <f t="shared" si="2"/>
        <v>502155.7017</v>
      </c>
      <c r="G42" s="8">
        <f t="shared" si="3"/>
        <v>1503798.541</v>
      </c>
      <c r="H42" s="8">
        <f t="shared" si="4"/>
        <v>48711771.63</v>
      </c>
      <c r="J42" s="5"/>
    </row>
    <row r="43" ht="15.75" customHeight="1">
      <c r="B43" s="2"/>
      <c r="C43" s="30">
        <v>46757.0</v>
      </c>
      <c r="D43" s="8">
        <f t="shared" si="1"/>
        <v>2005954.242</v>
      </c>
      <c r="E43" s="46"/>
      <c r="F43" s="8">
        <f t="shared" si="2"/>
        <v>487117.7163</v>
      </c>
      <c r="G43" s="8">
        <f t="shared" si="3"/>
        <v>1518836.526</v>
      </c>
      <c r="H43" s="8">
        <f t="shared" si="4"/>
        <v>47192935.1</v>
      </c>
      <c r="J43" s="5"/>
    </row>
    <row r="44" ht="15.75" customHeight="1">
      <c r="B44" s="2"/>
      <c r="C44" s="30">
        <v>46788.0</v>
      </c>
      <c r="D44" s="8">
        <f t="shared" si="1"/>
        <v>2005954.242</v>
      </c>
      <c r="E44" s="46"/>
      <c r="F44" s="8">
        <f t="shared" si="2"/>
        <v>471929.351</v>
      </c>
      <c r="G44" s="8">
        <f t="shared" si="3"/>
        <v>1534024.891</v>
      </c>
      <c r="H44" s="8">
        <f t="shared" si="4"/>
        <v>45658910.21</v>
      </c>
      <c r="J44" s="5"/>
    </row>
    <row r="45" ht="15.75" customHeight="1">
      <c r="B45" s="2"/>
      <c r="C45" s="30">
        <v>46817.0</v>
      </c>
      <c r="D45" s="8">
        <f t="shared" si="1"/>
        <v>2005954.242</v>
      </c>
      <c r="E45" s="46"/>
      <c r="F45" s="8">
        <f t="shared" si="2"/>
        <v>456589.1021</v>
      </c>
      <c r="G45" s="8">
        <f t="shared" si="3"/>
        <v>1549365.14</v>
      </c>
      <c r="H45" s="8">
        <f t="shared" si="4"/>
        <v>44109545.07</v>
      </c>
      <c r="J45" s="5"/>
    </row>
    <row r="46" ht="15.75" customHeight="1">
      <c r="B46" s="2"/>
      <c r="C46" s="30">
        <v>46848.0</v>
      </c>
      <c r="D46" s="8">
        <f t="shared" si="1"/>
        <v>2005954.242</v>
      </c>
      <c r="E46" s="46"/>
      <c r="F46" s="8">
        <f t="shared" si="2"/>
        <v>441095.4507</v>
      </c>
      <c r="G46" s="8">
        <f t="shared" si="3"/>
        <v>1564858.791</v>
      </c>
      <c r="H46" s="8">
        <f t="shared" si="4"/>
        <v>42544686.28</v>
      </c>
      <c r="J46" s="5"/>
    </row>
    <row r="47" ht="15.75" customHeight="1">
      <c r="B47" s="2"/>
      <c r="C47" s="30">
        <v>46878.0</v>
      </c>
      <c r="D47" s="8">
        <f t="shared" si="1"/>
        <v>2005954.242</v>
      </c>
      <c r="E47" s="46"/>
      <c r="F47" s="8">
        <f t="shared" si="2"/>
        <v>425446.8628</v>
      </c>
      <c r="G47" s="8">
        <f t="shared" si="3"/>
        <v>1580507.379</v>
      </c>
      <c r="H47" s="8">
        <f t="shared" si="4"/>
        <v>40964178.9</v>
      </c>
      <c r="J47" s="5"/>
    </row>
    <row r="48" ht="15.75" customHeight="1">
      <c r="B48" s="2"/>
      <c r="C48" s="30">
        <v>46909.0</v>
      </c>
      <c r="D48" s="8">
        <f t="shared" si="1"/>
        <v>2005954.242</v>
      </c>
      <c r="E48" s="46"/>
      <c r="F48" s="8">
        <f t="shared" si="2"/>
        <v>409641.789</v>
      </c>
      <c r="G48" s="8">
        <f t="shared" si="3"/>
        <v>1596312.453</v>
      </c>
      <c r="H48" s="8">
        <f t="shared" si="4"/>
        <v>39367866.45</v>
      </c>
      <c r="J48" s="5"/>
    </row>
    <row r="49" ht="15.75" customHeight="1">
      <c r="B49" s="2"/>
      <c r="C49" s="30">
        <v>46939.0</v>
      </c>
      <c r="D49" s="8">
        <f t="shared" si="1"/>
        <v>2005954.242</v>
      </c>
      <c r="E49" s="46"/>
      <c r="F49" s="8">
        <f t="shared" si="2"/>
        <v>393678.6645</v>
      </c>
      <c r="G49" s="8">
        <f t="shared" si="3"/>
        <v>1612275.578</v>
      </c>
      <c r="H49" s="8">
        <f t="shared" si="4"/>
        <v>37755590.87</v>
      </c>
      <c r="J49" s="5"/>
    </row>
    <row r="50" ht="15.75" customHeight="1">
      <c r="B50" s="2"/>
      <c r="C50" s="30">
        <v>46970.0</v>
      </c>
      <c r="D50" s="8">
        <f t="shared" si="1"/>
        <v>2005954.242</v>
      </c>
      <c r="E50" s="46"/>
      <c r="F50" s="8">
        <f t="shared" si="2"/>
        <v>377555.9087</v>
      </c>
      <c r="G50" s="8">
        <f t="shared" si="3"/>
        <v>1628398.333</v>
      </c>
      <c r="H50" s="8">
        <f t="shared" si="4"/>
        <v>36127192.54</v>
      </c>
      <c r="J50" s="5"/>
    </row>
    <row r="51" ht="15.75" customHeight="1">
      <c r="B51" s="2"/>
      <c r="C51" s="30">
        <v>47001.0</v>
      </c>
      <c r="D51" s="8">
        <f t="shared" si="1"/>
        <v>2005954.242</v>
      </c>
      <c r="E51" s="46"/>
      <c r="F51" s="8">
        <f t="shared" si="2"/>
        <v>361271.9254</v>
      </c>
      <c r="G51" s="8">
        <f t="shared" si="3"/>
        <v>1644682.317</v>
      </c>
      <c r="H51" s="8">
        <f t="shared" si="4"/>
        <v>34482510.22</v>
      </c>
      <c r="J51" s="5"/>
    </row>
    <row r="52" ht="15.75" customHeight="1">
      <c r="B52" s="2"/>
      <c r="C52" s="30">
        <v>47031.0</v>
      </c>
      <c r="D52" s="8">
        <f t="shared" si="1"/>
        <v>2005954.242</v>
      </c>
      <c r="E52" s="46"/>
      <c r="F52" s="8">
        <f t="shared" si="2"/>
        <v>344825.1022</v>
      </c>
      <c r="G52" s="8">
        <f t="shared" si="3"/>
        <v>1661129.14</v>
      </c>
      <c r="H52" s="8">
        <f t="shared" si="4"/>
        <v>32821381.08</v>
      </c>
      <c r="J52" s="5"/>
    </row>
    <row r="53" ht="15.75" customHeight="1">
      <c r="B53" s="2"/>
      <c r="C53" s="30">
        <v>47062.0</v>
      </c>
      <c r="D53" s="8">
        <f t="shared" si="1"/>
        <v>2005954.242</v>
      </c>
      <c r="E53" s="46"/>
      <c r="F53" s="8">
        <f t="shared" si="2"/>
        <v>328213.8108</v>
      </c>
      <c r="G53" s="8">
        <f t="shared" si="3"/>
        <v>1677740.431</v>
      </c>
      <c r="H53" s="8">
        <f t="shared" si="4"/>
        <v>31143640.65</v>
      </c>
      <c r="J53" s="5"/>
    </row>
    <row r="54" ht="15.75" customHeight="1">
      <c r="B54" s="2"/>
      <c r="C54" s="30">
        <v>47092.0</v>
      </c>
      <c r="D54" s="8">
        <f t="shared" si="1"/>
        <v>2005954.242</v>
      </c>
      <c r="E54" s="46"/>
      <c r="F54" s="8">
        <f t="shared" si="2"/>
        <v>311436.4065</v>
      </c>
      <c r="G54" s="8">
        <f t="shared" si="3"/>
        <v>1694517.836</v>
      </c>
      <c r="H54" s="8">
        <f t="shared" si="4"/>
        <v>29449122.81</v>
      </c>
      <c r="J54" s="5"/>
    </row>
    <row r="55" ht="15.75" customHeight="1">
      <c r="B55" s="2"/>
      <c r="C55" s="30">
        <v>47123.0</v>
      </c>
      <c r="D55" s="8">
        <f t="shared" si="1"/>
        <v>2005954.242</v>
      </c>
      <c r="E55" s="46"/>
      <c r="F55" s="8">
        <f t="shared" si="2"/>
        <v>294491.2281</v>
      </c>
      <c r="G55" s="8">
        <f t="shared" si="3"/>
        <v>1711463.014</v>
      </c>
      <c r="H55" s="8">
        <f t="shared" si="4"/>
        <v>27737659.8</v>
      </c>
      <c r="J55" s="5"/>
    </row>
    <row r="56" ht="15.75" customHeight="1">
      <c r="B56" s="2"/>
      <c r="C56" s="30">
        <v>47154.0</v>
      </c>
      <c r="D56" s="8">
        <f t="shared" si="1"/>
        <v>2005954.242</v>
      </c>
      <c r="E56" s="46"/>
      <c r="F56" s="8">
        <f t="shared" si="2"/>
        <v>277376.598</v>
      </c>
      <c r="G56" s="8">
        <f t="shared" si="3"/>
        <v>1728577.644</v>
      </c>
      <c r="H56" s="8">
        <f t="shared" si="4"/>
        <v>26009082.16</v>
      </c>
      <c r="J56" s="5"/>
    </row>
    <row r="57" ht="15.75" customHeight="1">
      <c r="B57" s="2"/>
      <c r="C57" s="30">
        <v>47182.0</v>
      </c>
      <c r="D57" s="8">
        <f t="shared" si="1"/>
        <v>2005954.242</v>
      </c>
      <c r="E57" s="46"/>
      <c r="F57" s="8">
        <f t="shared" si="2"/>
        <v>260090.8216</v>
      </c>
      <c r="G57" s="8">
        <f t="shared" si="3"/>
        <v>1745863.421</v>
      </c>
      <c r="H57" s="8">
        <f t="shared" si="4"/>
        <v>24263218.74</v>
      </c>
      <c r="J57" s="5"/>
    </row>
    <row r="58" ht="15.75" customHeight="1">
      <c r="B58" s="2"/>
      <c r="C58" s="30">
        <v>47213.0</v>
      </c>
      <c r="D58" s="8">
        <f t="shared" si="1"/>
        <v>2005954.242</v>
      </c>
      <c r="E58" s="46"/>
      <c r="F58" s="8">
        <f t="shared" si="2"/>
        <v>242632.1874</v>
      </c>
      <c r="G58" s="8">
        <f t="shared" si="3"/>
        <v>1763322.055</v>
      </c>
      <c r="H58" s="8">
        <f t="shared" si="4"/>
        <v>22499896.68</v>
      </c>
      <c r="J58" s="5"/>
    </row>
    <row r="59" ht="15.75" customHeight="1">
      <c r="B59" s="2"/>
      <c r="C59" s="30">
        <v>47243.0</v>
      </c>
      <c r="D59" s="8">
        <f t="shared" si="1"/>
        <v>2005954.242</v>
      </c>
      <c r="E59" s="46"/>
      <c r="F59" s="8">
        <f t="shared" si="2"/>
        <v>224998.9668</v>
      </c>
      <c r="G59" s="8">
        <f t="shared" si="3"/>
        <v>1780955.275</v>
      </c>
      <c r="H59" s="8">
        <f t="shared" si="4"/>
        <v>20718941.41</v>
      </c>
      <c r="J59" s="5"/>
    </row>
    <row r="60" ht="15.75" customHeight="1">
      <c r="B60" s="2"/>
      <c r="C60" s="30">
        <v>47274.0</v>
      </c>
      <c r="D60" s="8">
        <f t="shared" si="1"/>
        <v>2005954.242</v>
      </c>
      <c r="E60" s="46"/>
      <c r="F60" s="8">
        <f t="shared" si="2"/>
        <v>207189.4141</v>
      </c>
      <c r="G60" s="8">
        <f t="shared" si="3"/>
        <v>1798764.828</v>
      </c>
      <c r="H60" s="8">
        <f t="shared" si="4"/>
        <v>18920176.58</v>
      </c>
      <c r="J60" s="5"/>
    </row>
    <row r="61" ht="15.75" customHeight="1">
      <c r="B61" s="2"/>
      <c r="C61" s="30">
        <v>47304.0</v>
      </c>
      <c r="D61" s="8">
        <f t="shared" si="1"/>
        <v>2005954.242</v>
      </c>
      <c r="E61" s="46"/>
      <c r="F61" s="8">
        <f t="shared" si="2"/>
        <v>189201.7658</v>
      </c>
      <c r="G61" s="8">
        <f t="shared" si="3"/>
        <v>1816752.476</v>
      </c>
      <c r="H61" s="8">
        <f t="shared" si="4"/>
        <v>17103424.1</v>
      </c>
      <c r="J61" s="5"/>
    </row>
    <row r="62" ht="15.75" customHeight="1">
      <c r="B62" s="2"/>
      <c r="C62" s="30">
        <v>47335.0</v>
      </c>
      <c r="D62" s="8">
        <f t="shared" si="1"/>
        <v>2005954.242</v>
      </c>
      <c r="E62" s="46"/>
      <c r="F62" s="8">
        <f t="shared" si="2"/>
        <v>171034.241</v>
      </c>
      <c r="G62" s="8">
        <f t="shared" si="3"/>
        <v>1834920.001</v>
      </c>
      <c r="H62" s="8">
        <f t="shared" si="4"/>
        <v>15268504.1</v>
      </c>
      <c r="J62" s="5"/>
    </row>
    <row r="63" ht="15.75" customHeight="1">
      <c r="B63" s="2"/>
      <c r="C63" s="30">
        <v>47366.0</v>
      </c>
      <c r="D63" s="8">
        <f t="shared" si="1"/>
        <v>2005954.242</v>
      </c>
      <c r="E63" s="46"/>
      <c r="F63" s="8">
        <f t="shared" si="2"/>
        <v>152685.041</v>
      </c>
      <c r="G63" s="8">
        <f t="shared" si="3"/>
        <v>1853269.201</v>
      </c>
      <c r="H63" s="8">
        <f t="shared" si="4"/>
        <v>13415234.9</v>
      </c>
      <c r="J63" s="5"/>
    </row>
    <row r="64" ht="15.75" customHeight="1">
      <c r="B64" s="2"/>
      <c r="C64" s="30">
        <v>47396.0</v>
      </c>
      <c r="D64" s="8">
        <f t="shared" si="1"/>
        <v>2005954.242</v>
      </c>
      <c r="E64" s="46"/>
      <c r="F64" s="8">
        <f t="shared" si="2"/>
        <v>134152.349</v>
      </c>
      <c r="G64" s="8">
        <f t="shared" si="3"/>
        <v>1871801.893</v>
      </c>
      <c r="H64" s="8">
        <f t="shared" si="4"/>
        <v>11543433</v>
      </c>
      <c r="J64" s="5"/>
    </row>
    <row r="65" ht="15.75" customHeight="1">
      <c r="B65" s="2"/>
      <c r="C65" s="30">
        <v>47427.0</v>
      </c>
      <c r="D65" s="8">
        <f t="shared" si="1"/>
        <v>2005954.242</v>
      </c>
      <c r="E65" s="46"/>
      <c r="F65" s="8">
        <f t="shared" si="2"/>
        <v>115434.33</v>
      </c>
      <c r="G65" s="8">
        <f t="shared" si="3"/>
        <v>1890519.912</v>
      </c>
      <c r="H65" s="8">
        <f t="shared" si="4"/>
        <v>9652913.093</v>
      </c>
      <c r="J65" s="5"/>
    </row>
    <row r="66" ht="15.75" customHeight="1">
      <c r="B66" s="2"/>
      <c r="C66" s="30">
        <v>47457.0</v>
      </c>
      <c r="D66" s="8">
        <f t="shared" si="1"/>
        <v>2005954.242</v>
      </c>
      <c r="E66" s="46"/>
      <c r="F66" s="8">
        <f t="shared" si="2"/>
        <v>96529.13093</v>
      </c>
      <c r="G66" s="8">
        <f t="shared" si="3"/>
        <v>1909425.111</v>
      </c>
      <c r="H66" s="8">
        <f t="shared" si="4"/>
        <v>7743487.981</v>
      </c>
      <c r="J66" s="5"/>
    </row>
    <row r="67" ht="15.75" customHeight="1">
      <c r="B67" s="2"/>
      <c r="C67" s="30">
        <v>47488.0</v>
      </c>
      <c r="D67" s="8">
        <f t="shared" si="1"/>
        <v>2005954.242</v>
      </c>
      <c r="E67" s="46"/>
      <c r="F67" s="8">
        <f t="shared" si="2"/>
        <v>77434.87981</v>
      </c>
      <c r="G67" s="8">
        <f t="shared" si="3"/>
        <v>1928519.362</v>
      </c>
      <c r="H67" s="8">
        <f t="shared" si="4"/>
        <v>5814968.619</v>
      </c>
      <c r="J67" s="5"/>
    </row>
    <row r="68" ht="15.75" customHeight="1">
      <c r="B68" s="2"/>
      <c r="C68" s="30">
        <v>47519.0</v>
      </c>
      <c r="D68" s="8">
        <f t="shared" si="1"/>
        <v>2005954.242</v>
      </c>
      <c r="E68" s="46"/>
      <c r="F68" s="8">
        <f t="shared" si="2"/>
        <v>58149.68619</v>
      </c>
      <c r="G68" s="8">
        <f t="shared" si="3"/>
        <v>1947804.556</v>
      </c>
      <c r="H68" s="8">
        <f t="shared" si="4"/>
        <v>3867164.063</v>
      </c>
      <c r="J68" s="5"/>
    </row>
    <row r="69" ht="15.75" customHeight="1">
      <c r="B69" s="2"/>
      <c r="C69" s="30">
        <v>47547.0</v>
      </c>
      <c r="D69" s="8">
        <f t="shared" si="1"/>
        <v>2005954.242</v>
      </c>
      <c r="E69" s="46"/>
      <c r="F69" s="8">
        <f t="shared" si="2"/>
        <v>38671.64063</v>
      </c>
      <c r="G69" s="8">
        <f t="shared" si="3"/>
        <v>1967282.602</v>
      </c>
      <c r="H69" s="8">
        <f t="shared" si="4"/>
        <v>1899881.461</v>
      </c>
      <c r="J69" s="5"/>
    </row>
    <row r="70" ht="15.75" customHeight="1">
      <c r="A70" s="47"/>
      <c r="B70" s="48"/>
      <c r="C70" s="49">
        <v>47578.0</v>
      </c>
      <c r="D70" s="50">
        <f t="shared" si="1"/>
        <v>2005954.242</v>
      </c>
      <c r="E70" s="51"/>
      <c r="F70" s="50">
        <f t="shared" si="2"/>
        <v>18998.81461</v>
      </c>
      <c r="G70" s="50">
        <f t="shared" si="3"/>
        <v>1986955.428</v>
      </c>
      <c r="H70" s="50">
        <f t="shared" si="4"/>
        <v>-87073.96633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1">
    <mergeCell ref="D1:E1"/>
  </mergeCells>
  <printOptions/>
  <pageMargins bottom="0.75" footer="0.0" header="0.0" left="0.7" right="0.7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3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264</v>
      </c>
      <c r="J1" s="5"/>
    </row>
    <row r="2" ht="15.75" customHeight="1">
      <c r="B2" s="2"/>
      <c r="C2" s="1" t="s">
        <v>6</v>
      </c>
      <c r="D2" s="6">
        <f>+A5*10%</f>
        <v>9249000</v>
      </c>
      <c r="E2" s="7"/>
      <c r="J2" s="5"/>
    </row>
    <row r="3" ht="15.75" customHeight="1">
      <c r="B3" s="2"/>
      <c r="C3" s="1" t="s">
        <v>7</v>
      </c>
      <c r="D3" s="8">
        <f>+A5-D2</f>
        <v>83241000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9.249E7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1851650.07</v>
      </c>
      <c r="E6" s="12"/>
      <c r="H6" s="5"/>
      <c r="J6" s="5"/>
    </row>
    <row r="7" ht="15.75" customHeight="1">
      <c r="B7" s="2"/>
      <c r="C7" s="1" t="s">
        <v>12</v>
      </c>
      <c r="D7" s="15" t="s">
        <v>285</v>
      </c>
      <c r="H7" s="5"/>
      <c r="J7" s="5"/>
    </row>
    <row r="8" ht="15.75" customHeight="1">
      <c r="B8" s="2"/>
      <c r="C8" s="1" t="s">
        <v>16</v>
      </c>
      <c r="D8" s="18">
        <v>8073474.0</v>
      </c>
      <c r="H8" s="5"/>
      <c r="I8" s="17"/>
      <c r="J8" s="19"/>
      <c r="K8" s="17"/>
      <c r="L8" s="21" t="s">
        <v>286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83241000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1.20348004E8</v>
      </c>
      <c r="U10" s="25"/>
    </row>
    <row r="11" ht="15.75" customHeight="1">
      <c r="A11" s="29">
        <v>45779.0</v>
      </c>
      <c r="B11" s="2" t="s">
        <v>287</v>
      </c>
      <c r="C11" s="30">
        <v>45777.0</v>
      </c>
      <c r="D11" s="8">
        <f t="shared" ref="D11:D70" si="1">$D$6</f>
        <v>1851650.07</v>
      </c>
      <c r="E11" s="15"/>
      <c r="F11" s="8">
        <f t="shared" ref="F11:F70" si="2">+H10*$D$4</f>
        <v>832410</v>
      </c>
      <c r="G11" s="8">
        <f t="shared" ref="G11:G70" si="3">+D11+E11-F11</f>
        <v>1019240.07</v>
      </c>
      <c r="H11" s="8">
        <f t="shared" ref="H11:H70" si="4">+H10-G11</f>
        <v>82221759.93</v>
      </c>
      <c r="J11" s="5"/>
      <c r="L11" s="33">
        <v>45689.0</v>
      </c>
      <c r="M11" s="34" t="s">
        <v>44</v>
      </c>
      <c r="N11" s="35" t="s">
        <v>288</v>
      </c>
      <c r="O11" s="36"/>
      <c r="P11" s="36">
        <v>1000000.0</v>
      </c>
      <c r="Q11" s="36"/>
      <c r="R11" s="36"/>
      <c r="S11" s="36">
        <f t="shared" ref="S11:S25" si="5">SUM(O11:R11)</f>
        <v>1000000</v>
      </c>
      <c r="T11" s="36">
        <f t="shared" ref="T11:T25" si="6">T10-S11</f>
        <v>119348004</v>
      </c>
      <c r="U11" s="34"/>
    </row>
    <row r="12" ht="15.75" customHeight="1">
      <c r="A12" s="29">
        <v>45807.0</v>
      </c>
      <c r="B12" s="2" t="s">
        <v>289</v>
      </c>
      <c r="C12" s="30">
        <v>45808.0</v>
      </c>
      <c r="D12" s="8">
        <f t="shared" si="1"/>
        <v>1851650.07</v>
      </c>
      <c r="E12" s="15"/>
      <c r="F12" s="8">
        <f t="shared" si="2"/>
        <v>822217.5993</v>
      </c>
      <c r="G12" s="8">
        <f t="shared" si="3"/>
        <v>1029432.47</v>
      </c>
      <c r="H12" s="8">
        <f t="shared" si="4"/>
        <v>81192327.46</v>
      </c>
      <c r="J12" s="5"/>
      <c r="L12" s="33">
        <v>45697.0</v>
      </c>
      <c r="M12" s="34" t="s">
        <v>44</v>
      </c>
      <c r="N12" s="35" t="s">
        <v>290</v>
      </c>
      <c r="O12" s="36"/>
      <c r="P12" s="36">
        <v>2749700.0</v>
      </c>
      <c r="Q12" s="36"/>
      <c r="R12" s="36"/>
      <c r="S12" s="36">
        <f t="shared" si="5"/>
        <v>2749700</v>
      </c>
      <c r="T12" s="36">
        <f t="shared" si="6"/>
        <v>116598304</v>
      </c>
      <c r="U12" s="34"/>
    </row>
    <row r="13" ht="15.75" customHeight="1">
      <c r="A13" s="29">
        <v>45835.0</v>
      </c>
      <c r="B13" s="2" t="s">
        <v>291</v>
      </c>
      <c r="C13" s="30">
        <v>45838.0</v>
      </c>
      <c r="D13" s="8">
        <f t="shared" si="1"/>
        <v>1851650.07</v>
      </c>
      <c r="E13" s="15"/>
      <c r="F13" s="8">
        <f t="shared" si="2"/>
        <v>811923.2746</v>
      </c>
      <c r="G13" s="8">
        <f t="shared" si="3"/>
        <v>1039726.795</v>
      </c>
      <c r="H13" s="8">
        <f t="shared" si="4"/>
        <v>80152600.66</v>
      </c>
      <c r="J13" s="5" t="s">
        <v>56</v>
      </c>
      <c r="L13" s="33">
        <v>45717.0</v>
      </c>
      <c r="M13" s="34" t="s">
        <v>44</v>
      </c>
      <c r="N13" s="35" t="s">
        <v>292</v>
      </c>
      <c r="O13" s="36"/>
      <c r="P13" s="36">
        <v>2749700.0</v>
      </c>
      <c r="Q13" s="36"/>
      <c r="R13" s="36"/>
      <c r="S13" s="36">
        <f t="shared" si="5"/>
        <v>2749700</v>
      </c>
      <c r="T13" s="36">
        <f t="shared" si="6"/>
        <v>113848604</v>
      </c>
      <c r="U13" s="34"/>
    </row>
    <row r="14" ht="15.75" customHeight="1">
      <c r="A14" s="29">
        <v>45898.0</v>
      </c>
      <c r="B14" s="2" t="s">
        <v>293</v>
      </c>
      <c r="C14" s="30">
        <v>45869.0</v>
      </c>
      <c r="D14" s="8">
        <f t="shared" si="1"/>
        <v>1851650.07</v>
      </c>
      <c r="E14" s="15"/>
      <c r="F14" s="8">
        <f t="shared" si="2"/>
        <v>801526.0066</v>
      </c>
      <c r="G14" s="8">
        <f t="shared" si="3"/>
        <v>1050124.063</v>
      </c>
      <c r="H14" s="8">
        <f t="shared" si="4"/>
        <v>79102476.6</v>
      </c>
      <c r="J14" s="8">
        <f>+H10</f>
        <v>83241000</v>
      </c>
      <c r="L14" s="33">
        <v>45762.0</v>
      </c>
      <c r="M14" s="34" t="s">
        <v>44</v>
      </c>
      <c r="N14" s="35" t="s">
        <v>294</v>
      </c>
      <c r="O14" s="36"/>
      <c r="P14" s="36">
        <v>2749700.0</v>
      </c>
      <c r="Q14" s="36"/>
      <c r="R14" s="36"/>
      <c r="S14" s="36">
        <f t="shared" si="5"/>
        <v>2749700</v>
      </c>
      <c r="T14" s="36">
        <f t="shared" si="6"/>
        <v>111098904</v>
      </c>
      <c r="U14" s="34"/>
    </row>
    <row r="15" ht="15.75" customHeight="1">
      <c r="A15" s="29">
        <v>45930.0</v>
      </c>
      <c r="B15" s="2" t="s">
        <v>295</v>
      </c>
      <c r="C15" s="30">
        <v>45900.0</v>
      </c>
      <c r="D15" s="8">
        <f t="shared" si="1"/>
        <v>1851650.07</v>
      </c>
      <c r="E15" s="15"/>
      <c r="F15" s="8">
        <f t="shared" si="2"/>
        <v>791024.766</v>
      </c>
      <c r="G15" s="8">
        <f t="shared" si="3"/>
        <v>1060625.304</v>
      </c>
      <c r="H15" s="8">
        <f t="shared" si="4"/>
        <v>78041851.3</v>
      </c>
      <c r="J15" s="5"/>
      <c r="L15" s="33">
        <v>45779.0</v>
      </c>
      <c r="M15" s="34" t="s">
        <v>73</v>
      </c>
      <c r="N15" s="35" t="s">
        <v>287</v>
      </c>
      <c r="O15" s="36"/>
      <c r="P15" s="36">
        <v>1851650.0</v>
      </c>
      <c r="Q15" s="36"/>
      <c r="R15" s="36"/>
      <c r="S15" s="36">
        <f t="shared" si="5"/>
        <v>1851650</v>
      </c>
      <c r="T15" s="36">
        <f t="shared" si="6"/>
        <v>109247254</v>
      </c>
      <c r="U15" s="34"/>
    </row>
    <row r="16" ht="15.75" customHeight="1">
      <c r="A16" s="29">
        <v>45961.0</v>
      </c>
      <c r="B16" s="2" t="s">
        <v>296</v>
      </c>
      <c r="C16" s="30">
        <v>45930.0</v>
      </c>
      <c r="D16" s="8">
        <f t="shared" si="1"/>
        <v>1851650.07</v>
      </c>
      <c r="E16" s="15"/>
      <c r="F16" s="8">
        <f t="shared" si="2"/>
        <v>780418.513</v>
      </c>
      <c r="G16" s="8">
        <f t="shared" si="3"/>
        <v>1071231.557</v>
      </c>
      <c r="H16" s="8">
        <f t="shared" si="4"/>
        <v>76970619.74</v>
      </c>
      <c r="J16" s="5"/>
      <c r="L16" s="33">
        <v>45807.0</v>
      </c>
      <c r="M16" s="34" t="s">
        <v>78</v>
      </c>
      <c r="N16" s="35" t="s">
        <v>289</v>
      </c>
      <c r="O16" s="36"/>
      <c r="P16" s="36">
        <v>1851650.0</v>
      </c>
      <c r="Q16" s="36"/>
      <c r="R16" s="36"/>
      <c r="S16" s="36">
        <f t="shared" si="5"/>
        <v>1851650</v>
      </c>
      <c r="T16" s="36">
        <f t="shared" si="6"/>
        <v>107395604</v>
      </c>
      <c r="U16" s="34"/>
    </row>
    <row r="17" ht="15.75" customHeight="1">
      <c r="A17" s="29">
        <v>46010.0</v>
      </c>
      <c r="B17" s="2" t="s">
        <v>297</v>
      </c>
      <c r="C17" s="30">
        <v>45961.0</v>
      </c>
      <c r="D17" s="8">
        <f t="shared" si="1"/>
        <v>1851650.07</v>
      </c>
      <c r="E17" s="15"/>
      <c r="F17" s="8">
        <f t="shared" si="2"/>
        <v>769706.1974</v>
      </c>
      <c r="G17" s="8">
        <f t="shared" si="3"/>
        <v>1081943.872</v>
      </c>
      <c r="H17" s="8">
        <f t="shared" si="4"/>
        <v>75888675.87</v>
      </c>
      <c r="J17" s="5"/>
      <c r="L17" s="33">
        <v>45835.0</v>
      </c>
      <c r="M17" s="34" t="s">
        <v>83</v>
      </c>
      <c r="N17" s="35" t="s">
        <v>291</v>
      </c>
      <c r="O17" s="36"/>
      <c r="P17" s="36">
        <v>1851650.0</v>
      </c>
      <c r="Q17" s="36"/>
      <c r="R17" s="36"/>
      <c r="S17" s="36">
        <f t="shared" si="5"/>
        <v>1851650</v>
      </c>
      <c r="T17" s="36">
        <f t="shared" si="6"/>
        <v>105543954</v>
      </c>
      <c r="U17" s="34"/>
    </row>
    <row r="18" ht="15.75" customHeight="1">
      <c r="A18" s="29">
        <v>46079.0</v>
      </c>
      <c r="B18" s="2" t="s">
        <v>298</v>
      </c>
      <c r="C18" s="30">
        <v>45991.0</v>
      </c>
      <c r="D18" s="8">
        <f t="shared" si="1"/>
        <v>1851650.07</v>
      </c>
      <c r="E18" s="15"/>
      <c r="F18" s="8">
        <f t="shared" si="2"/>
        <v>758886.7587</v>
      </c>
      <c r="G18" s="8">
        <f t="shared" si="3"/>
        <v>1092763.311</v>
      </c>
      <c r="H18" s="8">
        <f t="shared" si="4"/>
        <v>74795912.56</v>
      </c>
      <c r="J18" s="5"/>
      <c r="L18" s="33">
        <v>45898.0</v>
      </c>
      <c r="M18" s="34" t="s">
        <v>85</v>
      </c>
      <c r="N18" s="35" t="s">
        <v>293</v>
      </c>
      <c r="O18" s="36"/>
      <c r="P18" s="36">
        <v>1851650.0</v>
      </c>
      <c r="Q18" s="36"/>
      <c r="R18" s="36"/>
      <c r="S18" s="36">
        <f t="shared" si="5"/>
        <v>1851650</v>
      </c>
      <c r="T18" s="36">
        <f t="shared" si="6"/>
        <v>103692304</v>
      </c>
      <c r="U18" s="34"/>
    </row>
    <row r="19" ht="15.75" customHeight="1">
      <c r="A19" s="29">
        <v>46112.0</v>
      </c>
      <c r="B19" s="2" t="s">
        <v>299</v>
      </c>
      <c r="C19" s="30">
        <v>46022.0</v>
      </c>
      <c r="D19" s="8">
        <f t="shared" si="1"/>
        <v>1851650.07</v>
      </c>
      <c r="E19" s="15"/>
      <c r="F19" s="8">
        <f t="shared" si="2"/>
        <v>747959.1256</v>
      </c>
      <c r="G19" s="8">
        <f t="shared" si="3"/>
        <v>1103690.944</v>
      </c>
      <c r="H19" s="8">
        <f t="shared" si="4"/>
        <v>73692221.61</v>
      </c>
      <c r="I19" s="1"/>
      <c r="J19" s="41"/>
      <c r="K19" s="1"/>
      <c r="L19" s="42">
        <v>45930.0</v>
      </c>
      <c r="M19" s="43" t="s">
        <v>89</v>
      </c>
      <c r="N19" s="44" t="s">
        <v>295</v>
      </c>
      <c r="O19" s="45"/>
      <c r="P19" s="45">
        <v>1851650.0</v>
      </c>
      <c r="Q19" s="45"/>
      <c r="R19" s="45"/>
      <c r="S19" s="45">
        <f t="shared" si="5"/>
        <v>1851650</v>
      </c>
      <c r="T19" s="45">
        <f t="shared" si="6"/>
        <v>101840654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46142.0</v>
      </c>
      <c r="B20" s="2" t="s">
        <v>300</v>
      </c>
      <c r="C20" s="30">
        <v>46053.0</v>
      </c>
      <c r="D20" s="8">
        <f t="shared" si="1"/>
        <v>1851650.07</v>
      </c>
      <c r="E20" s="15"/>
      <c r="F20" s="8">
        <f t="shared" si="2"/>
        <v>736922.2161</v>
      </c>
      <c r="G20" s="8">
        <f t="shared" si="3"/>
        <v>1114727.854</v>
      </c>
      <c r="H20" s="8">
        <f t="shared" si="4"/>
        <v>72577493.76</v>
      </c>
      <c r="J20" s="5"/>
      <c r="L20" s="33">
        <v>45961.0</v>
      </c>
      <c r="M20" s="34" t="s">
        <v>93</v>
      </c>
      <c r="N20" s="35" t="s">
        <v>296</v>
      </c>
      <c r="O20" s="36"/>
      <c r="P20" s="36">
        <v>1851650.0</v>
      </c>
      <c r="Q20" s="36"/>
      <c r="R20" s="36"/>
      <c r="S20" s="36">
        <f t="shared" si="5"/>
        <v>1851650</v>
      </c>
      <c r="T20" s="36">
        <f t="shared" si="6"/>
        <v>99989004</v>
      </c>
      <c r="U20" s="34"/>
    </row>
    <row r="21" ht="15.75" customHeight="1">
      <c r="A21" s="29">
        <v>46198.0</v>
      </c>
      <c r="B21" s="2" t="s">
        <v>301</v>
      </c>
      <c r="C21" s="30">
        <v>46081.0</v>
      </c>
      <c r="D21" s="8">
        <f t="shared" si="1"/>
        <v>1851650.07</v>
      </c>
      <c r="E21" s="15"/>
      <c r="F21" s="8">
        <f t="shared" si="2"/>
        <v>725774.9376</v>
      </c>
      <c r="G21" s="8">
        <f t="shared" si="3"/>
        <v>1125875.132</v>
      </c>
      <c r="H21" s="8">
        <f t="shared" si="4"/>
        <v>71451618.63</v>
      </c>
      <c r="J21" s="5"/>
      <c r="L21" s="33">
        <v>46010.0</v>
      </c>
      <c r="M21" s="34" t="s">
        <v>96</v>
      </c>
      <c r="N21" s="35" t="s">
        <v>297</v>
      </c>
      <c r="O21" s="36"/>
      <c r="P21" s="36">
        <v>1851650.0</v>
      </c>
      <c r="Q21" s="36"/>
      <c r="R21" s="36"/>
      <c r="S21" s="36">
        <f t="shared" si="5"/>
        <v>1851650</v>
      </c>
      <c r="T21" s="36">
        <f t="shared" si="6"/>
        <v>98137354</v>
      </c>
      <c r="U21" s="34"/>
    </row>
    <row r="22" ht="15.75" customHeight="1">
      <c r="A22" s="37"/>
      <c r="B22" s="2"/>
      <c r="C22" s="30">
        <v>46112.0</v>
      </c>
      <c r="D22" s="8">
        <f t="shared" si="1"/>
        <v>1851650.07</v>
      </c>
      <c r="E22" s="15"/>
      <c r="F22" s="8">
        <f t="shared" si="2"/>
        <v>714516.1863</v>
      </c>
      <c r="G22" s="8">
        <f t="shared" si="3"/>
        <v>1137133.883</v>
      </c>
      <c r="H22" s="8">
        <f t="shared" si="4"/>
        <v>70314484.74</v>
      </c>
      <c r="J22" s="5"/>
      <c r="L22" s="33">
        <v>46079.0</v>
      </c>
      <c r="M22" s="34" t="s">
        <v>100</v>
      </c>
      <c r="N22" s="35" t="s">
        <v>298</v>
      </c>
      <c r="O22" s="36"/>
      <c r="P22" s="36">
        <v>1851650.0</v>
      </c>
      <c r="Q22" s="36"/>
      <c r="R22" s="36"/>
      <c r="S22" s="36">
        <f t="shared" si="5"/>
        <v>1851650</v>
      </c>
      <c r="T22" s="36">
        <f t="shared" si="6"/>
        <v>96285704</v>
      </c>
      <c r="U22" s="34"/>
    </row>
    <row r="23" ht="15.75" customHeight="1">
      <c r="A23" s="37"/>
      <c r="B23" s="2"/>
      <c r="C23" s="30">
        <v>46142.0</v>
      </c>
      <c r="D23" s="8">
        <f t="shared" si="1"/>
        <v>1851650.07</v>
      </c>
      <c r="E23" s="46"/>
      <c r="F23" s="8">
        <f t="shared" si="2"/>
        <v>703144.8474</v>
      </c>
      <c r="G23" s="8">
        <f t="shared" si="3"/>
        <v>1148505.222</v>
      </c>
      <c r="H23" s="8">
        <f t="shared" si="4"/>
        <v>69165979.52</v>
      </c>
      <c r="J23" s="5"/>
      <c r="L23" s="33">
        <v>46112.0</v>
      </c>
      <c r="M23" s="34" t="s">
        <v>103</v>
      </c>
      <c r="N23" s="35" t="s">
        <v>299</v>
      </c>
      <c r="O23" s="36"/>
      <c r="P23" s="36">
        <v>1851650.0</v>
      </c>
      <c r="Q23" s="36"/>
      <c r="R23" s="36"/>
      <c r="S23" s="36">
        <f t="shared" si="5"/>
        <v>1851650</v>
      </c>
      <c r="T23" s="36">
        <f t="shared" si="6"/>
        <v>94434054</v>
      </c>
      <c r="U23" s="34"/>
    </row>
    <row r="24" ht="15.75" customHeight="1">
      <c r="A24" s="37"/>
      <c r="B24" s="2"/>
      <c r="C24" s="30">
        <v>46173.0</v>
      </c>
      <c r="D24" s="8">
        <f t="shared" si="1"/>
        <v>1851650.07</v>
      </c>
      <c r="E24" s="46"/>
      <c r="F24" s="8">
        <f t="shared" si="2"/>
        <v>691659.7952</v>
      </c>
      <c r="G24" s="8">
        <f t="shared" si="3"/>
        <v>1159990.275</v>
      </c>
      <c r="H24" s="8">
        <f t="shared" si="4"/>
        <v>68005989.25</v>
      </c>
      <c r="J24" s="5"/>
      <c r="L24" s="33">
        <v>46142.0</v>
      </c>
      <c r="M24" s="34" t="s">
        <v>107</v>
      </c>
      <c r="N24" s="35" t="s">
        <v>300</v>
      </c>
      <c r="O24" s="36"/>
      <c r="P24" s="36">
        <v>1851650.0</v>
      </c>
      <c r="Q24" s="36"/>
      <c r="R24" s="36"/>
      <c r="S24" s="36">
        <f t="shared" si="5"/>
        <v>1851650</v>
      </c>
      <c r="T24" s="36">
        <f t="shared" si="6"/>
        <v>92582404</v>
      </c>
      <c r="U24" s="34"/>
    </row>
    <row r="25" ht="15.75" customHeight="1">
      <c r="B25" s="2"/>
      <c r="C25" s="30">
        <v>46203.0</v>
      </c>
      <c r="D25" s="8">
        <f t="shared" si="1"/>
        <v>1851650.07</v>
      </c>
      <c r="E25" s="46"/>
      <c r="F25" s="8">
        <f t="shared" si="2"/>
        <v>680059.8925</v>
      </c>
      <c r="G25" s="8">
        <f t="shared" si="3"/>
        <v>1171590.177</v>
      </c>
      <c r="H25" s="8">
        <f t="shared" si="4"/>
        <v>66834399.07</v>
      </c>
      <c r="J25" s="5"/>
      <c r="L25" s="33">
        <v>46199.0</v>
      </c>
      <c r="M25" s="34" t="s">
        <v>112</v>
      </c>
      <c r="N25" s="35" t="s">
        <v>301</v>
      </c>
      <c r="O25" s="36"/>
      <c r="P25" s="36">
        <v>1851650.0</v>
      </c>
      <c r="Q25" s="36"/>
      <c r="R25" s="36"/>
      <c r="S25" s="36">
        <f t="shared" si="5"/>
        <v>1851650</v>
      </c>
      <c r="T25" s="36">
        <f t="shared" si="6"/>
        <v>90730754</v>
      </c>
      <c r="U25" s="34"/>
    </row>
    <row r="26" ht="15.75" customHeight="1">
      <c r="B26" s="2"/>
      <c r="C26" s="30">
        <v>46234.0</v>
      </c>
      <c r="D26" s="8">
        <f t="shared" si="1"/>
        <v>1851650.07</v>
      </c>
      <c r="E26" s="46"/>
      <c r="F26" s="8">
        <f t="shared" si="2"/>
        <v>668343.9907</v>
      </c>
      <c r="G26" s="8">
        <f t="shared" si="3"/>
        <v>1183306.079</v>
      </c>
      <c r="H26" s="8">
        <f t="shared" si="4"/>
        <v>65651092.99</v>
      </c>
      <c r="J26" s="5"/>
      <c r="L26" s="25"/>
      <c r="M26" s="38" t="s">
        <v>69</v>
      </c>
      <c r="N26" s="39"/>
      <c r="O26" s="27">
        <f t="shared" ref="O26:S26" si="7">SUM(O11:O25)</f>
        <v>0</v>
      </c>
      <c r="P26" s="27">
        <f t="shared" si="7"/>
        <v>29617250</v>
      </c>
      <c r="Q26" s="27">
        <f t="shared" si="7"/>
        <v>0</v>
      </c>
      <c r="R26" s="27">
        <f t="shared" si="7"/>
        <v>0</v>
      </c>
      <c r="S26" s="27">
        <f t="shared" si="7"/>
        <v>29617250</v>
      </c>
      <c r="T26" s="27">
        <f>T25</f>
        <v>90730754</v>
      </c>
      <c r="U26" s="25"/>
    </row>
    <row r="27" ht="15.75" customHeight="1">
      <c r="B27" s="2"/>
      <c r="C27" s="30">
        <v>46265.0</v>
      </c>
      <c r="D27" s="8">
        <f t="shared" si="1"/>
        <v>1851650.07</v>
      </c>
      <c r="E27" s="46"/>
      <c r="F27" s="8">
        <f t="shared" si="2"/>
        <v>656510.9299</v>
      </c>
      <c r="G27" s="8">
        <f t="shared" si="3"/>
        <v>1195139.14</v>
      </c>
      <c r="H27" s="8">
        <f t="shared" si="4"/>
        <v>64455953.85</v>
      </c>
      <c r="J27" s="5"/>
    </row>
    <row r="28" ht="15.75" customHeight="1">
      <c r="B28" s="2"/>
      <c r="C28" s="30">
        <v>46295.0</v>
      </c>
      <c r="D28" s="8">
        <f t="shared" si="1"/>
        <v>1851650.07</v>
      </c>
      <c r="E28" s="46"/>
      <c r="F28" s="8">
        <f t="shared" si="2"/>
        <v>644559.5385</v>
      </c>
      <c r="G28" s="8">
        <f t="shared" si="3"/>
        <v>1207090.531</v>
      </c>
      <c r="H28" s="8">
        <f t="shared" si="4"/>
        <v>63248863.32</v>
      </c>
      <c r="J28" s="5"/>
    </row>
    <row r="29" ht="15.75" customHeight="1">
      <c r="B29" s="2"/>
      <c r="C29" s="30">
        <v>46326.0</v>
      </c>
      <c r="D29" s="8">
        <f t="shared" si="1"/>
        <v>1851650.07</v>
      </c>
      <c r="E29" s="46"/>
      <c r="F29" s="8">
        <f t="shared" si="2"/>
        <v>632488.6332</v>
      </c>
      <c r="G29" s="8">
        <f t="shared" si="3"/>
        <v>1219161.437</v>
      </c>
      <c r="H29" s="8">
        <f t="shared" si="4"/>
        <v>62029701.88</v>
      </c>
      <c r="J29" s="5"/>
    </row>
    <row r="30" ht="15.75" customHeight="1">
      <c r="B30" s="2"/>
      <c r="C30" s="30">
        <v>46356.0</v>
      </c>
      <c r="D30" s="8">
        <f t="shared" si="1"/>
        <v>1851650.07</v>
      </c>
      <c r="E30" s="46"/>
      <c r="F30" s="8">
        <f t="shared" si="2"/>
        <v>620297.0188</v>
      </c>
      <c r="G30" s="8">
        <f t="shared" si="3"/>
        <v>1231353.051</v>
      </c>
      <c r="H30" s="8">
        <f t="shared" si="4"/>
        <v>60798348.83</v>
      </c>
      <c r="J30" s="5"/>
    </row>
    <row r="31" ht="15.75" customHeight="1">
      <c r="B31" s="2"/>
      <c r="C31" s="30">
        <v>46387.0</v>
      </c>
      <c r="D31" s="8">
        <f t="shared" si="1"/>
        <v>1851650.07</v>
      </c>
      <c r="E31" s="46"/>
      <c r="F31" s="8">
        <f t="shared" si="2"/>
        <v>607983.4883</v>
      </c>
      <c r="G31" s="8">
        <f t="shared" si="3"/>
        <v>1243666.581</v>
      </c>
      <c r="H31" s="8">
        <f t="shared" si="4"/>
        <v>59554682.25</v>
      </c>
      <c r="J31" s="5"/>
    </row>
    <row r="32" ht="15.75" customHeight="1">
      <c r="B32" s="2"/>
      <c r="C32" s="30">
        <v>46418.0</v>
      </c>
      <c r="D32" s="8">
        <f t="shared" si="1"/>
        <v>1851650.07</v>
      </c>
      <c r="E32" s="46"/>
      <c r="F32" s="8">
        <f t="shared" si="2"/>
        <v>595546.8225</v>
      </c>
      <c r="G32" s="8">
        <f t="shared" si="3"/>
        <v>1256103.247</v>
      </c>
      <c r="H32" s="8">
        <f t="shared" si="4"/>
        <v>58298579</v>
      </c>
      <c r="J32" s="5"/>
    </row>
    <row r="33" ht="15.75" customHeight="1">
      <c r="B33" s="2"/>
      <c r="C33" s="30">
        <v>46446.0</v>
      </c>
      <c r="D33" s="8">
        <f t="shared" si="1"/>
        <v>1851650.07</v>
      </c>
      <c r="E33" s="46"/>
      <c r="F33" s="8">
        <f t="shared" si="2"/>
        <v>582985.79</v>
      </c>
      <c r="G33" s="8">
        <f t="shared" si="3"/>
        <v>1268664.28</v>
      </c>
      <c r="H33" s="8">
        <f t="shared" si="4"/>
        <v>57029914.72</v>
      </c>
      <c r="J33" s="5"/>
    </row>
    <row r="34" ht="15.75" customHeight="1">
      <c r="B34" s="2"/>
      <c r="C34" s="30">
        <v>46477.0</v>
      </c>
      <c r="D34" s="8">
        <f t="shared" si="1"/>
        <v>1851650.07</v>
      </c>
      <c r="E34" s="46"/>
      <c r="F34" s="8">
        <f t="shared" si="2"/>
        <v>570299.1472</v>
      </c>
      <c r="G34" s="8">
        <f t="shared" si="3"/>
        <v>1281350.922</v>
      </c>
      <c r="H34" s="8">
        <f t="shared" si="4"/>
        <v>55748563.8</v>
      </c>
      <c r="J34" s="5"/>
    </row>
    <row r="35" ht="15.75" customHeight="1">
      <c r="B35" s="2"/>
      <c r="C35" s="30">
        <v>46507.0</v>
      </c>
      <c r="D35" s="8">
        <f t="shared" si="1"/>
        <v>1851650.07</v>
      </c>
      <c r="E35" s="46"/>
      <c r="F35" s="8">
        <f t="shared" si="2"/>
        <v>557485.638</v>
      </c>
      <c r="G35" s="8">
        <f t="shared" si="3"/>
        <v>1294164.432</v>
      </c>
      <c r="H35" s="8">
        <f t="shared" si="4"/>
        <v>54454399.37</v>
      </c>
      <c r="J35" s="5"/>
    </row>
    <row r="36" ht="15.75" customHeight="1">
      <c r="B36" s="2"/>
      <c r="C36" s="30">
        <v>46538.0</v>
      </c>
      <c r="D36" s="8">
        <f t="shared" si="1"/>
        <v>1851650.07</v>
      </c>
      <c r="E36" s="46"/>
      <c r="F36" s="8">
        <f t="shared" si="2"/>
        <v>544543.9937</v>
      </c>
      <c r="G36" s="8">
        <f t="shared" si="3"/>
        <v>1307106.076</v>
      </c>
      <c r="H36" s="8">
        <f t="shared" si="4"/>
        <v>53147293.29</v>
      </c>
      <c r="J36" s="5"/>
    </row>
    <row r="37" ht="15.75" customHeight="1">
      <c r="B37" s="2"/>
      <c r="C37" s="30">
        <v>46568.0</v>
      </c>
      <c r="D37" s="8">
        <f t="shared" si="1"/>
        <v>1851650.07</v>
      </c>
      <c r="E37" s="46"/>
      <c r="F37" s="8">
        <f t="shared" si="2"/>
        <v>531472.9329</v>
      </c>
      <c r="G37" s="8">
        <f t="shared" si="3"/>
        <v>1320177.137</v>
      </c>
      <c r="H37" s="8">
        <f t="shared" si="4"/>
        <v>51827116.16</v>
      </c>
      <c r="J37" s="5"/>
    </row>
    <row r="38" ht="15.75" customHeight="1">
      <c r="B38" s="2"/>
      <c r="C38" s="30">
        <v>46599.0</v>
      </c>
      <c r="D38" s="8">
        <f t="shared" si="1"/>
        <v>1851650.07</v>
      </c>
      <c r="E38" s="46"/>
      <c r="F38" s="8">
        <f t="shared" si="2"/>
        <v>518271.1616</v>
      </c>
      <c r="G38" s="8">
        <f t="shared" si="3"/>
        <v>1333378.908</v>
      </c>
      <c r="H38" s="8">
        <f t="shared" si="4"/>
        <v>50493737.25</v>
      </c>
      <c r="J38" s="5"/>
    </row>
    <row r="39" ht="15.75" customHeight="1">
      <c r="B39" s="2"/>
      <c r="C39" s="30">
        <v>46630.0</v>
      </c>
      <c r="D39" s="8">
        <f t="shared" si="1"/>
        <v>1851650.07</v>
      </c>
      <c r="E39" s="46"/>
      <c r="F39" s="8">
        <f t="shared" si="2"/>
        <v>504937.3725</v>
      </c>
      <c r="G39" s="8">
        <f t="shared" si="3"/>
        <v>1346712.697</v>
      </c>
      <c r="H39" s="8">
        <f t="shared" si="4"/>
        <v>49147024.55</v>
      </c>
      <c r="J39" s="5"/>
    </row>
    <row r="40" ht="15.75" customHeight="1">
      <c r="B40" s="2"/>
      <c r="C40" s="30">
        <v>46660.0</v>
      </c>
      <c r="D40" s="8">
        <f t="shared" si="1"/>
        <v>1851650.07</v>
      </c>
      <c r="E40" s="46"/>
      <c r="F40" s="8">
        <f t="shared" si="2"/>
        <v>491470.2455</v>
      </c>
      <c r="G40" s="8">
        <f t="shared" si="3"/>
        <v>1360179.824</v>
      </c>
      <c r="H40" s="8">
        <f t="shared" si="4"/>
        <v>47786844.73</v>
      </c>
      <c r="J40" s="5"/>
    </row>
    <row r="41" ht="15.75" customHeight="1">
      <c r="B41" s="2"/>
      <c r="C41" s="30">
        <v>46691.0</v>
      </c>
      <c r="D41" s="8">
        <f t="shared" si="1"/>
        <v>1851650.07</v>
      </c>
      <c r="E41" s="46"/>
      <c r="F41" s="8">
        <f t="shared" si="2"/>
        <v>477868.4473</v>
      </c>
      <c r="G41" s="8">
        <f t="shared" si="3"/>
        <v>1373781.622</v>
      </c>
      <c r="H41" s="8">
        <f t="shared" si="4"/>
        <v>46413063.11</v>
      </c>
      <c r="J41" s="5"/>
    </row>
    <row r="42" ht="15.75" customHeight="1">
      <c r="B42" s="2"/>
      <c r="C42" s="30">
        <v>46721.0</v>
      </c>
      <c r="D42" s="8">
        <f t="shared" si="1"/>
        <v>1851650.07</v>
      </c>
      <c r="E42" s="46"/>
      <c r="F42" s="8">
        <f t="shared" si="2"/>
        <v>464130.6311</v>
      </c>
      <c r="G42" s="8">
        <f t="shared" si="3"/>
        <v>1387519.439</v>
      </c>
      <c r="H42" s="8">
        <f t="shared" si="4"/>
        <v>45025543.67</v>
      </c>
      <c r="J42" s="5"/>
    </row>
    <row r="43" ht="15.75" customHeight="1">
      <c r="B43" s="2"/>
      <c r="C43" s="30">
        <v>46752.0</v>
      </c>
      <c r="D43" s="8">
        <f t="shared" si="1"/>
        <v>1851650.07</v>
      </c>
      <c r="E43" s="46"/>
      <c r="F43" s="8">
        <f t="shared" si="2"/>
        <v>450255.4367</v>
      </c>
      <c r="G43" s="8">
        <f t="shared" si="3"/>
        <v>1401394.633</v>
      </c>
      <c r="H43" s="8">
        <f t="shared" si="4"/>
        <v>43624149.03</v>
      </c>
      <c r="J43" s="5"/>
    </row>
    <row r="44" ht="15.75" customHeight="1">
      <c r="B44" s="2"/>
      <c r="C44" s="30">
        <v>46783.0</v>
      </c>
      <c r="D44" s="8">
        <f t="shared" si="1"/>
        <v>1851650.07</v>
      </c>
      <c r="E44" s="46"/>
      <c r="F44" s="8">
        <f t="shared" si="2"/>
        <v>436241.4903</v>
      </c>
      <c r="G44" s="8">
        <f t="shared" si="3"/>
        <v>1415408.579</v>
      </c>
      <c r="H44" s="8">
        <f t="shared" si="4"/>
        <v>42208740.45</v>
      </c>
      <c r="J44" s="5"/>
    </row>
    <row r="45" ht="15.75" customHeight="1">
      <c r="B45" s="2"/>
      <c r="C45" s="30">
        <v>46812.0</v>
      </c>
      <c r="D45" s="8">
        <f t="shared" si="1"/>
        <v>1851650.07</v>
      </c>
      <c r="E45" s="46"/>
      <c r="F45" s="8">
        <f t="shared" si="2"/>
        <v>422087.4045</v>
      </c>
      <c r="G45" s="8">
        <f t="shared" si="3"/>
        <v>1429562.665</v>
      </c>
      <c r="H45" s="8">
        <f t="shared" si="4"/>
        <v>40779177.79</v>
      </c>
      <c r="J45" s="5"/>
    </row>
    <row r="46" ht="15.75" customHeight="1">
      <c r="B46" s="2"/>
      <c r="C46" s="30">
        <v>46843.0</v>
      </c>
      <c r="D46" s="8">
        <f t="shared" si="1"/>
        <v>1851650.07</v>
      </c>
      <c r="E46" s="46"/>
      <c r="F46" s="8">
        <f t="shared" si="2"/>
        <v>407791.7779</v>
      </c>
      <c r="G46" s="8">
        <f t="shared" si="3"/>
        <v>1443858.292</v>
      </c>
      <c r="H46" s="8">
        <f t="shared" si="4"/>
        <v>39335319.5</v>
      </c>
      <c r="J46" s="5"/>
    </row>
    <row r="47" ht="15.75" customHeight="1">
      <c r="B47" s="2"/>
      <c r="C47" s="30">
        <v>46873.0</v>
      </c>
      <c r="D47" s="8">
        <f t="shared" si="1"/>
        <v>1851650.07</v>
      </c>
      <c r="E47" s="46"/>
      <c r="F47" s="8">
        <f t="shared" si="2"/>
        <v>393353.195</v>
      </c>
      <c r="G47" s="8">
        <f t="shared" si="3"/>
        <v>1458296.875</v>
      </c>
      <c r="H47" s="8">
        <f t="shared" si="4"/>
        <v>37877022.62</v>
      </c>
      <c r="J47" s="5"/>
    </row>
    <row r="48" ht="15.75" customHeight="1">
      <c r="B48" s="2"/>
      <c r="C48" s="30">
        <v>46904.0</v>
      </c>
      <c r="D48" s="8">
        <f t="shared" si="1"/>
        <v>1851650.07</v>
      </c>
      <c r="E48" s="46"/>
      <c r="F48" s="8">
        <f t="shared" si="2"/>
        <v>378770.2262</v>
      </c>
      <c r="G48" s="8">
        <f t="shared" si="3"/>
        <v>1472879.844</v>
      </c>
      <c r="H48" s="8">
        <f t="shared" si="4"/>
        <v>36404142.78</v>
      </c>
      <c r="J48" s="5"/>
    </row>
    <row r="49" ht="15.75" customHeight="1">
      <c r="B49" s="2"/>
      <c r="C49" s="30">
        <v>46934.0</v>
      </c>
      <c r="D49" s="8">
        <f t="shared" si="1"/>
        <v>1851650.07</v>
      </c>
      <c r="E49" s="46"/>
      <c r="F49" s="8">
        <f t="shared" si="2"/>
        <v>364041.4278</v>
      </c>
      <c r="G49" s="8">
        <f t="shared" si="3"/>
        <v>1487608.642</v>
      </c>
      <c r="H49" s="8">
        <f t="shared" si="4"/>
        <v>34916534.14</v>
      </c>
      <c r="J49" s="5"/>
    </row>
    <row r="50" ht="15.75" customHeight="1">
      <c r="B50" s="2"/>
      <c r="C50" s="30">
        <v>46965.0</v>
      </c>
      <c r="D50" s="8">
        <f t="shared" si="1"/>
        <v>1851650.07</v>
      </c>
      <c r="E50" s="46"/>
      <c r="F50" s="8">
        <f t="shared" si="2"/>
        <v>349165.3414</v>
      </c>
      <c r="G50" s="8">
        <f t="shared" si="3"/>
        <v>1502484.728</v>
      </c>
      <c r="H50" s="8">
        <f t="shared" si="4"/>
        <v>33414049.41</v>
      </c>
      <c r="J50" s="5"/>
    </row>
    <row r="51" ht="15.75" customHeight="1">
      <c r="B51" s="2"/>
      <c r="C51" s="30">
        <v>46996.0</v>
      </c>
      <c r="D51" s="8">
        <f t="shared" si="1"/>
        <v>1851650.07</v>
      </c>
      <c r="E51" s="46"/>
      <c r="F51" s="8">
        <f t="shared" si="2"/>
        <v>334140.4941</v>
      </c>
      <c r="G51" s="8">
        <f t="shared" si="3"/>
        <v>1517509.576</v>
      </c>
      <c r="H51" s="8">
        <f t="shared" si="4"/>
        <v>31896539.83</v>
      </c>
      <c r="J51" s="5"/>
    </row>
    <row r="52" ht="15.75" customHeight="1">
      <c r="B52" s="2"/>
      <c r="C52" s="30">
        <v>47026.0</v>
      </c>
      <c r="D52" s="8">
        <f t="shared" si="1"/>
        <v>1851650.07</v>
      </c>
      <c r="E52" s="46"/>
      <c r="F52" s="8">
        <f t="shared" si="2"/>
        <v>318965.3983</v>
      </c>
      <c r="G52" s="8">
        <f t="shared" si="3"/>
        <v>1532684.671</v>
      </c>
      <c r="H52" s="8">
        <f t="shared" si="4"/>
        <v>30363855.16</v>
      </c>
      <c r="J52" s="5"/>
    </row>
    <row r="53" ht="15.75" customHeight="1">
      <c r="B53" s="2"/>
      <c r="C53" s="30">
        <v>47057.0</v>
      </c>
      <c r="D53" s="8">
        <f t="shared" si="1"/>
        <v>1851650.07</v>
      </c>
      <c r="E53" s="46"/>
      <c r="F53" s="8">
        <f t="shared" si="2"/>
        <v>303638.5516</v>
      </c>
      <c r="G53" s="8">
        <f t="shared" si="3"/>
        <v>1548011.518</v>
      </c>
      <c r="H53" s="8">
        <f t="shared" si="4"/>
        <v>28815843.64</v>
      </c>
      <c r="J53" s="5"/>
    </row>
    <row r="54" ht="15.75" customHeight="1">
      <c r="B54" s="2"/>
      <c r="C54" s="30">
        <v>47087.0</v>
      </c>
      <c r="D54" s="8">
        <f t="shared" si="1"/>
        <v>1851650.07</v>
      </c>
      <c r="E54" s="46"/>
      <c r="F54" s="8">
        <f t="shared" si="2"/>
        <v>288158.4364</v>
      </c>
      <c r="G54" s="8">
        <f t="shared" si="3"/>
        <v>1563491.633</v>
      </c>
      <c r="H54" s="8">
        <f t="shared" si="4"/>
        <v>27252352.01</v>
      </c>
      <c r="J54" s="5"/>
    </row>
    <row r="55" ht="15.75" customHeight="1">
      <c r="B55" s="2"/>
      <c r="C55" s="30">
        <v>47118.0</v>
      </c>
      <c r="D55" s="8">
        <f t="shared" si="1"/>
        <v>1851650.07</v>
      </c>
      <c r="E55" s="46"/>
      <c r="F55" s="8">
        <f t="shared" si="2"/>
        <v>272523.5201</v>
      </c>
      <c r="G55" s="8">
        <f t="shared" si="3"/>
        <v>1579126.55</v>
      </c>
      <c r="H55" s="8">
        <f t="shared" si="4"/>
        <v>25673225.46</v>
      </c>
      <c r="J55" s="5"/>
    </row>
    <row r="56" ht="15.75" customHeight="1">
      <c r="B56" s="2"/>
      <c r="C56" s="30">
        <v>47149.0</v>
      </c>
      <c r="D56" s="8">
        <f t="shared" si="1"/>
        <v>1851650.07</v>
      </c>
      <c r="E56" s="46"/>
      <c r="F56" s="8">
        <f t="shared" si="2"/>
        <v>256732.2546</v>
      </c>
      <c r="G56" s="8">
        <f t="shared" si="3"/>
        <v>1594917.815</v>
      </c>
      <c r="H56" s="8">
        <f t="shared" si="4"/>
        <v>24078307.65</v>
      </c>
      <c r="J56" s="5"/>
    </row>
    <row r="57" ht="15.75" customHeight="1">
      <c r="B57" s="2"/>
      <c r="C57" s="30">
        <v>47177.0</v>
      </c>
      <c r="D57" s="8">
        <f t="shared" si="1"/>
        <v>1851650.07</v>
      </c>
      <c r="E57" s="46"/>
      <c r="F57" s="8">
        <f t="shared" si="2"/>
        <v>240783.0765</v>
      </c>
      <c r="G57" s="8">
        <f t="shared" si="3"/>
        <v>1610866.993</v>
      </c>
      <c r="H57" s="8">
        <f t="shared" si="4"/>
        <v>22467440.65</v>
      </c>
      <c r="J57" s="5"/>
    </row>
    <row r="58" ht="15.75" customHeight="1">
      <c r="B58" s="2"/>
      <c r="C58" s="30">
        <v>47208.0</v>
      </c>
      <c r="D58" s="8">
        <f t="shared" si="1"/>
        <v>1851650.07</v>
      </c>
      <c r="E58" s="46"/>
      <c r="F58" s="8">
        <f t="shared" si="2"/>
        <v>224674.4065</v>
      </c>
      <c r="G58" s="8">
        <f t="shared" si="3"/>
        <v>1626975.663</v>
      </c>
      <c r="H58" s="8">
        <f t="shared" si="4"/>
        <v>20840464.99</v>
      </c>
      <c r="J58" s="5"/>
    </row>
    <row r="59" ht="15.75" customHeight="1">
      <c r="B59" s="2"/>
      <c r="C59" s="30">
        <v>47238.0</v>
      </c>
      <c r="D59" s="8">
        <f t="shared" si="1"/>
        <v>1851650.07</v>
      </c>
      <c r="E59" s="46"/>
      <c r="F59" s="8">
        <f t="shared" si="2"/>
        <v>208404.6499</v>
      </c>
      <c r="G59" s="8">
        <f t="shared" si="3"/>
        <v>1643245.42</v>
      </c>
      <c r="H59" s="8">
        <f t="shared" si="4"/>
        <v>19197219.57</v>
      </c>
      <c r="J59" s="5"/>
    </row>
    <row r="60" ht="15.75" customHeight="1">
      <c r="B60" s="2"/>
      <c r="C60" s="30">
        <v>47269.0</v>
      </c>
      <c r="D60" s="8">
        <f t="shared" si="1"/>
        <v>1851650.07</v>
      </c>
      <c r="E60" s="46"/>
      <c r="F60" s="8">
        <f t="shared" si="2"/>
        <v>191972.1957</v>
      </c>
      <c r="G60" s="8">
        <f t="shared" si="3"/>
        <v>1659677.874</v>
      </c>
      <c r="H60" s="8">
        <f t="shared" si="4"/>
        <v>17537541.69</v>
      </c>
      <c r="J60" s="5"/>
    </row>
    <row r="61" ht="15.75" customHeight="1">
      <c r="B61" s="2"/>
      <c r="C61" s="30">
        <v>47299.0</v>
      </c>
      <c r="D61" s="8">
        <f t="shared" si="1"/>
        <v>1851650.07</v>
      </c>
      <c r="E61" s="46"/>
      <c r="F61" s="8">
        <f t="shared" si="2"/>
        <v>175375.4169</v>
      </c>
      <c r="G61" s="8">
        <f t="shared" si="3"/>
        <v>1676274.653</v>
      </c>
      <c r="H61" s="8">
        <f t="shared" si="4"/>
        <v>15861267.04</v>
      </c>
      <c r="J61" s="5"/>
    </row>
    <row r="62" ht="15.75" customHeight="1">
      <c r="B62" s="2"/>
      <c r="C62" s="30">
        <v>47330.0</v>
      </c>
      <c r="D62" s="8">
        <f t="shared" si="1"/>
        <v>1851650.07</v>
      </c>
      <c r="E62" s="46"/>
      <c r="F62" s="8">
        <f t="shared" si="2"/>
        <v>158612.6704</v>
      </c>
      <c r="G62" s="8">
        <f t="shared" si="3"/>
        <v>1693037.399</v>
      </c>
      <c r="H62" s="8">
        <f t="shared" si="4"/>
        <v>14168229.64</v>
      </c>
      <c r="J62" s="5"/>
    </row>
    <row r="63" ht="15.75" customHeight="1">
      <c r="B63" s="2"/>
      <c r="C63" s="30">
        <v>47361.0</v>
      </c>
      <c r="D63" s="8">
        <f t="shared" si="1"/>
        <v>1851650.07</v>
      </c>
      <c r="E63" s="46"/>
      <c r="F63" s="8">
        <f t="shared" si="2"/>
        <v>141682.2964</v>
      </c>
      <c r="G63" s="8">
        <f t="shared" si="3"/>
        <v>1709967.773</v>
      </c>
      <c r="H63" s="8">
        <f t="shared" si="4"/>
        <v>12458261.87</v>
      </c>
      <c r="J63" s="5"/>
    </row>
    <row r="64" ht="15.75" customHeight="1">
      <c r="B64" s="2"/>
      <c r="C64" s="30">
        <v>47391.0</v>
      </c>
      <c r="D64" s="8">
        <f t="shared" si="1"/>
        <v>1851650.07</v>
      </c>
      <c r="E64" s="46"/>
      <c r="F64" s="8">
        <f t="shared" si="2"/>
        <v>124582.6187</v>
      </c>
      <c r="G64" s="8">
        <f t="shared" si="3"/>
        <v>1727067.451</v>
      </c>
      <c r="H64" s="8">
        <f t="shared" si="4"/>
        <v>10731194.42</v>
      </c>
      <c r="J64" s="5"/>
    </row>
    <row r="65" ht="15.75" customHeight="1">
      <c r="B65" s="2"/>
      <c r="C65" s="30">
        <v>47422.0</v>
      </c>
      <c r="D65" s="8">
        <f t="shared" si="1"/>
        <v>1851650.07</v>
      </c>
      <c r="E65" s="46"/>
      <c r="F65" s="8">
        <f t="shared" si="2"/>
        <v>107311.9442</v>
      </c>
      <c r="G65" s="8">
        <f t="shared" si="3"/>
        <v>1744338.126</v>
      </c>
      <c r="H65" s="8">
        <f t="shared" si="4"/>
        <v>8986856.293</v>
      </c>
      <c r="J65" s="5"/>
    </row>
    <row r="66" ht="15.75" customHeight="1">
      <c r="B66" s="2"/>
      <c r="C66" s="30">
        <v>47452.0</v>
      </c>
      <c r="D66" s="8">
        <f t="shared" si="1"/>
        <v>1851650.07</v>
      </c>
      <c r="E66" s="46"/>
      <c r="F66" s="8">
        <f t="shared" si="2"/>
        <v>89868.56293</v>
      </c>
      <c r="G66" s="8">
        <f t="shared" si="3"/>
        <v>1761781.507</v>
      </c>
      <c r="H66" s="8">
        <f t="shared" si="4"/>
        <v>7225074.786</v>
      </c>
      <c r="J66" s="5"/>
    </row>
    <row r="67" ht="15.75" customHeight="1">
      <c r="B67" s="2"/>
      <c r="C67" s="30">
        <v>47483.0</v>
      </c>
      <c r="D67" s="8">
        <f t="shared" si="1"/>
        <v>1851650.07</v>
      </c>
      <c r="E67" s="46"/>
      <c r="F67" s="8">
        <f t="shared" si="2"/>
        <v>72250.74786</v>
      </c>
      <c r="G67" s="8">
        <f t="shared" si="3"/>
        <v>1779399.322</v>
      </c>
      <c r="H67" s="8">
        <f t="shared" si="4"/>
        <v>5445675.464</v>
      </c>
      <c r="J67" s="5"/>
    </row>
    <row r="68" ht="15.75" customHeight="1">
      <c r="B68" s="2"/>
      <c r="C68" s="30">
        <v>47514.0</v>
      </c>
      <c r="D68" s="8">
        <f t="shared" si="1"/>
        <v>1851650.07</v>
      </c>
      <c r="E68" s="46"/>
      <c r="F68" s="8">
        <f t="shared" si="2"/>
        <v>54456.75464</v>
      </c>
      <c r="G68" s="8">
        <f t="shared" si="3"/>
        <v>1797193.315</v>
      </c>
      <c r="H68" s="8">
        <f t="shared" si="4"/>
        <v>3648482.149</v>
      </c>
      <c r="J68" s="5"/>
    </row>
    <row r="69" ht="15.75" customHeight="1">
      <c r="B69" s="2"/>
      <c r="C69" s="30">
        <v>47542.0</v>
      </c>
      <c r="D69" s="8">
        <f t="shared" si="1"/>
        <v>1851650.07</v>
      </c>
      <c r="E69" s="46"/>
      <c r="F69" s="8">
        <f t="shared" si="2"/>
        <v>36484.82149</v>
      </c>
      <c r="G69" s="8">
        <f t="shared" si="3"/>
        <v>1815165.248</v>
      </c>
      <c r="H69" s="8">
        <f t="shared" si="4"/>
        <v>1833316.901</v>
      </c>
      <c r="J69" s="5"/>
    </row>
    <row r="70" ht="15.75" customHeight="1">
      <c r="B70" s="2"/>
      <c r="C70" s="30">
        <v>47573.0</v>
      </c>
      <c r="D70" s="8">
        <f t="shared" si="1"/>
        <v>1851650.07</v>
      </c>
      <c r="E70" s="46"/>
      <c r="F70" s="8">
        <f t="shared" si="2"/>
        <v>18333.16901</v>
      </c>
      <c r="G70" s="8">
        <f t="shared" si="3"/>
        <v>1833316.901</v>
      </c>
      <c r="H70" s="8">
        <f t="shared" si="4"/>
        <v>0.00000007916241884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7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302</v>
      </c>
      <c r="J1" s="5"/>
    </row>
    <row r="2" ht="15.75" customHeight="1">
      <c r="B2" s="2"/>
      <c r="C2" s="1" t="s">
        <v>6</v>
      </c>
      <c r="D2" s="6">
        <f>+A5*10%</f>
        <v>10790500</v>
      </c>
      <c r="E2" s="7"/>
      <c r="J2" s="5"/>
    </row>
    <row r="3" ht="15.75" customHeight="1">
      <c r="B3" s="2"/>
      <c r="C3" s="1" t="s">
        <v>7</v>
      </c>
      <c r="D3" s="8">
        <f>+A5-D2</f>
        <v>97114500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1.07905E8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2160258.415</v>
      </c>
      <c r="E6" s="12"/>
      <c r="H6" s="5"/>
      <c r="J6" s="5"/>
    </row>
    <row r="7" ht="33.75" customHeight="1">
      <c r="B7" s="2"/>
      <c r="C7" s="63" t="s">
        <v>12</v>
      </c>
      <c r="D7" s="64" t="s">
        <v>303</v>
      </c>
      <c r="H7" s="5"/>
      <c r="J7" s="5"/>
    </row>
    <row r="8" ht="15.75" customHeight="1">
      <c r="B8" s="2"/>
      <c r="C8" s="1" t="s">
        <v>172</v>
      </c>
      <c r="D8" s="20" t="s">
        <v>304</v>
      </c>
      <c r="H8" s="5"/>
      <c r="I8" s="17"/>
      <c r="J8" s="19"/>
      <c r="K8" s="17"/>
      <c r="L8" s="21" t="s">
        <v>305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97114500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1.40406005E8</v>
      </c>
      <c r="U10" s="25"/>
    </row>
    <row r="11" ht="15.75" customHeight="1">
      <c r="A11" s="29">
        <v>45968.0</v>
      </c>
      <c r="B11" s="2" t="s">
        <v>306</v>
      </c>
      <c r="C11" s="30">
        <v>45966.0</v>
      </c>
      <c r="D11" s="8">
        <f t="shared" ref="D11:D70" si="1">$D$6</f>
        <v>2160258.415</v>
      </c>
      <c r="E11" s="15">
        <f t="shared" ref="E11:E12" si="2">2160300-D11</f>
        <v>41.58530461</v>
      </c>
      <c r="F11" s="8">
        <f t="shared" ref="F11:F70" si="3">+H10*$D$4</f>
        <v>971145</v>
      </c>
      <c r="G11" s="8">
        <f t="shared" ref="G11:G70" si="4">+D11+E11-F11</f>
        <v>1189155</v>
      </c>
      <c r="H11" s="8">
        <f t="shared" ref="H11:H70" si="5">+H10-G11</f>
        <v>95925345</v>
      </c>
      <c r="J11" s="5"/>
      <c r="L11" s="33">
        <v>45929.0</v>
      </c>
      <c r="M11" s="34" t="s">
        <v>242</v>
      </c>
      <c r="N11" s="35" t="s">
        <v>307</v>
      </c>
      <c r="O11" s="36"/>
      <c r="P11" s="36">
        <v>1.07905E7</v>
      </c>
      <c r="Q11" s="36"/>
      <c r="R11" s="36"/>
      <c r="S11" s="36">
        <f t="shared" ref="S11:S20" si="6">SUM(O11:R11)</f>
        <v>10790500</v>
      </c>
      <c r="T11" s="36">
        <f t="shared" ref="T11:T20" si="7">T10-S11</f>
        <v>129615505</v>
      </c>
      <c r="U11" s="34"/>
    </row>
    <row r="12" ht="15.75" customHeight="1">
      <c r="A12" s="29">
        <v>46001.0</v>
      </c>
      <c r="B12" s="2" t="s">
        <v>308</v>
      </c>
      <c r="C12" s="30">
        <v>45996.0</v>
      </c>
      <c r="D12" s="8">
        <f t="shared" si="1"/>
        <v>2160258.415</v>
      </c>
      <c r="E12" s="15">
        <f t="shared" si="2"/>
        <v>41.58530461</v>
      </c>
      <c r="F12" s="8">
        <f t="shared" si="3"/>
        <v>959253.45</v>
      </c>
      <c r="G12" s="8">
        <f t="shared" si="4"/>
        <v>1201046.55</v>
      </c>
      <c r="H12" s="8">
        <f t="shared" si="5"/>
        <v>94724298.45</v>
      </c>
      <c r="J12" s="5"/>
      <c r="L12" s="33">
        <v>45968.0</v>
      </c>
      <c r="M12" s="34" t="s">
        <v>73</v>
      </c>
      <c r="N12" s="35" t="s">
        <v>306</v>
      </c>
      <c r="O12" s="36"/>
      <c r="P12" s="36">
        <v>2160300.0</v>
      </c>
      <c r="Q12" s="36"/>
      <c r="R12" s="36"/>
      <c r="S12" s="36">
        <f t="shared" si="6"/>
        <v>2160300</v>
      </c>
      <c r="T12" s="36">
        <f t="shared" si="7"/>
        <v>127455205</v>
      </c>
      <c r="U12" s="34"/>
    </row>
    <row r="13" ht="15.75" customHeight="1">
      <c r="A13" s="29">
        <v>46037.0</v>
      </c>
      <c r="B13" s="2" t="s">
        <v>311</v>
      </c>
      <c r="C13" s="30">
        <v>46027.0</v>
      </c>
      <c r="D13" s="8">
        <f t="shared" si="1"/>
        <v>2160258.415</v>
      </c>
      <c r="E13" s="15">
        <f t="shared" ref="E13:E14" si="8">2160500-D13</f>
        <v>241.5853046</v>
      </c>
      <c r="F13" s="8">
        <f t="shared" si="3"/>
        <v>947242.9845</v>
      </c>
      <c r="G13" s="8">
        <f t="shared" si="4"/>
        <v>1213257.016</v>
      </c>
      <c r="H13" s="8">
        <f t="shared" si="5"/>
        <v>93511041.43</v>
      </c>
      <c r="J13" s="5" t="s">
        <v>56</v>
      </c>
      <c r="L13" s="33">
        <v>46001.0</v>
      </c>
      <c r="M13" s="34" t="s">
        <v>78</v>
      </c>
      <c r="N13" s="35" t="s">
        <v>308</v>
      </c>
      <c r="O13" s="36"/>
      <c r="P13" s="36">
        <v>2160300.0</v>
      </c>
      <c r="Q13" s="36"/>
      <c r="R13" s="36"/>
      <c r="S13" s="36">
        <f t="shared" si="6"/>
        <v>2160300</v>
      </c>
      <c r="T13" s="36">
        <f t="shared" si="7"/>
        <v>125294905</v>
      </c>
      <c r="U13" s="34"/>
    </row>
    <row r="14" ht="15.75" customHeight="1">
      <c r="A14" s="29">
        <v>46062.0</v>
      </c>
      <c r="B14" s="2" t="s">
        <v>312</v>
      </c>
      <c r="C14" s="30">
        <v>46058.0</v>
      </c>
      <c r="D14" s="8">
        <f t="shared" si="1"/>
        <v>2160258.415</v>
      </c>
      <c r="E14" s="15">
        <f t="shared" si="8"/>
        <v>241.5853046</v>
      </c>
      <c r="F14" s="8">
        <f t="shared" si="3"/>
        <v>935110.4143</v>
      </c>
      <c r="G14" s="8">
        <f t="shared" si="4"/>
        <v>1225389.586</v>
      </c>
      <c r="H14" s="8">
        <f t="shared" si="5"/>
        <v>92285651.85</v>
      </c>
      <c r="J14" s="8">
        <f>+H10</f>
        <v>97114500</v>
      </c>
      <c r="L14" s="33">
        <v>46030.0</v>
      </c>
      <c r="M14" s="34" t="s">
        <v>83</v>
      </c>
      <c r="N14" s="35" t="s">
        <v>311</v>
      </c>
      <c r="O14" s="36"/>
      <c r="P14" s="36">
        <v>2160500.0</v>
      </c>
      <c r="Q14" s="36"/>
      <c r="R14" s="36"/>
      <c r="S14" s="36">
        <f t="shared" si="6"/>
        <v>2160500</v>
      </c>
      <c r="T14" s="36">
        <f t="shared" si="7"/>
        <v>123134405</v>
      </c>
      <c r="U14" s="34"/>
    </row>
    <row r="15" ht="15.75" customHeight="1">
      <c r="A15" s="29">
        <v>46087.0</v>
      </c>
      <c r="B15" s="2" t="s">
        <v>314</v>
      </c>
      <c r="C15" s="30">
        <v>46086.0</v>
      </c>
      <c r="D15" s="8">
        <f t="shared" si="1"/>
        <v>2160258.415</v>
      </c>
      <c r="E15" s="15"/>
      <c r="F15" s="8">
        <f t="shared" si="3"/>
        <v>922856.5185</v>
      </c>
      <c r="G15" s="8">
        <f t="shared" si="4"/>
        <v>1237401.896</v>
      </c>
      <c r="H15" s="8">
        <f t="shared" si="5"/>
        <v>91048249.95</v>
      </c>
      <c r="J15" s="5"/>
      <c r="L15" s="33">
        <v>46062.0</v>
      </c>
      <c r="M15" s="34" t="s">
        <v>85</v>
      </c>
      <c r="N15" s="35" t="s">
        <v>312</v>
      </c>
      <c r="O15" s="36"/>
      <c r="P15" s="36">
        <v>2160500.0</v>
      </c>
      <c r="Q15" s="36"/>
      <c r="R15" s="36"/>
      <c r="S15" s="36">
        <f t="shared" si="6"/>
        <v>2160500</v>
      </c>
      <c r="T15" s="36">
        <f t="shared" si="7"/>
        <v>120973905</v>
      </c>
      <c r="U15" s="34"/>
    </row>
    <row r="16" ht="15.75" customHeight="1">
      <c r="A16" s="29">
        <v>46120.0</v>
      </c>
      <c r="B16" s="2" t="s">
        <v>315</v>
      </c>
      <c r="C16" s="30">
        <v>46117.0</v>
      </c>
      <c r="D16" s="8">
        <f t="shared" si="1"/>
        <v>2160258.415</v>
      </c>
      <c r="E16" s="15"/>
      <c r="F16" s="8">
        <f t="shared" si="3"/>
        <v>910482.4995</v>
      </c>
      <c r="G16" s="8">
        <f t="shared" si="4"/>
        <v>1249775.915</v>
      </c>
      <c r="H16" s="8">
        <f t="shared" si="5"/>
        <v>89798474.04</v>
      </c>
      <c r="J16" s="5"/>
      <c r="L16" s="33">
        <v>46087.0</v>
      </c>
      <c r="M16" s="34" t="s">
        <v>89</v>
      </c>
      <c r="N16" s="35" t="s">
        <v>314</v>
      </c>
      <c r="O16" s="36"/>
      <c r="P16" s="36">
        <v>2160500.0</v>
      </c>
      <c r="Q16" s="36"/>
      <c r="R16" s="36"/>
      <c r="S16" s="36">
        <f t="shared" si="6"/>
        <v>2160500</v>
      </c>
      <c r="T16" s="36">
        <f t="shared" si="7"/>
        <v>118813405</v>
      </c>
      <c r="U16" s="34"/>
    </row>
    <row r="17" ht="15.75" customHeight="1">
      <c r="A17" s="29">
        <v>46149.0</v>
      </c>
      <c r="B17" s="2" t="s">
        <v>316</v>
      </c>
      <c r="C17" s="30">
        <v>46147.0</v>
      </c>
      <c r="D17" s="8">
        <f t="shared" si="1"/>
        <v>2160258.415</v>
      </c>
      <c r="E17" s="15">
        <f>2160000+242+242-D17</f>
        <v>225.5853046</v>
      </c>
      <c r="F17" s="8">
        <f t="shared" si="3"/>
        <v>897984.7404</v>
      </c>
      <c r="G17" s="8">
        <f t="shared" si="4"/>
        <v>1262499.26</v>
      </c>
      <c r="H17" s="8">
        <f t="shared" si="5"/>
        <v>88535974.78</v>
      </c>
      <c r="J17" s="5"/>
      <c r="L17" s="33">
        <v>46120.0</v>
      </c>
      <c r="M17" s="34" t="s">
        <v>93</v>
      </c>
      <c r="N17" s="35" t="s">
        <v>315</v>
      </c>
      <c r="O17" s="36"/>
      <c r="P17" s="36">
        <v>2160500.0</v>
      </c>
      <c r="Q17" s="36"/>
      <c r="R17" s="36"/>
      <c r="S17" s="36">
        <f t="shared" si="6"/>
        <v>2160500</v>
      </c>
      <c r="T17" s="36">
        <f t="shared" si="7"/>
        <v>116652905</v>
      </c>
      <c r="U17" s="34"/>
    </row>
    <row r="18" ht="15.75" customHeight="1">
      <c r="A18" s="29">
        <v>46211.0</v>
      </c>
      <c r="B18" s="2" t="s">
        <v>319</v>
      </c>
      <c r="C18" s="30">
        <v>46178.0</v>
      </c>
      <c r="D18" s="8">
        <f t="shared" si="1"/>
        <v>2160258.415</v>
      </c>
      <c r="E18" s="15">
        <f t="shared" ref="E18:E19" si="9">2160000-D18</f>
        <v>-258.4146954</v>
      </c>
      <c r="F18" s="8">
        <f t="shared" si="3"/>
        <v>885359.7478</v>
      </c>
      <c r="G18" s="8">
        <f t="shared" si="4"/>
        <v>1274640.252</v>
      </c>
      <c r="H18" s="8">
        <f t="shared" si="5"/>
        <v>87261334.53</v>
      </c>
      <c r="J18" s="5"/>
      <c r="L18" s="33">
        <v>46149.0</v>
      </c>
      <c r="M18" s="34" t="s">
        <v>96</v>
      </c>
      <c r="N18" s="35" t="s">
        <v>316</v>
      </c>
      <c r="O18" s="36"/>
      <c r="P18" s="36">
        <v>2160000.0</v>
      </c>
      <c r="Q18" s="36"/>
      <c r="R18" s="36"/>
      <c r="S18" s="36">
        <f t="shared" si="6"/>
        <v>2160000</v>
      </c>
      <c r="T18" s="36">
        <f t="shared" si="7"/>
        <v>114492905</v>
      </c>
      <c r="U18" s="34"/>
    </row>
    <row r="19" ht="15.75" customHeight="1">
      <c r="A19" s="29">
        <v>46240.0</v>
      </c>
      <c r="B19" s="2" t="s">
        <v>321</v>
      </c>
      <c r="C19" s="30">
        <v>46208.0</v>
      </c>
      <c r="D19" s="8">
        <f t="shared" si="1"/>
        <v>2160258.415</v>
      </c>
      <c r="E19" s="15">
        <f t="shared" si="9"/>
        <v>-258.4146954</v>
      </c>
      <c r="F19" s="8">
        <f t="shared" si="3"/>
        <v>872613.3453</v>
      </c>
      <c r="G19" s="8">
        <f t="shared" si="4"/>
        <v>1287386.655</v>
      </c>
      <c r="H19" s="8">
        <f t="shared" si="5"/>
        <v>85973947.87</v>
      </c>
      <c r="I19" s="1"/>
      <c r="J19" s="41"/>
      <c r="K19" s="1"/>
      <c r="L19" s="42">
        <v>46211.0</v>
      </c>
      <c r="M19" s="43" t="s">
        <v>100</v>
      </c>
      <c r="N19" s="44" t="s">
        <v>319</v>
      </c>
      <c r="O19" s="45"/>
      <c r="P19" s="45">
        <v>2160000.0</v>
      </c>
      <c r="Q19" s="45"/>
      <c r="R19" s="45"/>
      <c r="S19" s="45">
        <f t="shared" si="6"/>
        <v>2160000</v>
      </c>
      <c r="T19" s="45">
        <f t="shared" si="7"/>
        <v>112332905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46239.0</v>
      </c>
      <c r="D20" s="8">
        <f t="shared" si="1"/>
        <v>2160258.415</v>
      </c>
      <c r="E20" s="15"/>
      <c r="F20" s="8">
        <f t="shared" si="3"/>
        <v>859739.4787</v>
      </c>
      <c r="G20" s="8">
        <f t="shared" si="4"/>
        <v>1300518.936</v>
      </c>
      <c r="H20" s="8">
        <f t="shared" si="5"/>
        <v>84673428.93</v>
      </c>
      <c r="J20" s="5"/>
      <c r="L20" s="40">
        <v>46240.0</v>
      </c>
      <c r="M20" s="34" t="s">
        <v>103</v>
      </c>
      <c r="N20" s="35" t="s">
        <v>321</v>
      </c>
      <c r="O20" s="36"/>
      <c r="P20" s="36"/>
      <c r="Q20" s="36"/>
      <c r="R20" s="36">
        <v>2160000.0</v>
      </c>
      <c r="S20" s="36">
        <f t="shared" si="6"/>
        <v>2160000</v>
      </c>
      <c r="T20" s="36">
        <f t="shared" si="7"/>
        <v>110172905</v>
      </c>
      <c r="U20" s="34" t="s">
        <v>125</v>
      </c>
    </row>
    <row r="21" ht="15.75" customHeight="1">
      <c r="A21" s="37"/>
      <c r="B21" s="2"/>
      <c r="C21" s="30">
        <v>46270.0</v>
      </c>
      <c r="D21" s="8">
        <f t="shared" si="1"/>
        <v>2160258.415</v>
      </c>
      <c r="E21" s="15"/>
      <c r="F21" s="8">
        <f t="shared" si="3"/>
        <v>846734.2893</v>
      </c>
      <c r="G21" s="8">
        <f t="shared" si="4"/>
        <v>1313524.125</v>
      </c>
      <c r="H21" s="8">
        <f t="shared" si="5"/>
        <v>83359904.81</v>
      </c>
      <c r="J21" s="5"/>
      <c r="L21" s="25"/>
      <c r="M21" s="38" t="s">
        <v>69</v>
      </c>
      <c r="N21" s="39"/>
      <c r="O21" s="27">
        <f t="shared" ref="O21:S21" si="10">SUM(O11:O20)</f>
        <v>0</v>
      </c>
      <c r="P21" s="27">
        <f t="shared" si="10"/>
        <v>28073100</v>
      </c>
      <c r="Q21" s="27">
        <f t="shared" si="10"/>
        <v>0</v>
      </c>
      <c r="R21" s="27">
        <f t="shared" si="10"/>
        <v>2160000</v>
      </c>
      <c r="S21" s="27">
        <f t="shared" si="10"/>
        <v>30233100</v>
      </c>
      <c r="T21" s="27">
        <f>T20</f>
        <v>110172905</v>
      </c>
      <c r="U21" s="25"/>
    </row>
    <row r="22" ht="15.75" customHeight="1">
      <c r="A22" s="37"/>
      <c r="B22" s="2"/>
      <c r="C22" s="30">
        <v>46300.0</v>
      </c>
      <c r="D22" s="8">
        <f t="shared" si="1"/>
        <v>2160258.415</v>
      </c>
      <c r="E22" s="15"/>
      <c r="F22" s="8">
        <f t="shared" si="3"/>
        <v>833599.0481</v>
      </c>
      <c r="G22" s="8">
        <f t="shared" si="4"/>
        <v>1326659.367</v>
      </c>
      <c r="H22" s="8">
        <f t="shared" si="5"/>
        <v>82033245.44</v>
      </c>
      <c r="J22" s="5"/>
    </row>
    <row r="23" ht="15.75" customHeight="1">
      <c r="A23" s="37"/>
      <c r="B23" s="2"/>
      <c r="C23" s="30">
        <v>46331.0</v>
      </c>
      <c r="D23" s="8">
        <f t="shared" si="1"/>
        <v>2160258.415</v>
      </c>
      <c r="E23" s="46"/>
      <c r="F23" s="8">
        <f t="shared" si="3"/>
        <v>820332.4544</v>
      </c>
      <c r="G23" s="8">
        <f t="shared" si="4"/>
        <v>1339925.96</v>
      </c>
      <c r="H23" s="8">
        <f t="shared" si="5"/>
        <v>80693319.48</v>
      </c>
      <c r="J23" s="5"/>
    </row>
    <row r="24" ht="15.75" customHeight="1">
      <c r="A24" s="37"/>
      <c r="B24" s="2"/>
      <c r="C24" s="30">
        <v>46361.0</v>
      </c>
      <c r="D24" s="8">
        <f t="shared" si="1"/>
        <v>2160258.415</v>
      </c>
      <c r="E24" s="46"/>
      <c r="F24" s="8">
        <f t="shared" si="3"/>
        <v>806933.1948</v>
      </c>
      <c r="G24" s="8">
        <f t="shared" si="4"/>
        <v>1353325.22</v>
      </c>
      <c r="H24" s="8">
        <f t="shared" si="5"/>
        <v>79339994.26</v>
      </c>
      <c r="J24" s="5"/>
    </row>
    <row r="25" ht="15.75" customHeight="1">
      <c r="B25" s="2"/>
      <c r="C25" s="30">
        <v>46392.0</v>
      </c>
      <c r="D25" s="8">
        <f t="shared" si="1"/>
        <v>2160258.415</v>
      </c>
      <c r="E25" s="46"/>
      <c r="F25" s="8">
        <f t="shared" si="3"/>
        <v>793399.9426</v>
      </c>
      <c r="G25" s="8">
        <f t="shared" si="4"/>
        <v>1366858.472</v>
      </c>
      <c r="H25" s="8">
        <f t="shared" si="5"/>
        <v>77973135.79</v>
      </c>
      <c r="J25" s="5"/>
    </row>
    <row r="26" ht="15.75" customHeight="1">
      <c r="B26" s="2"/>
      <c r="C26" s="30">
        <v>46423.0</v>
      </c>
      <c r="D26" s="8">
        <f t="shared" si="1"/>
        <v>2160258.415</v>
      </c>
      <c r="E26" s="46"/>
      <c r="F26" s="8">
        <f t="shared" si="3"/>
        <v>779731.3579</v>
      </c>
      <c r="G26" s="8">
        <f t="shared" si="4"/>
        <v>1380527.057</v>
      </c>
      <c r="H26" s="8">
        <f t="shared" si="5"/>
        <v>76592608.73</v>
      </c>
      <c r="J26" s="5"/>
    </row>
    <row r="27" ht="15.75" customHeight="1">
      <c r="B27" s="2"/>
      <c r="C27" s="30">
        <v>46451.0</v>
      </c>
      <c r="D27" s="8">
        <f t="shared" si="1"/>
        <v>2160258.415</v>
      </c>
      <c r="E27" s="46"/>
      <c r="F27" s="8">
        <f t="shared" si="3"/>
        <v>765926.0873</v>
      </c>
      <c r="G27" s="8">
        <f t="shared" si="4"/>
        <v>1394332.327</v>
      </c>
      <c r="H27" s="8">
        <f t="shared" si="5"/>
        <v>75198276.41</v>
      </c>
      <c r="J27" s="5"/>
    </row>
    <row r="28" ht="15.75" customHeight="1">
      <c r="B28" s="2"/>
      <c r="C28" s="30">
        <v>46482.0</v>
      </c>
      <c r="D28" s="8">
        <f t="shared" si="1"/>
        <v>2160258.415</v>
      </c>
      <c r="E28" s="46"/>
      <c r="F28" s="8">
        <f t="shared" si="3"/>
        <v>751982.7641</v>
      </c>
      <c r="G28" s="8">
        <f t="shared" si="4"/>
        <v>1408275.651</v>
      </c>
      <c r="H28" s="8">
        <f t="shared" si="5"/>
        <v>73790000.76</v>
      </c>
      <c r="J28" s="5"/>
    </row>
    <row r="29" ht="15.75" customHeight="1">
      <c r="B29" s="2"/>
      <c r="C29" s="30">
        <v>46512.0</v>
      </c>
      <c r="D29" s="8">
        <f t="shared" si="1"/>
        <v>2160258.415</v>
      </c>
      <c r="E29" s="46"/>
      <c r="F29" s="8">
        <f t="shared" si="3"/>
        <v>737900.0076</v>
      </c>
      <c r="G29" s="8">
        <f t="shared" si="4"/>
        <v>1422358.407</v>
      </c>
      <c r="H29" s="8">
        <f t="shared" si="5"/>
        <v>72367642.35</v>
      </c>
      <c r="J29" s="5"/>
    </row>
    <row r="30" ht="15.75" customHeight="1">
      <c r="B30" s="2"/>
      <c r="C30" s="30">
        <v>46543.0</v>
      </c>
      <c r="D30" s="8">
        <f t="shared" si="1"/>
        <v>2160258.415</v>
      </c>
      <c r="E30" s="46"/>
      <c r="F30" s="8">
        <f t="shared" si="3"/>
        <v>723676.4235</v>
      </c>
      <c r="G30" s="8">
        <f t="shared" si="4"/>
        <v>1436581.991</v>
      </c>
      <c r="H30" s="8">
        <f t="shared" si="5"/>
        <v>70931060.36</v>
      </c>
      <c r="J30" s="5"/>
    </row>
    <row r="31" ht="15.75" customHeight="1">
      <c r="B31" s="2"/>
      <c r="C31" s="30">
        <v>46573.0</v>
      </c>
      <c r="D31" s="8">
        <f t="shared" si="1"/>
        <v>2160258.415</v>
      </c>
      <c r="E31" s="46"/>
      <c r="F31" s="8">
        <f t="shared" si="3"/>
        <v>709310.6036</v>
      </c>
      <c r="G31" s="8">
        <f t="shared" si="4"/>
        <v>1450947.811</v>
      </c>
      <c r="H31" s="8">
        <f t="shared" si="5"/>
        <v>69480112.55</v>
      </c>
      <c r="J31" s="5"/>
    </row>
    <row r="32" ht="15.75" customHeight="1">
      <c r="B32" s="2"/>
      <c r="C32" s="30">
        <v>46604.0</v>
      </c>
      <c r="D32" s="8">
        <f t="shared" si="1"/>
        <v>2160258.415</v>
      </c>
      <c r="E32" s="46"/>
      <c r="F32" s="8">
        <f t="shared" si="3"/>
        <v>694801.1255</v>
      </c>
      <c r="G32" s="8">
        <f t="shared" si="4"/>
        <v>1465457.289</v>
      </c>
      <c r="H32" s="8">
        <f t="shared" si="5"/>
        <v>68014655.26</v>
      </c>
      <c r="J32" s="5"/>
    </row>
    <row r="33" ht="15.75" customHeight="1">
      <c r="B33" s="2"/>
      <c r="C33" s="30">
        <v>46635.0</v>
      </c>
      <c r="D33" s="8">
        <f t="shared" si="1"/>
        <v>2160258.415</v>
      </c>
      <c r="E33" s="46"/>
      <c r="F33" s="8">
        <f t="shared" si="3"/>
        <v>680146.5526</v>
      </c>
      <c r="G33" s="8">
        <f t="shared" si="4"/>
        <v>1480111.862</v>
      </c>
      <c r="H33" s="8">
        <f t="shared" si="5"/>
        <v>66534543.4</v>
      </c>
      <c r="J33" s="5"/>
    </row>
    <row r="34" ht="15.75" customHeight="1">
      <c r="B34" s="2"/>
      <c r="C34" s="30">
        <v>46665.0</v>
      </c>
      <c r="D34" s="8">
        <f t="shared" si="1"/>
        <v>2160258.415</v>
      </c>
      <c r="E34" s="46"/>
      <c r="F34" s="8">
        <f t="shared" si="3"/>
        <v>665345.434</v>
      </c>
      <c r="G34" s="8">
        <f t="shared" si="4"/>
        <v>1494912.981</v>
      </c>
      <c r="H34" s="8">
        <f t="shared" si="5"/>
        <v>65039630.41</v>
      </c>
      <c r="J34" s="5"/>
    </row>
    <row r="35" ht="15.75" customHeight="1">
      <c r="B35" s="2"/>
      <c r="C35" s="30">
        <v>46696.0</v>
      </c>
      <c r="D35" s="8">
        <f t="shared" si="1"/>
        <v>2160258.415</v>
      </c>
      <c r="E35" s="46"/>
      <c r="F35" s="8">
        <f t="shared" si="3"/>
        <v>650396.3041</v>
      </c>
      <c r="G35" s="8">
        <f t="shared" si="4"/>
        <v>1509862.111</v>
      </c>
      <c r="H35" s="8">
        <f t="shared" si="5"/>
        <v>63529768.3</v>
      </c>
      <c r="J35" s="5"/>
    </row>
    <row r="36" ht="15.75" customHeight="1">
      <c r="B36" s="2"/>
      <c r="C36" s="30">
        <v>46726.0</v>
      </c>
      <c r="D36" s="8">
        <f t="shared" si="1"/>
        <v>2160258.415</v>
      </c>
      <c r="E36" s="46"/>
      <c r="F36" s="8">
        <f t="shared" si="3"/>
        <v>635297.683</v>
      </c>
      <c r="G36" s="8">
        <f t="shared" si="4"/>
        <v>1524960.732</v>
      </c>
      <c r="H36" s="8">
        <f t="shared" si="5"/>
        <v>62004807.57</v>
      </c>
      <c r="J36" s="5"/>
    </row>
    <row r="37" ht="15.75" customHeight="1">
      <c r="B37" s="2"/>
      <c r="C37" s="30">
        <v>46757.0</v>
      </c>
      <c r="D37" s="8">
        <f t="shared" si="1"/>
        <v>2160258.415</v>
      </c>
      <c r="E37" s="46"/>
      <c r="F37" s="8">
        <f t="shared" si="3"/>
        <v>620048.0757</v>
      </c>
      <c r="G37" s="8">
        <f t="shared" si="4"/>
        <v>1540210.339</v>
      </c>
      <c r="H37" s="8">
        <f t="shared" si="5"/>
        <v>60464597.23</v>
      </c>
      <c r="J37" s="5"/>
    </row>
    <row r="38" ht="15.75" customHeight="1">
      <c r="B38" s="2"/>
      <c r="C38" s="30">
        <v>46788.0</v>
      </c>
      <c r="D38" s="8">
        <f t="shared" si="1"/>
        <v>2160258.415</v>
      </c>
      <c r="E38" s="46"/>
      <c r="F38" s="8">
        <f t="shared" si="3"/>
        <v>604645.9723</v>
      </c>
      <c r="G38" s="8">
        <f t="shared" si="4"/>
        <v>1555612.442</v>
      </c>
      <c r="H38" s="8">
        <f t="shared" si="5"/>
        <v>58908984.79</v>
      </c>
      <c r="J38" s="5"/>
    </row>
    <row r="39" ht="15.75" customHeight="1">
      <c r="B39" s="2"/>
      <c r="C39" s="30">
        <v>46817.0</v>
      </c>
      <c r="D39" s="8">
        <f t="shared" si="1"/>
        <v>2160258.415</v>
      </c>
      <c r="E39" s="46"/>
      <c r="F39" s="8">
        <f t="shared" si="3"/>
        <v>589089.8479</v>
      </c>
      <c r="G39" s="8">
        <f t="shared" si="4"/>
        <v>1571168.567</v>
      </c>
      <c r="H39" s="8">
        <f t="shared" si="5"/>
        <v>57337816.22</v>
      </c>
      <c r="J39" s="5"/>
    </row>
    <row r="40" ht="15.75" customHeight="1">
      <c r="B40" s="2"/>
      <c r="C40" s="30">
        <v>46848.0</v>
      </c>
      <c r="D40" s="8">
        <f t="shared" si="1"/>
        <v>2160258.415</v>
      </c>
      <c r="E40" s="46"/>
      <c r="F40" s="8">
        <f t="shared" si="3"/>
        <v>573378.1622</v>
      </c>
      <c r="G40" s="8">
        <f t="shared" si="4"/>
        <v>1586880.252</v>
      </c>
      <c r="H40" s="8">
        <f t="shared" si="5"/>
        <v>55750935.97</v>
      </c>
      <c r="J40" s="5"/>
    </row>
    <row r="41" ht="15.75" customHeight="1">
      <c r="B41" s="2"/>
      <c r="C41" s="30">
        <v>46878.0</v>
      </c>
      <c r="D41" s="8">
        <f t="shared" si="1"/>
        <v>2160258.415</v>
      </c>
      <c r="E41" s="46"/>
      <c r="F41" s="8">
        <f t="shared" si="3"/>
        <v>557509.3597</v>
      </c>
      <c r="G41" s="8">
        <f t="shared" si="4"/>
        <v>1602749.055</v>
      </c>
      <c r="H41" s="8">
        <f t="shared" si="5"/>
        <v>54148186.92</v>
      </c>
      <c r="J41" s="5"/>
    </row>
    <row r="42" ht="15.75" customHeight="1">
      <c r="B42" s="2"/>
      <c r="C42" s="30">
        <v>46909.0</v>
      </c>
      <c r="D42" s="8">
        <f t="shared" si="1"/>
        <v>2160258.415</v>
      </c>
      <c r="E42" s="46"/>
      <c r="F42" s="8">
        <f t="shared" si="3"/>
        <v>541481.8692</v>
      </c>
      <c r="G42" s="8">
        <f t="shared" si="4"/>
        <v>1618776.546</v>
      </c>
      <c r="H42" s="8">
        <f t="shared" si="5"/>
        <v>52529410.37</v>
      </c>
      <c r="J42" s="5"/>
    </row>
    <row r="43" ht="15.75" customHeight="1">
      <c r="B43" s="2"/>
      <c r="C43" s="30">
        <v>46939.0</v>
      </c>
      <c r="D43" s="8">
        <f t="shared" si="1"/>
        <v>2160258.415</v>
      </c>
      <c r="E43" s="46"/>
      <c r="F43" s="8">
        <f t="shared" si="3"/>
        <v>525294.1037</v>
      </c>
      <c r="G43" s="8">
        <f t="shared" si="4"/>
        <v>1634964.311</v>
      </c>
      <c r="H43" s="8">
        <f t="shared" si="5"/>
        <v>50894446.06</v>
      </c>
      <c r="J43" s="5"/>
    </row>
    <row r="44" ht="15.75" customHeight="1">
      <c r="B44" s="2"/>
      <c r="C44" s="30">
        <v>46970.0</v>
      </c>
      <c r="D44" s="8">
        <f t="shared" si="1"/>
        <v>2160258.415</v>
      </c>
      <c r="E44" s="46"/>
      <c r="F44" s="8">
        <f t="shared" si="3"/>
        <v>508944.4606</v>
      </c>
      <c r="G44" s="8">
        <f t="shared" si="4"/>
        <v>1651313.954</v>
      </c>
      <c r="H44" s="8">
        <f t="shared" si="5"/>
        <v>49243132.11</v>
      </c>
      <c r="J44" s="5"/>
    </row>
    <row r="45" ht="15.75" customHeight="1">
      <c r="B45" s="2"/>
      <c r="C45" s="30">
        <v>47001.0</v>
      </c>
      <c r="D45" s="8">
        <f t="shared" si="1"/>
        <v>2160258.415</v>
      </c>
      <c r="E45" s="46"/>
      <c r="F45" s="8">
        <f t="shared" si="3"/>
        <v>492431.3211</v>
      </c>
      <c r="G45" s="8">
        <f t="shared" si="4"/>
        <v>1667827.094</v>
      </c>
      <c r="H45" s="8">
        <f t="shared" si="5"/>
        <v>47575305.01</v>
      </c>
      <c r="J45" s="5"/>
    </row>
    <row r="46" ht="15.75" customHeight="1">
      <c r="B46" s="2"/>
      <c r="C46" s="30">
        <v>47031.0</v>
      </c>
      <c r="D46" s="8">
        <f t="shared" si="1"/>
        <v>2160258.415</v>
      </c>
      <c r="E46" s="46"/>
      <c r="F46" s="8">
        <f t="shared" si="3"/>
        <v>475753.0501</v>
      </c>
      <c r="G46" s="8">
        <f t="shared" si="4"/>
        <v>1684505.365</v>
      </c>
      <c r="H46" s="8">
        <f t="shared" si="5"/>
        <v>45890799.65</v>
      </c>
      <c r="J46" s="5"/>
    </row>
    <row r="47" ht="15.75" customHeight="1">
      <c r="B47" s="2"/>
      <c r="C47" s="30">
        <v>47062.0</v>
      </c>
      <c r="D47" s="8">
        <f t="shared" si="1"/>
        <v>2160258.415</v>
      </c>
      <c r="E47" s="46"/>
      <c r="F47" s="8">
        <f t="shared" si="3"/>
        <v>458907.9965</v>
      </c>
      <c r="G47" s="8">
        <f t="shared" si="4"/>
        <v>1701350.418</v>
      </c>
      <c r="H47" s="8">
        <f t="shared" si="5"/>
        <v>44189449.23</v>
      </c>
      <c r="J47" s="5"/>
    </row>
    <row r="48" ht="15.75" customHeight="1">
      <c r="B48" s="2"/>
      <c r="C48" s="30">
        <v>47092.0</v>
      </c>
      <c r="D48" s="8">
        <f t="shared" si="1"/>
        <v>2160258.415</v>
      </c>
      <c r="E48" s="46"/>
      <c r="F48" s="8">
        <f t="shared" si="3"/>
        <v>441894.4923</v>
      </c>
      <c r="G48" s="8">
        <f t="shared" si="4"/>
        <v>1718363.922</v>
      </c>
      <c r="H48" s="8">
        <f t="shared" si="5"/>
        <v>42471085.31</v>
      </c>
      <c r="J48" s="5"/>
    </row>
    <row r="49" ht="15.75" customHeight="1">
      <c r="B49" s="2"/>
      <c r="C49" s="30">
        <v>47123.0</v>
      </c>
      <c r="D49" s="8">
        <f t="shared" si="1"/>
        <v>2160258.415</v>
      </c>
      <c r="E49" s="46"/>
      <c r="F49" s="8">
        <f t="shared" si="3"/>
        <v>424710.8531</v>
      </c>
      <c r="G49" s="8">
        <f t="shared" si="4"/>
        <v>1735547.562</v>
      </c>
      <c r="H49" s="8">
        <f t="shared" si="5"/>
        <v>40735537.75</v>
      </c>
      <c r="J49" s="5"/>
    </row>
    <row r="50" ht="15.75" customHeight="1">
      <c r="B50" s="2"/>
      <c r="C50" s="30">
        <v>47154.0</v>
      </c>
      <c r="D50" s="8">
        <f t="shared" si="1"/>
        <v>2160258.415</v>
      </c>
      <c r="E50" s="46"/>
      <c r="F50" s="8">
        <f t="shared" si="3"/>
        <v>407355.3775</v>
      </c>
      <c r="G50" s="8">
        <f t="shared" si="4"/>
        <v>1752903.037</v>
      </c>
      <c r="H50" s="8">
        <f t="shared" si="5"/>
        <v>38982634.71</v>
      </c>
      <c r="J50" s="5"/>
    </row>
    <row r="51" ht="15.75" customHeight="1">
      <c r="B51" s="2"/>
      <c r="C51" s="30">
        <v>47182.0</v>
      </c>
      <c r="D51" s="8">
        <f t="shared" si="1"/>
        <v>2160258.415</v>
      </c>
      <c r="E51" s="46"/>
      <c r="F51" s="8">
        <f t="shared" si="3"/>
        <v>389826.3471</v>
      </c>
      <c r="G51" s="8">
        <f t="shared" si="4"/>
        <v>1770432.068</v>
      </c>
      <c r="H51" s="8">
        <f t="shared" si="5"/>
        <v>37212202.64</v>
      </c>
      <c r="J51" s="5"/>
    </row>
    <row r="52" ht="15.75" customHeight="1">
      <c r="B52" s="2"/>
      <c r="C52" s="30">
        <v>47213.0</v>
      </c>
      <c r="D52" s="8">
        <f t="shared" si="1"/>
        <v>2160258.415</v>
      </c>
      <c r="E52" s="46"/>
      <c r="F52" s="8">
        <f t="shared" si="3"/>
        <v>372122.0264</v>
      </c>
      <c r="G52" s="8">
        <f t="shared" si="4"/>
        <v>1788136.388</v>
      </c>
      <c r="H52" s="8">
        <f t="shared" si="5"/>
        <v>35424066.25</v>
      </c>
      <c r="J52" s="5"/>
    </row>
    <row r="53" ht="15.75" customHeight="1">
      <c r="B53" s="2"/>
      <c r="C53" s="30">
        <v>47243.0</v>
      </c>
      <c r="D53" s="8">
        <f t="shared" si="1"/>
        <v>2160258.415</v>
      </c>
      <c r="E53" s="46"/>
      <c r="F53" s="8">
        <f t="shared" si="3"/>
        <v>354240.6625</v>
      </c>
      <c r="G53" s="8">
        <f t="shared" si="4"/>
        <v>1806017.752</v>
      </c>
      <c r="H53" s="8">
        <f t="shared" si="5"/>
        <v>33618048.5</v>
      </c>
      <c r="J53" s="5"/>
    </row>
    <row r="54" ht="15.75" customHeight="1">
      <c r="B54" s="2"/>
      <c r="C54" s="30">
        <v>47274.0</v>
      </c>
      <c r="D54" s="8">
        <f t="shared" si="1"/>
        <v>2160258.415</v>
      </c>
      <c r="E54" s="46"/>
      <c r="F54" s="8">
        <f t="shared" si="3"/>
        <v>336180.485</v>
      </c>
      <c r="G54" s="8">
        <f t="shared" si="4"/>
        <v>1824077.93</v>
      </c>
      <c r="H54" s="8">
        <f t="shared" si="5"/>
        <v>31793970.57</v>
      </c>
      <c r="J54" s="5"/>
    </row>
    <row r="55" ht="15.75" customHeight="1">
      <c r="B55" s="2"/>
      <c r="C55" s="30">
        <v>47304.0</v>
      </c>
      <c r="D55" s="8">
        <f t="shared" si="1"/>
        <v>2160258.415</v>
      </c>
      <c r="E55" s="46"/>
      <c r="F55" s="8">
        <f t="shared" si="3"/>
        <v>317939.7057</v>
      </c>
      <c r="G55" s="8">
        <f t="shared" si="4"/>
        <v>1842318.709</v>
      </c>
      <c r="H55" s="8">
        <f t="shared" si="5"/>
        <v>29951651.86</v>
      </c>
      <c r="J55" s="5"/>
    </row>
    <row r="56" ht="15.75" customHeight="1">
      <c r="B56" s="2"/>
      <c r="C56" s="30">
        <v>47335.0</v>
      </c>
      <c r="D56" s="8">
        <f t="shared" si="1"/>
        <v>2160258.415</v>
      </c>
      <c r="E56" s="46"/>
      <c r="F56" s="8">
        <f t="shared" si="3"/>
        <v>299516.5186</v>
      </c>
      <c r="G56" s="8">
        <f t="shared" si="4"/>
        <v>1860741.896</v>
      </c>
      <c r="H56" s="8">
        <f t="shared" si="5"/>
        <v>28090909.97</v>
      </c>
      <c r="J56" s="5"/>
    </row>
    <row r="57" ht="15.75" customHeight="1">
      <c r="B57" s="2"/>
      <c r="C57" s="30">
        <v>47366.0</v>
      </c>
      <c r="D57" s="8">
        <f t="shared" si="1"/>
        <v>2160258.415</v>
      </c>
      <c r="E57" s="46"/>
      <c r="F57" s="8">
        <f t="shared" si="3"/>
        <v>280909.0997</v>
      </c>
      <c r="G57" s="8">
        <f t="shared" si="4"/>
        <v>1879349.315</v>
      </c>
      <c r="H57" s="8">
        <f t="shared" si="5"/>
        <v>26211560.65</v>
      </c>
      <c r="J57" s="5"/>
    </row>
    <row r="58" ht="15.75" customHeight="1">
      <c r="B58" s="2"/>
      <c r="C58" s="30">
        <v>47396.0</v>
      </c>
      <c r="D58" s="8">
        <f t="shared" si="1"/>
        <v>2160258.415</v>
      </c>
      <c r="E58" s="46"/>
      <c r="F58" s="8">
        <f t="shared" si="3"/>
        <v>262115.6065</v>
      </c>
      <c r="G58" s="8">
        <f t="shared" si="4"/>
        <v>1898142.808</v>
      </c>
      <c r="H58" s="8">
        <f t="shared" si="5"/>
        <v>24313417.84</v>
      </c>
      <c r="J58" s="5"/>
    </row>
    <row r="59" ht="15.75" customHeight="1">
      <c r="B59" s="2"/>
      <c r="C59" s="30">
        <v>47427.0</v>
      </c>
      <c r="D59" s="8">
        <f t="shared" si="1"/>
        <v>2160258.415</v>
      </c>
      <c r="E59" s="46"/>
      <c r="F59" s="8">
        <f t="shared" si="3"/>
        <v>243134.1784</v>
      </c>
      <c r="G59" s="8">
        <f t="shared" si="4"/>
        <v>1917124.236</v>
      </c>
      <c r="H59" s="8">
        <f t="shared" si="5"/>
        <v>22396293.61</v>
      </c>
      <c r="J59" s="5"/>
    </row>
    <row r="60" ht="15.75" customHeight="1">
      <c r="B60" s="2"/>
      <c r="C60" s="30">
        <v>47457.0</v>
      </c>
      <c r="D60" s="8">
        <f t="shared" si="1"/>
        <v>2160258.415</v>
      </c>
      <c r="E60" s="46"/>
      <c r="F60" s="8">
        <f t="shared" si="3"/>
        <v>223962.9361</v>
      </c>
      <c r="G60" s="8">
        <f t="shared" si="4"/>
        <v>1936295.479</v>
      </c>
      <c r="H60" s="8">
        <f t="shared" si="5"/>
        <v>20459998.13</v>
      </c>
      <c r="J60" s="5"/>
    </row>
    <row r="61" ht="15.75" customHeight="1">
      <c r="B61" s="2"/>
      <c r="C61" s="30">
        <v>47488.0</v>
      </c>
      <c r="D61" s="8">
        <f t="shared" si="1"/>
        <v>2160258.415</v>
      </c>
      <c r="E61" s="46"/>
      <c r="F61" s="8">
        <f t="shared" si="3"/>
        <v>204599.9813</v>
      </c>
      <c r="G61" s="8">
        <f t="shared" si="4"/>
        <v>1955658.433</v>
      </c>
      <c r="H61" s="8">
        <f t="shared" si="5"/>
        <v>18504339.69</v>
      </c>
      <c r="J61" s="5"/>
    </row>
    <row r="62" ht="15.75" customHeight="1">
      <c r="B62" s="2"/>
      <c r="C62" s="30">
        <v>47519.0</v>
      </c>
      <c r="D62" s="8">
        <f t="shared" si="1"/>
        <v>2160258.415</v>
      </c>
      <c r="E62" s="46"/>
      <c r="F62" s="8">
        <f t="shared" si="3"/>
        <v>185043.3969</v>
      </c>
      <c r="G62" s="8">
        <f t="shared" si="4"/>
        <v>1975215.018</v>
      </c>
      <c r="H62" s="8">
        <f t="shared" si="5"/>
        <v>16529124.68</v>
      </c>
      <c r="J62" s="5"/>
    </row>
    <row r="63" ht="15.75" customHeight="1">
      <c r="B63" s="2"/>
      <c r="C63" s="30">
        <v>47547.0</v>
      </c>
      <c r="D63" s="8">
        <f t="shared" si="1"/>
        <v>2160258.415</v>
      </c>
      <c r="E63" s="46"/>
      <c r="F63" s="8">
        <f t="shared" si="3"/>
        <v>165291.2468</v>
      </c>
      <c r="G63" s="8">
        <f t="shared" si="4"/>
        <v>1994967.168</v>
      </c>
      <c r="H63" s="8">
        <f t="shared" si="5"/>
        <v>14534157.51</v>
      </c>
      <c r="J63" s="5"/>
    </row>
    <row r="64" ht="15.75" customHeight="1">
      <c r="B64" s="2"/>
      <c r="C64" s="30">
        <v>47578.0</v>
      </c>
      <c r="D64" s="8">
        <f t="shared" si="1"/>
        <v>2160258.415</v>
      </c>
      <c r="E64" s="46"/>
      <c r="F64" s="8">
        <f t="shared" si="3"/>
        <v>145341.5751</v>
      </c>
      <c r="G64" s="8">
        <f t="shared" si="4"/>
        <v>2014916.84</v>
      </c>
      <c r="H64" s="8">
        <f t="shared" si="5"/>
        <v>12519240.67</v>
      </c>
      <c r="J64" s="5"/>
    </row>
    <row r="65" ht="15.75" customHeight="1">
      <c r="B65" s="2"/>
      <c r="C65" s="30">
        <v>47608.0</v>
      </c>
      <c r="D65" s="8">
        <f t="shared" si="1"/>
        <v>2160258.415</v>
      </c>
      <c r="E65" s="46"/>
      <c r="F65" s="8">
        <f t="shared" si="3"/>
        <v>125192.4067</v>
      </c>
      <c r="G65" s="8">
        <f t="shared" si="4"/>
        <v>2035066.008</v>
      </c>
      <c r="H65" s="8">
        <f t="shared" si="5"/>
        <v>10484174.66</v>
      </c>
      <c r="J65" s="5"/>
    </row>
    <row r="66" ht="15.75" customHeight="1">
      <c r="B66" s="2"/>
      <c r="C66" s="30">
        <v>47639.0</v>
      </c>
      <c r="D66" s="8">
        <f t="shared" si="1"/>
        <v>2160258.415</v>
      </c>
      <c r="E66" s="46"/>
      <c r="F66" s="8">
        <f t="shared" si="3"/>
        <v>104841.7466</v>
      </c>
      <c r="G66" s="8">
        <f t="shared" si="4"/>
        <v>2055416.668</v>
      </c>
      <c r="H66" s="8">
        <f t="shared" si="5"/>
        <v>8428757.993</v>
      </c>
      <c r="J66" s="5"/>
    </row>
    <row r="67" ht="15.75" customHeight="1">
      <c r="B67" s="2"/>
      <c r="C67" s="30">
        <v>47669.0</v>
      </c>
      <c r="D67" s="8">
        <f t="shared" si="1"/>
        <v>2160258.415</v>
      </c>
      <c r="E67" s="46"/>
      <c r="F67" s="8">
        <f t="shared" si="3"/>
        <v>84287.57993</v>
      </c>
      <c r="G67" s="8">
        <f t="shared" si="4"/>
        <v>2075970.835</v>
      </c>
      <c r="H67" s="8">
        <f t="shared" si="5"/>
        <v>6352787.158</v>
      </c>
      <c r="J67" s="5"/>
    </row>
    <row r="68" ht="15.75" customHeight="1">
      <c r="B68" s="2"/>
      <c r="C68" s="30">
        <v>47700.0</v>
      </c>
      <c r="D68" s="8">
        <f t="shared" si="1"/>
        <v>2160258.415</v>
      </c>
      <c r="E68" s="46"/>
      <c r="F68" s="8">
        <f t="shared" si="3"/>
        <v>63527.87158</v>
      </c>
      <c r="G68" s="8">
        <f t="shared" si="4"/>
        <v>2096730.543</v>
      </c>
      <c r="H68" s="8">
        <f t="shared" si="5"/>
        <v>4256056.615</v>
      </c>
      <c r="J68" s="5"/>
    </row>
    <row r="69" ht="15.75" customHeight="1">
      <c r="B69" s="2"/>
      <c r="C69" s="30">
        <v>47731.0</v>
      </c>
      <c r="D69" s="8">
        <f t="shared" si="1"/>
        <v>2160258.415</v>
      </c>
      <c r="E69" s="46"/>
      <c r="F69" s="8">
        <f t="shared" si="3"/>
        <v>42560.56615</v>
      </c>
      <c r="G69" s="8">
        <f t="shared" si="4"/>
        <v>2117697.849</v>
      </c>
      <c r="H69" s="8">
        <f t="shared" si="5"/>
        <v>2138358.766</v>
      </c>
      <c r="J69" s="5"/>
    </row>
    <row r="70" ht="15.75" customHeight="1">
      <c r="B70" s="2"/>
      <c r="C70" s="30">
        <v>47761.0</v>
      </c>
      <c r="D70" s="8">
        <f t="shared" si="1"/>
        <v>2160258.415</v>
      </c>
      <c r="E70" s="46"/>
      <c r="F70" s="8">
        <f t="shared" si="3"/>
        <v>21383.58766</v>
      </c>
      <c r="G70" s="8">
        <f t="shared" si="4"/>
        <v>2138874.827</v>
      </c>
      <c r="H70" s="8">
        <f t="shared" si="5"/>
        <v>-516.0609072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302</v>
      </c>
      <c r="J1" s="5"/>
    </row>
    <row r="2" ht="15.75" customHeight="1">
      <c r="B2" s="2"/>
      <c r="C2" s="1" t="s">
        <v>6</v>
      </c>
      <c r="D2" s="6">
        <f>+A5*10%</f>
        <v>10019750</v>
      </c>
      <c r="E2" s="7"/>
      <c r="J2" s="5"/>
    </row>
    <row r="3" ht="15.75" customHeight="1">
      <c r="B3" s="2"/>
      <c r="C3" s="1" t="s">
        <v>7</v>
      </c>
      <c r="D3" s="8">
        <f>+A5-D2</f>
        <v>90177750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1.001975E8</v>
      </c>
      <c r="B5" s="2"/>
      <c r="C5" s="1" t="s">
        <v>10</v>
      </c>
      <c r="D5" s="13">
        <v>36.0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2995191.727</v>
      </c>
      <c r="E6" s="12"/>
      <c r="H6" s="5"/>
      <c r="J6" s="5"/>
    </row>
    <row r="7" ht="15.75" customHeight="1">
      <c r="B7" s="2"/>
      <c r="C7" s="1" t="s">
        <v>12</v>
      </c>
      <c r="D7" s="20" t="s">
        <v>309</v>
      </c>
      <c r="H7" s="5"/>
      <c r="J7" s="5"/>
    </row>
    <row r="8" ht="15.75" customHeight="1">
      <c r="B8" s="2"/>
      <c r="C8" s="1" t="s">
        <v>16</v>
      </c>
      <c r="D8" s="16">
        <v>1.126004364E9</v>
      </c>
      <c r="H8" s="5"/>
      <c r="I8" s="17"/>
      <c r="J8" s="19"/>
      <c r="K8" s="17"/>
      <c r="L8" s="21" t="s">
        <v>310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90177750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1.17846652E8</v>
      </c>
      <c r="U10" s="25"/>
    </row>
    <row r="11" ht="15.75" customHeight="1">
      <c r="A11" s="29">
        <v>45776.0</v>
      </c>
      <c r="B11" s="2" t="s">
        <v>313</v>
      </c>
      <c r="C11" s="30">
        <v>45777.0</v>
      </c>
      <c r="D11" s="8">
        <f t="shared" ref="D11:D46" si="1">$D$6</f>
        <v>2995191.727</v>
      </c>
      <c r="E11" s="15"/>
      <c r="F11" s="8">
        <f t="shared" ref="F11:F46" si="2">+H10*$D$4</f>
        <v>901777.5</v>
      </c>
      <c r="G11" s="8">
        <f t="shared" ref="G11:G46" si="3">+D11+E11-F11</f>
        <v>2093414.227</v>
      </c>
      <c r="H11" s="8">
        <f t="shared" ref="H11:H46" si="4">+H10-G11</f>
        <v>88084335.77</v>
      </c>
      <c r="J11" s="5"/>
      <c r="L11" s="33">
        <v>45673.0</v>
      </c>
      <c r="M11" s="34" t="s">
        <v>242</v>
      </c>
      <c r="N11" s="35" t="s">
        <v>317</v>
      </c>
      <c r="O11" s="36"/>
      <c r="P11" s="36">
        <v>1000000.0</v>
      </c>
      <c r="Q11" s="36"/>
      <c r="R11" s="36"/>
      <c r="S11" s="36">
        <f t="shared" ref="S11:S29" si="5">SUM(O11:R11)</f>
        <v>1000000</v>
      </c>
      <c r="T11" s="36">
        <f t="shared" ref="T11:T29" si="6">T10-S11</f>
        <v>116846652</v>
      </c>
      <c r="U11" s="34"/>
    </row>
    <row r="12" ht="15.75" customHeight="1">
      <c r="A12" s="29">
        <v>45808.0</v>
      </c>
      <c r="B12" s="2" t="s">
        <v>318</v>
      </c>
      <c r="C12" s="30">
        <v>45807.0</v>
      </c>
      <c r="D12" s="8">
        <f t="shared" si="1"/>
        <v>2995191.727</v>
      </c>
      <c r="E12" s="15">
        <f t="shared" ref="E12:E13" si="7">2995200-D12</f>
        <v>8.27327416</v>
      </c>
      <c r="F12" s="8">
        <f t="shared" si="2"/>
        <v>880843.3577</v>
      </c>
      <c r="G12" s="8">
        <f t="shared" si="3"/>
        <v>2114356.642</v>
      </c>
      <c r="H12" s="8">
        <f t="shared" si="4"/>
        <v>85969979.13</v>
      </c>
      <c r="J12" s="5"/>
      <c r="L12" s="33">
        <v>45717.0</v>
      </c>
      <c r="M12" s="34" t="s">
        <v>242</v>
      </c>
      <c r="N12" s="35" t="s">
        <v>320</v>
      </c>
      <c r="O12" s="36">
        <v>9019750.0</v>
      </c>
      <c r="P12" s="36"/>
      <c r="Q12" s="36"/>
      <c r="R12" s="36"/>
      <c r="S12" s="36">
        <f t="shared" si="5"/>
        <v>9019750</v>
      </c>
      <c r="T12" s="36">
        <f t="shared" si="6"/>
        <v>107826902</v>
      </c>
      <c r="U12" s="34"/>
    </row>
    <row r="13" ht="15.75" customHeight="1">
      <c r="A13" s="29">
        <v>45837.0</v>
      </c>
      <c r="B13" s="2" t="s">
        <v>322</v>
      </c>
      <c r="C13" s="30">
        <v>45838.0</v>
      </c>
      <c r="D13" s="8">
        <f t="shared" si="1"/>
        <v>2995191.727</v>
      </c>
      <c r="E13" s="15">
        <f t="shared" si="7"/>
        <v>8.27327416</v>
      </c>
      <c r="F13" s="8">
        <f t="shared" si="2"/>
        <v>859699.7913</v>
      </c>
      <c r="G13" s="8">
        <f t="shared" si="3"/>
        <v>2135500.209</v>
      </c>
      <c r="H13" s="8">
        <f t="shared" si="4"/>
        <v>83834478.92</v>
      </c>
      <c r="J13" s="5" t="s">
        <v>56</v>
      </c>
      <c r="L13" s="33">
        <v>45776.0</v>
      </c>
      <c r="M13" s="34" t="s">
        <v>73</v>
      </c>
      <c r="N13" s="35" t="s">
        <v>313</v>
      </c>
      <c r="O13" s="36"/>
      <c r="P13" s="36">
        <v>2995192.0</v>
      </c>
      <c r="Q13" s="36"/>
      <c r="R13" s="36"/>
      <c r="S13" s="36">
        <f t="shared" si="5"/>
        <v>2995192</v>
      </c>
      <c r="T13" s="36">
        <f t="shared" si="6"/>
        <v>104831710</v>
      </c>
      <c r="U13" s="34"/>
    </row>
    <row r="14" ht="15.75" customHeight="1">
      <c r="A14" s="29">
        <v>45870.0</v>
      </c>
      <c r="B14" s="2" t="s">
        <v>323</v>
      </c>
      <c r="C14" s="30">
        <v>45868.0</v>
      </c>
      <c r="D14" s="8">
        <f t="shared" si="1"/>
        <v>2995191.727</v>
      </c>
      <c r="E14" s="15"/>
      <c r="F14" s="8">
        <f t="shared" si="2"/>
        <v>838344.7892</v>
      </c>
      <c r="G14" s="8">
        <f t="shared" si="3"/>
        <v>2156846.938</v>
      </c>
      <c r="H14" s="8">
        <f t="shared" si="4"/>
        <v>81677631.98</v>
      </c>
      <c r="J14" s="8">
        <f>+H10</f>
        <v>90177750</v>
      </c>
      <c r="L14" s="33">
        <v>45808.0</v>
      </c>
      <c r="M14" s="34" t="s">
        <v>78</v>
      </c>
      <c r="N14" s="35" t="s">
        <v>318</v>
      </c>
      <c r="O14" s="36">
        <v>2995200.0</v>
      </c>
      <c r="P14" s="36"/>
      <c r="Q14" s="36"/>
      <c r="R14" s="36"/>
      <c r="S14" s="36">
        <f t="shared" si="5"/>
        <v>2995200</v>
      </c>
      <c r="T14" s="36">
        <f t="shared" si="6"/>
        <v>101836510</v>
      </c>
      <c r="U14" s="34"/>
    </row>
    <row r="15" ht="15.75" customHeight="1">
      <c r="A15" s="29">
        <v>45899.0</v>
      </c>
      <c r="B15" s="2" t="s">
        <v>324</v>
      </c>
      <c r="C15" s="30">
        <v>45899.0</v>
      </c>
      <c r="D15" s="8">
        <f t="shared" si="1"/>
        <v>2995191.727</v>
      </c>
      <c r="E15" s="15"/>
      <c r="F15" s="8">
        <f t="shared" si="2"/>
        <v>816776.3198</v>
      </c>
      <c r="G15" s="8">
        <f t="shared" si="3"/>
        <v>2178415.407</v>
      </c>
      <c r="H15" s="8">
        <f t="shared" si="4"/>
        <v>79499216.58</v>
      </c>
      <c r="J15" s="5"/>
      <c r="L15" s="33">
        <v>45837.0</v>
      </c>
      <c r="M15" s="34" t="s">
        <v>83</v>
      </c>
      <c r="N15" s="35" t="s">
        <v>322</v>
      </c>
      <c r="O15" s="36">
        <v>2995200.0</v>
      </c>
      <c r="P15" s="36"/>
      <c r="Q15" s="36"/>
      <c r="R15" s="36"/>
      <c r="S15" s="36">
        <f t="shared" si="5"/>
        <v>2995200</v>
      </c>
      <c r="T15" s="36">
        <f t="shared" si="6"/>
        <v>98841310</v>
      </c>
      <c r="U15" s="34"/>
    </row>
    <row r="16" ht="15.75" customHeight="1">
      <c r="A16" s="29">
        <v>45933.0</v>
      </c>
      <c r="B16" s="2" t="s">
        <v>325</v>
      </c>
      <c r="C16" s="30">
        <v>45930.0</v>
      </c>
      <c r="D16" s="8">
        <f t="shared" si="1"/>
        <v>2995191.727</v>
      </c>
      <c r="E16" s="15"/>
      <c r="F16" s="8">
        <f t="shared" si="2"/>
        <v>794992.1658</v>
      </c>
      <c r="G16" s="8">
        <f t="shared" si="3"/>
        <v>2200199.561</v>
      </c>
      <c r="H16" s="8">
        <f t="shared" si="4"/>
        <v>77299017.02</v>
      </c>
      <c r="J16" s="5"/>
      <c r="L16" s="33">
        <v>45870.0</v>
      </c>
      <c r="M16" s="34" t="s">
        <v>85</v>
      </c>
      <c r="N16" s="35" t="s">
        <v>323</v>
      </c>
      <c r="O16" s="36"/>
      <c r="P16" s="36">
        <v>2995192.0</v>
      </c>
      <c r="Q16" s="36"/>
      <c r="R16" s="36"/>
      <c r="S16" s="36">
        <f t="shared" si="5"/>
        <v>2995192</v>
      </c>
      <c r="T16" s="36">
        <f t="shared" si="6"/>
        <v>95846118</v>
      </c>
      <c r="U16" s="34"/>
    </row>
    <row r="17" ht="15.75" customHeight="1">
      <c r="A17" s="29">
        <v>45963.0</v>
      </c>
      <c r="B17" s="2" t="s">
        <v>326</v>
      </c>
      <c r="C17" s="30">
        <v>45960.0</v>
      </c>
      <c r="D17" s="8">
        <f t="shared" si="1"/>
        <v>2995191.727</v>
      </c>
      <c r="E17" s="15"/>
      <c r="F17" s="8">
        <f t="shared" si="2"/>
        <v>772990.1702</v>
      </c>
      <c r="G17" s="8">
        <f t="shared" si="3"/>
        <v>2222201.557</v>
      </c>
      <c r="H17" s="8">
        <f t="shared" si="4"/>
        <v>75076815.46</v>
      </c>
      <c r="J17" s="5"/>
      <c r="L17" s="33">
        <v>45899.0</v>
      </c>
      <c r="M17" s="34" t="s">
        <v>89</v>
      </c>
      <c r="N17" s="35" t="s">
        <v>324</v>
      </c>
      <c r="O17" s="36">
        <v>2995192.0</v>
      </c>
      <c r="P17" s="36"/>
      <c r="Q17" s="36"/>
      <c r="R17" s="36"/>
      <c r="S17" s="36">
        <f t="shared" si="5"/>
        <v>2995192</v>
      </c>
      <c r="T17" s="36">
        <f t="shared" si="6"/>
        <v>92850926</v>
      </c>
      <c r="U17" s="34"/>
    </row>
    <row r="18" ht="15.75" customHeight="1">
      <c r="A18" s="29">
        <v>45994.0</v>
      </c>
      <c r="B18" s="2" t="s">
        <v>327</v>
      </c>
      <c r="C18" s="30">
        <v>45991.0</v>
      </c>
      <c r="D18" s="8">
        <f t="shared" si="1"/>
        <v>2995191.727</v>
      </c>
      <c r="E18" s="15"/>
      <c r="F18" s="8">
        <f t="shared" si="2"/>
        <v>750768.1546</v>
      </c>
      <c r="G18" s="8">
        <f t="shared" si="3"/>
        <v>2244423.572</v>
      </c>
      <c r="H18" s="8">
        <f t="shared" si="4"/>
        <v>72832391.89</v>
      </c>
      <c r="J18" s="5"/>
      <c r="L18" s="33">
        <v>45933.0</v>
      </c>
      <c r="M18" s="34" t="s">
        <v>93</v>
      </c>
      <c r="N18" s="35" t="s">
        <v>325</v>
      </c>
      <c r="O18" s="36">
        <v>2995192.0</v>
      </c>
      <c r="P18" s="36"/>
      <c r="Q18" s="36"/>
      <c r="R18" s="36"/>
      <c r="S18" s="36">
        <f t="shared" si="5"/>
        <v>2995192</v>
      </c>
      <c r="T18" s="36">
        <f t="shared" si="6"/>
        <v>89855734</v>
      </c>
      <c r="U18" s="34"/>
    </row>
    <row r="19" ht="15.75" customHeight="1">
      <c r="A19" s="29">
        <v>46022.0</v>
      </c>
      <c r="B19" s="2" t="s">
        <v>328</v>
      </c>
      <c r="C19" s="30">
        <v>46021.0</v>
      </c>
      <c r="D19" s="8">
        <f t="shared" si="1"/>
        <v>2995191.727</v>
      </c>
      <c r="E19" s="15"/>
      <c r="F19" s="8">
        <f t="shared" si="2"/>
        <v>728323.9189</v>
      </c>
      <c r="G19" s="8">
        <f t="shared" si="3"/>
        <v>2266867.808</v>
      </c>
      <c r="H19" s="8">
        <f t="shared" si="4"/>
        <v>70565524.08</v>
      </c>
      <c r="I19" s="1"/>
      <c r="J19" s="41"/>
      <c r="K19" s="1"/>
      <c r="L19" s="42">
        <v>45963.0</v>
      </c>
      <c r="M19" s="43" t="s">
        <v>96</v>
      </c>
      <c r="N19" s="44" t="s">
        <v>326</v>
      </c>
      <c r="O19" s="45"/>
      <c r="P19" s="45">
        <v>2995192.0</v>
      </c>
      <c r="Q19" s="45"/>
      <c r="R19" s="45"/>
      <c r="S19" s="45">
        <f t="shared" si="5"/>
        <v>2995192</v>
      </c>
      <c r="T19" s="45">
        <f t="shared" si="6"/>
        <v>86860542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46055.0</v>
      </c>
      <c r="B20" s="2" t="s">
        <v>329</v>
      </c>
      <c r="C20" s="30">
        <v>46052.0</v>
      </c>
      <c r="D20" s="8">
        <f t="shared" si="1"/>
        <v>2995191.727</v>
      </c>
      <c r="E20" s="15"/>
      <c r="F20" s="8">
        <f t="shared" si="2"/>
        <v>705655.2408</v>
      </c>
      <c r="G20" s="8">
        <f t="shared" si="3"/>
        <v>2289536.486</v>
      </c>
      <c r="H20" s="8">
        <f t="shared" si="4"/>
        <v>68275987.59</v>
      </c>
      <c r="J20" s="5"/>
      <c r="L20" s="33">
        <v>45994.0</v>
      </c>
      <c r="M20" s="34" t="s">
        <v>100</v>
      </c>
      <c r="N20" s="35" t="s">
        <v>327</v>
      </c>
      <c r="O20" s="36"/>
      <c r="P20" s="36">
        <v>2995192.0</v>
      </c>
      <c r="Q20" s="36"/>
      <c r="R20" s="36"/>
      <c r="S20" s="36">
        <f t="shared" si="5"/>
        <v>2995192</v>
      </c>
      <c r="T20" s="36">
        <f t="shared" si="6"/>
        <v>83865350</v>
      </c>
      <c r="U20" s="34"/>
    </row>
    <row r="21" ht="15.75" customHeight="1">
      <c r="A21" s="29">
        <v>46083.0</v>
      </c>
      <c r="B21" s="2" t="s">
        <v>330</v>
      </c>
      <c r="C21" s="30">
        <v>46081.0</v>
      </c>
      <c r="D21" s="8">
        <f t="shared" si="1"/>
        <v>2995191.727</v>
      </c>
      <c r="E21" s="15"/>
      <c r="F21" s="8">
        <f t="shared" si="2"/>
        <v>682759.8759</v>
      </c>
      <c r="G21" s="8">
        <f t="shared" si="3"/>
        <v>2312431.851</v>
      </c>
      <c r="H21" s="8">
        <f t="shared" si="4"/>
        <v>65963555.74</v>
      </c>
      <c r="J21" s="5"/>
      <c r="L21" s="33">
        <v>46022.0</v>
      </c>
      <c r="M21" s="34" t="s">
        <v>103</v>
      </c>
      <c r="N21" s="35" t="s">
        <v>328</v>
      </c>
      <c r="O21" s="36"/>
      <c r="P21" s="36">
        <v>2995192.0</v>
      </c>
      <c r="Q21" s="36"/>
      <c r="R21" s="36"/>
      <c r="S21" s="36">
        <f t="shared" si="5"/>
        <v>2995192</v>
      </c>
      <c r="T21" s="36">
        <f t="shared" si="6"/>
        <v>80870158</v>
      </c>
      <c r="U21" s="34"/>
    </row>
    <row r="22" ht="15.75" customHeight="1">
      <c r="A22" s="29">
        <v>46113.0</v>
      </c>
      <c r="B22" s="2" t="s">
        <v>331</v>
      </c>
      <c r="C22" s="30">
        <v>46111.0</v>
      </c>
      <c r="D22" s="8">
        <f t="shared" si="1"/>
        <v>2995191.727</v>
      </c>
      <c r="E22" s="15"/>
      <c r="F22" s="8">
        <f t="shared" si="2"/>
        <v>659635.5574</v>
      </c>
      <c r="G22" s="8">
        <f t="shared" si="3"/>
        <v>2335556.169</v>
      </c>
      <c r="H22" s="8">
        <f t="shared" si="4"/>
        <v>63627999.57</v>
      </c>
      <c r="J22" s="5"/>
      <c r="L22" s="33">
        <v>46055.0</v>
      </c>
      <c r="M22" s="34" t="s">
        <v>107</v>
      </c>
      <c r="N22" s="35" t="s">
        <v>329</v>
      </c>
      <c r="O22" s="36"/>
      <c r="P22" s="36">
        <v>2995192.0</v>
      </c>
      <c r="Q22" s="36"/>
      <c r="R22" s="36"/>
      <c r="S22" s="36">
        <f t="shared" si="5"/>
        <v>2995192</v>
      </c>
      <c r="T22" s="36">
        <f t="shared" si="6"/>
        <v>77874966</v>
      </c>
      <c r="U22" s="34"/>
    </row>
    <row r="23" ht="15.75" customHeight="1">
      <c r="A23" s="29">
        <v>46145.0</v>
      </c>
      <c r="B23" s="2" t="s">
        <v>332</v>
      </c>
      <c r="C23" s="30">
        <v>46142.0</v>
      </c>
      <c r="D23" s="8">
        <f t="shared" si="1"/>
        <v>2995191.727</v>
      </c>
      <c r="E23" s="46"/>
      <c r="F23" s="8">
        <f t="shared" si="2"/>
        <v>636279.9957</v>
      </c>
      <c r="G23" s="8">
        <f t="shared" si="3"/>
        <v>2358911.731</v>
      </c>
      <c r="H23" s="8">
        <f t="shared" si="4"/>
        <v>61269087.84</v>
      </c>
      <c r="J23" s="5"/>
      <c r="L23" s="33">
        <v>46083.0</v>
      </c>
      <c r="M23" s="34" t="s">
        <v>112</v>
      </c>
      <c r="N23" s="35" t="s">
        <v>330</v>
      </c>
      <c r="O23" s="36"/>
      <c r="P23" s="36">
        <v>2995192.0</v>
      </c>
      <c r="Q23" s="36"/>
      <c r="R23" s="36"/>
      <c r="S23" s="36">
        <f t="shared" si="5"/>
        <v>2995192</v>
      </c>
      <c r="T23" s="36">
        <f t="shared" si="6"/>
        <v>74879774</v>
      </c>
      <c r="U23" s="34"/>
    </row>
    <row r="24" ht="15.75" customHeight="1">
      <c r="A24" s="29">
        <v>46175.0</v>
      </c>
      <c r="B24" s="2" t="s">
        <v>333</v>
      </c>
      <c r="C24" s="30">
        <v>46172.0</v>
      </c>
      <c r="D24" s="8">
        <f t="shared" si="1"/>
        <v>2995191.727</v>
      </c>
      <c r="E24" s="46"/>
      <c r="F24" s="8">
        <f t="shared" si="2"/>
        <v>612690.8784</v>
      </c>
      <c r="G24" s="8">
        <f t="shared" si="3"/>
        <v>2382500.848</v>
      </c>
      <c r="H24" s="8">
        <f t="shared" si="4"/>
        <v>58886587</v>
      </c>
      <c r="J24" s="5"/>
      <c r="L24" s="33">
        <v>46113.0</v>
      </c>
      <c r="M24" s="34" t="s">
        <v>115</v>
      </c>
      <c r="N24" s="35" t="s">
        <v>331</v>
      </c>
      <c r="O24" s="36"/>
      <c r="P24" s="36">
        <v>2995192.0</v>
      </c>
      <c r="Q24" s="36"/>
      <c r="R24" s="36"/>
      <c r="S24" s="36">
        <f t="shared" si="5"/>
        <v>2995192</v>
      </c>
      <c r="T24" s="36">
        <f t="shared" si="6"/>
        <v>71884582</v>
      </c>
      <c r="U24" s="34"/>
    </row>
    <row r="25" ht="15.75" customHeight="1">
      <c r="A25" s="29">
        <v>46182.0</v>
      </c>
      <c r="B25" s="2" t="s">
        <v>334</v>
      </c>
      <c r="C25" s="30">
        <v>46203.0</v>
      </c>
      <c r="D25" s="8">
        <f t="shared" si="1"/>
        <v>2995191.727</v>
      </c>
      <c r="E25" s="8">
        <f>2160000-D25</f>
        <v>-835191.7267</v>
      </c>
      <c r="F25" s="8">
        <f t="shared" si="2"/>
        <v>588865.87</v>
      </c>
      <c r="G25" s="8">
        <f t="shared" si="3"/>
        <v>1571134.13</v>
      </c>
      <c r="H25" s="8">
        <f t="shared" si="4"/>
        <v>57315452.87</v>
      </c>
      <c r="J25" s="5"/>
      <c r="L25" s="33">
        <v>46145.0</v>
      </c>
      <c r="M25" s="34" t="s">
        <v>116</v>
      </c>
      <c r="N25" s="35" t="s">
        <v>332</v>
      </c>
      <c r="O25" s="36"/>
      <c r="P25" s="36">
        <v>2995192.0</v>
      </c>
      <c r="Q25" s="36"/>
      <c r="R25" s="36"/>
      <c r="S25" s="36">
        <f t="shared" si="5"/>
        <v>2995192</v>
      </c>
      <c r="T25" s="36">
        <f t="shared" si="6"/>
        <v>68889390</v>
      </c>
      <c r="U25" s="34"/>
    </row>
    <row r="26" ht="15.75" customHeight="1">
      <c r="A26" s="29">
        <v>46204.0</v>
      </c>
      <c r="B26" s="2" t="s">
        <v>335</v>
      </c>
      <c r="C26" s="30">
        <v>46233.0</v>
      </c>
      <c r="D26" s="8">
        <f t="shared" si="1"/>
        <v>2995191.727</v>
      </c>
      <c r="E26" s="46"/>
      <c r="F26" s="8">
        <f t="shared" si="2"/>
        <v>573154.5287</v>
      </c>
      <c r="G26" s="8">
        <f t="shared" si="3"/>
        <v>2422037.198</v>
      </c>
      <c r="H26" s="8">
        <f t="shared" si="4"/>
        <v>54893415.67</v>
      </c>
      <c r="J26" s="5"/>
      <c r="L26" s="33">
        <v>46175.0</v>
      </c>
      <c r="M26" s="34" t="s">
        <v>118</v>
      </c>
      <c r="N26" s="35" t="s">
        <v>333</v>
      </c>
      <c r="O26" s="36"/>
      <c r="P26" s="36">
        <v>2995192.0</v>
      </c>
      <c r="Q26" s="36"/>
      <c r="R26" s="36"/>
      <c r="S26" s="36">
        <f t="shared" si="5"/>
        <v>2995192</v>
      </c>
      <c r="T26" s="36">
        <f t="shared" si="6"/>
        <v>65894198</v>
      </c>
      <c r="U26" s="34"/>
    </row>
    <row r="27" ht="15.75" customHeight="1">
      <c r="A27" s="29">
        <v>46236.0</v>
      </c>
      <c r="B27" s="2" t="s">
        <v>336</v>
      </c>
      <c r="C27" s="30">
        <v>46264.0</v>
      </c>
      <c r="D27" s="8">
        <f t="shared" si="1"/>
        <v>2995191.727</v>
      </c>
      <c r="E27" s="46"/>
      <c r="F27" s="8">
        <f t="shared" si="2"/>
        <v>548934.1567</v>
      </c>
      <c r="G27" s="8">
        <f t="shared" si="3"/>
        <v>2446257.57</v>
      </c>
      <c r="H27" s="8">
        <f t="shared" si="4"/>
        <v>52447158.1</v>
      </c>
      <c r="J27" s="5"/>
      <c r="L27" s="33">
        <v>46182.0</v>
      </c>
      <c r="M27" s="34" t="s">
        <v>120</v>
      </c>
      <c r="N27" s="35" t="s">
        <v>334</v>
      </c>
      <c r="O27" s="36"/>
      <c r="P27" s="36">
        <v>2160000.0</v>
      </c>
      <c r="Q27" s="36"/>
      <c r="R27" s="36"/>
      <c r="S27" s="36">
        <f t="shared" si="5"/>
        <v>2160000</v>
      </c>
      <c r="T27" s="36">
        <f t="shared" si="6"/>
        <v>63734198</v>
      </c>
      <c r="U27" s="34"/>
    </row>
    <row r="28" ht="15.75" customHeight="1">
      <c r="B28" s="2"/>
      <c r="C28" s="30">
        <v>46295.0</v>
      </c>
      <c r="D28" s="8">
        <f t="shared" si="1"/>
        <v>2995191.727</v>
      </c>
      <c r="E28" s="46"/>
      <c r="F28" s="8">
        <f t="shared" si="2"/>
        <v>524471.581</v>
      </c>
      <c r="G28" s="8">
        <f t="shared" si="3"/>
        <v>2470720.146</v>
      </c>
      <c r="H28" s="8">
        <f t="shared" si="4"/>
        <v>49976437.95</v>
      </c>
      <c r="J28" s="5"/>
      <c r="L28" s="33">
        <v>46204.0</v>
      </c>
      <c r="M28" s="34" t="s">
        <v>122</v>
      </c>
      <c r="N28" s="35" t="s">
        <v>335</v>
      </c>
      <c r="O28" s="36"/>
      <c r="P28" s="36">
        <v>2995192.0</v>
      </c>
      <c r="Q28" s="36"/>
      <c r="R28" s="36"/>
      <c r="S28" s="36">
        <f t="shared" si="5"/>
        <v>2995192</v>
      </c>
      <c r="T28" s="36">
        <f t="shared" si="6"/>
        <v>60739006</v>
      </c>
      <c r="U28" s="34"/>
    </row>
    <row r="29" ht="15.75" customHeight="1">
      <c r="B29" s="2"/>
      <c r="C29" s="30">
        <v>46325.0</v>
      </c>
      <c r="D29" s="8">
        <f t="shared" si="1"/>
        <v>2995191.727</v>
      </c>
      <c r="E29" s="46"/>
      <c r="F29" s="8">
        <f t="shared" si="2"/>
        <v>499764.3795</v>
      </c>
      <c r="G29" s="8">
        <f t="shared" si="3"/>
        <v>2495427.347</v>
      </c>
      <c r="H29" s="8">
        <f t="shared" si="4"/>
        <v>47481010.6</v>
      </c>
      <c r="J29" s="5"/>
      <c r="L29" s="40">
        <v>46236.0</v>
      </c>
      <c r="M29" s="34" t="s">
        <v>124</v>
      </c>
      <c r="N29" s="35" t="s">
        <v>336</v>
      </c>
      <c r="O29" s="36"/>
      <c r="P29" s="36"/>
      <c r="Q29" s="36"/>
      <c r="R29" s="36">
        <v>2995192.0</v>
      </c>
      <c r="S29" s="36">
        <f t="shared" si="5"/>
        <v>2995192</v>
      </c>
      <c r="T29" s="36">
        <f t="shared" si="6"/>
        <v>57743814</v>
      </c>
      <c r="U29" s="34" t="s">
        <v>125</v>
      </c>
    </row>
    <row r="30" ht="15.75" customHeight="1">
      <c r="B30" s="2"/>
      <c r="C30" s="30">
        <v>46356.0</v>
      </c>
      <c r="D30" s="8">
        <f t="shared" si="1"/>
        <v>2995191.727</v>
      </c>
      <c r="E30" s="8"/>
      <c r="F30" s="8">
        <f t="shared" si="2"/>
        <v>474810.106</v>
      </c>
      <c r="G30" s="8">
        <f t="shared" si="3"/>
        <v>2520381.621</v>
      </c>
      <c r="H30" s="8">
        <f t="shared" si="4"/>
        <v>44960628.98</v>
      </c>
      <c r="J30" s="5"/>
      <c r="L30" s="25"/>
      <c r="M30" s="38" t="s">
        <v>69</v>
      </c>
      <c r="N30" s="39"/>
      <c r="O30" s="27">
        <f t="shared" ref="O30:S30" si="8">SUM(O11:O29)</f>
        <v>21000534</v>
      </c>
      <c r="P30" s="27">
        <f t="shared" si="8"/>
        <v>36107112</v>
      </c>
      <c r="Q30" s="27">
        <f t="shared" si="8"/>
        <v>0</v>
      </c>
      <c r="R30" s="27">
        <f t="shared" si="8"/>
        <v>2995192</v>
      </c>
      <c r="S30" s="27">
        <f t="shared" si="8"/>
        <v>60102838</v>
      </c>
      <c r="T30" s="27">
        <f>T29</f>
        <v>57743814</v>
      </c>
      <c r="U30" s="25"/>
    </row>
    <row r="31" ht="15.75" customHeight="1">
      <c r="B31" s="2"/>
      <c r="C31" s="30">
        <v>46386.0</v>
      </c>
      <c r="D31" s="8">
        <f t="shared" si="1"/>
        <v>2995191.727</v>
      </c>
      <c r="E31" s="46"/>
      <c r="F31" s="8">
        <f t="shared" si="2"/>
        <v>449606.2898</v>
      </c>
      <c r="G31" s="8">
        <f t="shared" si="3"/>
        <v>2545585.437</v>
      </c>
      <c r="H31" s="8">
        <f t="shared" si="4"/>
        <v>42415043.55</v>
      </c>
      <c r="J31" s="5"/>
    </row>
    <row r="32" ht="15.75" customHeight="1">
      <c r="B32" s="2"/>
      <c r="C32" s="30">
        <v>46417.0</v>
      </c>
      <c r="D32" s="8">
        <f t="shared" si="1"/>
        <v>2995191.727</v>
      </c>
      <c r="E32" s="46"/>
      <c r="F32" s="8">
        <f t="shared" si="2"/>
        <v>424150.4355</v>
      </c>
      <c r="G32" s="8">
        <f t="shared" si="3"/>
        <v>2571041.291</v>
      </c>
      <c r="H32" s="8">
        <f t="shared" si="4"/>
        <v>39844002.26</v>
      </c>
      <c r="J32" s="5"/>
    </row>
    <row r="33" ht="15.75" customHeight="1">
      <c r="B33" s="2"/>
      <c r="C33" s="30">
        <v>46446.0</v>
      </c>
      <c r="D33" s="8">
        <f t="shared" si="1"/>
        <v>2995191.727</v>
      </c>
      <c r="E33" s="46"/>
      <c r="F33" s="8">
        <f t="shared" si="2"/>
        <v>398440.0226</v>
      </c>
      <c r="G33" s="8">
        <f t="shared" si="3"/>
        <v>2596751.704</v>
      </c>
      <c r="H33" s="8">
        <f t="shared" si="4"/>
        <v>37247250.55</v>
      </c>
      <c r="J33" s="5"/>
    </row>
    <row r="34" ht="15.75" customHeight="1">
      <c r="B34" s="2"/>
      <c r="C34" s="30">
        <v>46476.0</v>
      </c>
      <c r="D34" s="8">
        <f t="shared" si="1"/>
        <v>2995191.727</v>
      </c>
      <c r="E34" s="46"/>
      <c r="F34" s="8">
        <f t="shared" si="2"/>
        <v>372472.5055</v>
      </c>
      <c r="G34" s="8">
        <f t="shared" si="3"/>
        <v>2622719.221</v>
      </c>
      <c r="H34" s="8">
        <f t="shared" si="4"/>
        <v>34624531.33</v>
      </c>
      <c r="J34" s="5"/>
    </row>
    <row r="35" ht="15.75" customHeight="1">
      <c r="B35" s="2"/>
      <c r="C35" s="30">
        <v>46507.0</v>
      </c>
      <c r="D35" s="8">
        <f t="shared" si="1"/>
        <v>2995191.727</v>
      </c>
      <c r="E35" s="46"/>
      <c r="F35" s="8">
        <f t="shared" si="2"/>
        <v>346245.3133</v>
      </c>
      <c r="G35" s="8">
        <f t="shared" si="3"/>
        <v>2648946.413</v>
      </c>
      <c r="H35" s="8">
        <f t="shared" si="4"/>
        <v>31975584.92</v>
      </c>
      <c r="J35" s="5"/>
    </row>
    <row r="36" ht="15.75" customHeight="1">
      <c r="B36" s="2"/>
      <c r="C36" s="30">
        <v>46537.0</v>
      </c>
      <c r="D36" s="8">
        <f t="shared" si="1"/>
        <v>2995191.727</v>
      </c>
      <c r="E36" s="46"/>
      <c r="F36" s="8">
        <f t="shared" si="2"/>
        <v>319755.8492</v>
      </c>
      <c r="G36" s="8">
        <f t="shared" si="3"/>
        <v>2675435.878</v>
      </c>
      <c r="H36" s="8">
        <f t="shared" si="4"/>
        <v>29300149.04</v>
      </c>
      <c r="J36" s="5"/>
    </row>
    <row r="37" ht="15.75" customHeight="1">
      <c r="B37" s="2"/>
      <c r="C37" s="30">
        <v>46568.0</v>
      </c>
      <c r="D37" s="8">
        <f t="shared" si="1"/>
        <v>2995191.727</v>
      </c>
      <c r="E37" s="46"/>
      <c r="F37" s="8">
        <f t="shared" si="2"/>
        <v>293001.4904</v>
      </c>
      <c r="G37" s="8">
        <f t="shared" si="3"/>
        <v>2702190.236</v>
      </c>
      <c r="H37" s="8">
        <f t="shared" si="4"/>
        <v>26597958.8</v>
      </c>
      <c r="J37" s="5"/>
    </row>
    <row r="38" ht="15.75" customHeight="1">
      <c r="B38" s="2"/>
      <c r="C38" s="30">
        <v>46598.0</v>
      </c>
      <c r="D38" s="8">
        <f t="shared" si="1"/>
        <v>2995191.727</v>
      </c>
      <c r="E38" s="46"/>
      <c r="F38" s="8">
        <f t="shared" si="2"/>
        <v>265979.588</v>
      </c>
      <c r="G38" s="8">
        <f t="shared" si="3"/>
        <v>2729212.139</v>
      </c>
      <c r="H38" s="8">
        <f t="shared" si="4"/>
        <v>23868746.66</v>
      </c>
      <c r="J38" s="5"/>
    </row>
    <row r="39" ht="15.75" customHeight="1">
      <c r="B39" s="2"/>
      <c r="C39" s="30">
        <v>46629.0</v>
      </c>
      <c r="D39" s="8">
        <f t="shared" si="1"/>
        <v>2995191.727</v>
      </c>
      <c r="E39" s="46"/>
      <c r="F39" s="8">
        <f t="shared" si="2"/>
        <v>238687.4666</v>
      </c>
      <c r="G39" s="8">
        <f t="shared" si="3"/>
        <v>2756504.26</v>
      </c>
      <c r="H39" s="8">
        <f t="shared" si="4"/>
        <v>21112242.4</v>
      </c>
      <c r="J39" s="5"/>
    </row>
    <row r="40" ht="15.75" customHeight="1">
      <c r="B40" s="2"/>
      <c r="C40" s="30">
        <v>46660.0</v>
      </c>
      <c r="D40" s="8">
        <f t="shared" si="1"/>
        <v>2995191.727</v>
      </c>
      <c r="E40" s="46"/>
      <c r="F40" s="8">
        <f t="shared" si="2"/>
        <v>211122.424</v>
      </c>
      <c r="G40" s="8">
        <f t="shared" si="3"/>
        <v>2784069.303</v>
      </c>
      <c r="H40" s="8">
        <f t="shared" si="4"/>
        <v>18328173.1</v>
      </c>
      <c r="J40" s="5"/>
    </row>
    <row r="41" ht="15.75" customHeight="1">
      <c r="B41" s="2"/>
      <c r="C41" s="30">
        <v>46690.0</v>
      </c>
      <c r="D41" s="8">
        <f t="shared" si="1"/>
        <v>2995191.727</v>
      </c>
      <c r="E41" s="46"/>
      <c r="F41" s="8">
        <f t="shared" si="2"/>
        <v>183281.731</v>
      </c>
      <c r="G41" s="8">
        <f t="shared" si="3"/>
        <v>2811909.996</v>
      </c>
      <c r="H41" s="8">
        <f t="shared" si="4"/>
        <v>15516263.11</v>
      </c>
      <c r="J41" s="5"/>
    </row>
    <row r="42" ht="15.75" customHeight="1">
      <c r="B42" s="2"/>
      <c r="C42" s="30">
        <v>46721.0</v>
      </c>
      <c r="D42" s="8">
        <f t="shared" si="1"/>
        <v>2995191.727</v>
      </c>
      <c r="E42" s="46"/>
      <c r="F42" s="8">
        <f t="shared" si="2"/>
        <v>155162.6311</v>
      </c>
      <c r="G42" s="8">
        <f t="shared" si="3"/>
        <v>2840029.096</v>
      </c>
      <c r="H42" s="8">
        <f t="shared" si="4"/>
        <v>12676234.01</v>
      </c>
      <c r="J42" s="5"/>
    </row>
    <row r="43" ht="15.75" customHeight="1">
      <c r="B43" s="2"/>
      <c r="C43" s="30">
        <v>46751.0</v>
      </c>
      <c r="D43" s="8">
        <f t="shared" si="1"/>
        <v>2995191.727</v>
      </c>
      <c r="E43" s="46"/>
      <c r="F43" s="8">
        <f t="shared" si="2"/>
        <v>126762.3401</v>
      </c>
      <c r="G43" s="8">
        <f t="shared" si="3"/>
        <v>2868429.387</v>
      </c>
      <c r="H43" s="8">
        <f t="shared" si="4"/>
        <v>9807804.623</v>
      </c>
      <c r="J43" s="5"/>
    </row>
    <row r="44" ht="15.75" customHeight="1">
      <c r="B44" s="2"/>
      <c r="C44" s="30">
        <v>46782.0</v>
      </c>
      <c r="D44" s="8">
        <f t="shared" si="1"/>
        <v>2995191.727</v>
      </c>
      <c r="E44" s="46"/>
      <c r="F44" s="8">
        <f t="shared" si="2"/>
        <v>98078.04623</v>
      </c>
      <c r="G44" s="8">
        <f t="shared" si="3"/>
        <v>2897113.68</v>
      </c>
      <c r="H44" s="8">
        <f t="shared" si="4"/>
        <v>6910690.943</v>
      </c>
      <c r="J44" s="5"/>
    </row>
    <row r="45" ht="15.75" customHeight="1">
      <c r="B45" s="2"/>
      <c r="C45" s="30">
        <v>46812.0</v>
      </c>
      <c r="D45" s="8">
        <f t="shared" si="1"/>
        <v>2995191.727</v>
      </c>
      <c r="E45" s="46"/>
      <c r="F45" s="8">
        <f t="shared" si="2"/>
        <v>69106.90943</v>
      </c>
      <c r="G45" s="8">
        <f t="shared" si="3"/>
        <v>2926084.817</v>
      </c>
      <c r="H45" s="8">
        <f t="shared" si="4"/>
        <v>3984606.125</v>
      </c>
      <c r="J45" s="5"/>
    </row>
    <row r="46" ht="15.75" customHeight="1">
      <c r="B46" s="2"/>
      <c r="C46" s="30">
        <v>46842.0</v>
      </c>
      <c r="D46" s="8">
        <f t="shared" si="1"/>
        <v>2995191.727</v>
      </c>
      <c r="E46" s="46"/>
      <c r="F46" s="8">
        <f t="shared" si="2"/>
        <v>39846.06125</v>
      </c>
      <c r="G46" s="8">
        <f t="shared" si="3"/>
        <v>2955345.665</v>
      </c>
      <c r="H46" s="8">
        <f t="shared" si="4"/>
        <v>1029260.46</v>
      </c>
      <c r="J46" s="5"/>
    </row>
    <row r="47" ht="15.75" customHeight="1">
      <c r="B47" s="2"/>
      <c r="E47" s="9"/>
      <c r="J47" s="5"/>
    </row>
    <row r="48" ht="15.75" customHeight="1">
      <c r="B48" s="2"/>
      <c r="E48" s="9"/>
      <c r="J48" s="5"/>
    </row>
    <row r="49" ht="15.75" customHeight="1">
      <c r="B49" s="2"/>
      <c r="E49" s="9"/>
      <c r="J49" s="5"/>
    </row>
    <row r="50" ht="15.75" customHeight="1">
      <c r="B50" s="2"/>
      <c r="E50" s="9"/>
      <c r="J50" s="5"/>
    </row>
    <row r="51" ht="15.75" customHeight="1">
      <c r="B51" s="2"/>
      <c r="E51" s="9"/>
      <c r="J51" s="5"/>
    </row>
    <row r="52" ht="15.75" customHeight="1">
      <c r="B52" s="2"/>
      <c r="E52" s="9"/>
      <c r="J52" s="5"/>
    </row>
    <row r="53" ht="15.75" customHeight="1">
      <c r="B53" s="2"/>
      <c r="E53" s="9"/>
      <c r="J53" s="5"/>
    </row>
    <row r="54" ht="15.75" customHeight="1">
      <c r="B54" s="2"/>
      <c r="E54" s="9"/>
      <c r="J54" s="5"/>
    </row>
    <row r="55" ht="15.75" customHeight="1">
      <c r="B55" s="2"/>
      <c r="E55" s="9"/>
      <c r="J55" s="5"/>
    </row>
    <row r="56" ht="15.75" customHeight="1">
      <c r="B56" s="2"/>
      <c r="E56" s="9"/>
      <c r="J56" s="5"/>
    </row>
    <row r="57" ht="15.75" customHeight="1">
      <c r="B57" s="2"/>
      <c r="E57" s="9"/>
      <c r="J57" s="5"/>
    </row>
    <row r="58" ht="15.75" customHeight="1">
      <c r="B58" s="2"/>
      <c r="E58" s="9"/>
      <c r="J58" s="5"/>
    </row>
    <row r="59" ht="15.75" customHeight="1">
      <c r="B59" s="2"/>
      <c r="E59" s="9"/>
      <c r="J59" s="5"/>
    </row>
    <row r="60" ht="15.75" customHeight="1">
      <c r="B60" s="2"/>
      <c r="E60" s="9"/>
      <c r="J60" s="5"/>
    </row>
    <row r="61" ht="15.75" customHeight="1">
      <c r="B61" s="2"/>
      <c r="E61" s="9"/>
      <c r="J61" s="5"/>
    </row>
    <row r="62" ht="15.75" customHeight="1">
      <c r="B62" s="2"/>
      <c r="E62" s="9"/>
      <c r="J62" s="5"/>
    </row>
    <row r="63" ht="15.75" customHeight="1">
      <c r="B63" s="2"/>
      <c r="E63" s="9"/>
      <c r="J63" s="5"/>
    </row>
    <row r="64" ht="15.75" customHeight="1">
      <c r="B64" s="2"/>
      <c r="E64" s="9"/>
      <c r="J64" s="5"/>
    </row>
    <row r="65" ht="15.75" customHeight="1">
      <c r="B65" s="2"/>
      <c r="E65" s="9"/>
      <c r="J65" s="5"/>
    </row>
    <row r="66" ht="15.75" customHeight="1">
      <c r="B66" s="2"/>
      <c r="E66" s="9"/>
      <c r="J66" s="5"/>
    </row>
    <row r="67" ht="15.75" customHeight="1">
      <c r="B67" s="2"/>
      <c r="E67" s="9"/>
      <c r="J67" s="5"/>
    </row>
    <row r="68" ht="15.75" customHeight="1">
      <c r="B68" s="2"/>
      <c r="E68" s="9"/>
      <c r="J68" s="5"/>
    </row>
    <row r="69" ht="15.75" customHeight="1">
      <c r="B69" s="2"/>
      <c r="E69" s="9"/>
      <c r="J69" s="5"/>
    </row>
    <row r="70" ht="15.75" customHeight="1">
      <c r="B70" s="2"/>
      <c r="E70" s="9"/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337</v>
      </c>
      <c r="J1" s="5"/>
    </row>
    <row r="2" ht="15.75" customHeight="1">
      <c r="B2" s="2"/>
      <c r="C2" s="1" t="s">
        <v>6</v>
      </c>
      <c r="D2" s="6">
        <f>+A5*10%</f>
        <v>9249000</v>
      </c>
      <c r="E2" s="7"/>
      <c r="J2" s="5"/>
    </row>
    <row r="3" ht="15.75" customHeight="1">
      <c r="B3" s="2"/>
      <c r="C3" s="1" t="s">
        <v>7</v>
      </c>
      <c r="D3" s="8">
        <f>+A5-D2</f>
        <v>83241000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9.249E7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1851650.07</v>
      </c>
      <c r="E6" s="12"/>
      <c r="H6" s="5"/>
      <c r="J6" s="5"/>
    </row>
    <row r="7" ht="15.75" customHeight="1">
      <c r="B7" s="2"/>
      <c r="C7" s="1" t="s">
        <v>12</v>
      </c>
      <c r="D7" s="20" t="s">
        <v>338</v>
      </c>
      <c r="H7" s="5"/>
      <c r="J7" s="5"/>
    </row>
    <row r="8" ht="15.75" customHeight="1">
      <c r="B8" s="2"/>
      <c r="C8" s="1" t="s">
        <v>16</v>
      </c>
      <c r="D8" s="16">
        <v>9.4513037E7</v>
      </c>
      <c r="H8" s="5"/>
      <c r="I8" s="17"/>
      <c r="J8" s="19"/>
      <c r="K8" s="17"/>
      <c r="L8" s="21" t="s">
        <v>339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83241000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1.20348004E8</v>
      </c>
      <c r="U10" s="25"/>
    </row>
    <row r="11" ht="15.75" customHeight="1">
      <c r="A11" s="29">
        <v>45814.0</v>
      </c>
      <c r="B11" s="2" t="s">
        <v>340</v>
      </c>
      <c r="C11" s="30">
        <v>45809.0</v>
      </c>
      <c r="D11" s="8">
        <f t="shared" ref="D11:D70" si="1">$D$6</f>
        <v>1851650.07</v>
      </c>
      <c r="E11" s="15"/>
      <c r="F11" s="8">
        <f t="shared" ref="F11:F70" si="2">+H10*$D$4</f>
        <v>832410</v>
      </c>
      <c r="G11" s="8">
        <f t="shared" ref="G11:G70" si="3">+D11+E11-F11</f>
        <v>1019240.07</v>
      </c>
      <c r="H11" s="8">
        <f t="shared" ref="H11:H70" si="4">+H10-G11</f>
        <v>82221759.93</v>
      </c>
      <c r="J11" s="5"/>
      <c r="L11" s="33">
        <v>45709.0</v>
      </c>
      <c r="M11" s="34" t="s">
        <v>44</v>
      </c>
      <c r="N11" s="35" t="s">
        <v>341</v>
      </c>
      <c r="O11" s="36"/>
      <c r="P11" s="36">
        <v>5000000.0</v>
      </c>
      <c r="Q11" s="36"/>
      <c r="R11" s="36"/>
      <c r="S11" s="36">
        <f t="shared" ref="S11:S16" si="5">SUM(O11:R11)</f>
        <v>5000000</v>
      </c>
      <c r="T11" s="36">
        <f t="shared" ref="T11:T16" si="6">T10-S11</f>
        <v>115348004</v>
      </c>
      <c r="U11" s="34"/>
    </row>
    <row r="12" ht="15.75" customHeight="1">
      <c r="A12" s="29">
        <v>45814.0</v>
      </c>
      <c r="B12" s="2" t="s">
        <v>340</v>
      </c>
      <c r="C12" s="30">
        <v>45839.0</v>
      </c>
      <c r="D12" s="8">
        <f t="shared" si="1"/>
        <v>1851650.07</v>
      </c>
      <c r="E12" s="15"/>
      <c r="F12" s="8">
        <f t="shared" si="2"/>
        <v>822217.5993</v>
      </c>
      <c r="G12" s="8">
        <f t="shared" si="3"/>
        <v>1029432.47</v>
      </c>
      <c r="H12" s="8">
        <f t="shared" si="4"/>
        <v>81192327.46</v>
      </c>
      <c r="J12" s="5"/>
      <c r="L12" s="33">
        <v>45757.0</v>
      </c>
      <c r="M12" s="34" t="s">
        <v>44</v>
      </c>
      <c r="N12" s="35" t="s">
        <v>342</v>
      </c>
      <c r="O12" s="36"/>
      <c r="P12" s="36">
        <v>5000000.0</v>
      </c>
      <c r="Q12" s="36"/>
      <c r="R12" s="36"/>
      <c r="S12" s="36">
        <f t="shared" si="5"/>
        <v>5000000</v>
      </c>
      <c r="T12" s="36">
        <f t="shared" si="6"/>
        <v>110348004</v>
      </c>
      <c r="U12" s="34"/>
    </row>
    <row r="13" ht="15.75" customHeight="1">
      <c r="A13" s="29">
        <v>45814.0</v>
      </c>
      <c r="B13" s="2" t="s">
        <v>340</v>
      </c>
      <c r="C13" s="30">
        <v>45870.0</v>
      </c>
      <c r="D13" s="8">
        <f t="shared" si="1"/>
        <v>1851650.07</v>
      </c>
      <c r="E13" s="15"/>
      <c r="F13" s="8">
        <f t="shared" si="2"/>
        <v>811923.2746</v>
      </c>
      <c r="G13" s="8">
        <f t="shared" si="3"/>
        <v>1039726.795</v>
      </c>
      <c r="H13" s="8">
        <f t="shared" si="4"/>
        <v>80152600.66</v>
      </c>
      <c r="J13" s="5" t="s">
        <v>56</v>
      </c>
      <c r="L13" s="33">
        <v>45814.0</v>
      </c>
      <c r="M13" s="34" t="s">
        <v>343</v>
      </c>
      <c r="N13" s="35" t="s">
        <v>340</v>
      </c>
      <c r="O13" s="36"/>
      <c r="P13" s="36">
        <v>5000000.0</v>
      </c>
      <c r="Q13" s="36"/>
      <c r="R13" s="36"/>
      <c r="S13" s="36">
        <f t="shared" si="5"/>
        <v>5000000</v>
      </c>
      <c r="T13" s="36">
        <f t="shared" si="6"/>
        <v>105348004</v>
      </c>
      <c r="U13" s="34"/>
    </row>
    <row r="14" ht="15.75" customHeight="1">
      <c r="A14" s="29">
        <v>46000.0</v>
      </c>
      <c r="B14" s="2" t="s">
        <v>344</v>
      </c>
      <c r="C14" s="30">
        <v>45901.0</v>
      </c>
      <c r="D14" s="8">
        <f t="shared" si="1"/>
        <v>1851650.07</v>
      </c>
      <c r="E14" s="15"/>
      <c r="F14" s="8">
        <f t="shared" si="2"/>
        <v>801526.0066</v>
      </c>
      <c r="G14" s="8">
        <f t="shared" si="3"/>
        <v>1050124.063</v>
      </c>
      <c r="H14" s="8">
        <f t="shared" si="4"/>
        <v>79102476.6</v>
      </c>
      <c r="J14" s="8">
        <f>+H10</f>
        <v>83241000</v>
      </c>
      <c r="L14" s="40">
        <v>45991.0</v>
      </c>
      <c r="M14" s="34" t="s">
        <v>85</v>
      </c>
      <c r="N14" s="35" t="s">
        <v>345</v>
      </c>
      <c r="O14" s="36"/>
      <c r="P14" s="36">
        <v>2000000.0</v>
      </c>
      <c r="Q14" s="36"/>
      <c r="R14" s="36"/>
      <c r="S14" s="36">
        <f t="shared" si="5"/>
        <v>2000000</v>
      </c>
      <c r="T14" s="36">
        <f t="shared" si="6"/>
        <v>103348004</v>
      </c>
      <c r="U14" s="34" t="s">
        <v>346</v>
      </c>
    </row>
    <row r="15" ht="15.75" customHeight="1">
      <c r="A15" s="29">
        <v>46020.0</v>
      </c>
      <c r="B15" s="2" t="s">
        <v>347</v>
      </c>
      <c r="C15" s="30">
        <v>45931.0</v>
      </c>
      <c r="D15" s="8">
        <f t="shared" si="1"/>
        <v>1851650.07</v>
      </c>
      <c r="E15" s="15">
        <f>3000000-406600-D15</f>
        <v>741749.9303</v>
      </c>
      <c r="F15" s="8">
        <f t="shared" si="2"/>
        <v>791024.766</v>
      </c>
      <c r="G15" s="8">
        <f t="shared" si="3"/>
        <v>1802375.234</v>
      </c>
      <c r="H15" s="8">
        <f t="shared" si="4"/>
        <v>77300101.37</v>
      </c>
      <c r="J15" s="5"/>
      <c r="L15" s="33">
        <v>46020.0</v>
      </c>
      <c r="M15" s="34" t="s">
        <v>89</v>
      </c>
      <c r="N15" s="35" t="s">
        <v>347</v>
      </c>
      <c r="O15" s="36"/>
      <c r="P15" s="36">
        <v>3000000.0</v>
      </c>
      <c r="Q15" s="36"/>
      <c r="R15" s="36"/>
      <c r="S15" s="36">
        <f t="shared" si="5"/>
        <v>3000000</v>
      </c>
      <c r="T15" s="36">
        <f t="shared" si="6"/>
        <v>100348004</v>
      </c>
      <c r="U15" s="34"/>
    </row>
    <row r="16" ht="15.75" customHeight="1">
      <c r="A16" s="29">
        <v>46134.0</v>
      </c>
      <c r="B16" s="2" t="s">
        <v>348</v>
      </c>
      <c r="C16" s="30">
        <v>45962.0</v>
      </c>
      <c r="D16" s="8">
        <f t="shared" si="1"/>
        <v>1851650.07</v>
      </c>
      <c r="E16" s="15"/>
      <c r="F16" s="8">
        <f t="shared" si="2"/>
        <v>773001.0137</v>
      </c>
      <c r="G16" s="8">
        <f t="shared" si="3"/>
        <v>1078649.056</v>
      </c>
      <c r="H16" s="8">
        <f t="shared" si="4"/>
        <v>76221452.31</v>
      </c>
      <c r="J16" s="5"/>
      <c r="L16" s="33">
        <v>46134.0</v>
      </c>
      <c r="M16" s="34" t="s">
        <v>349</v>
      </c>
      <c r="N16" s="35" t="s">
        <v>348</v>
      </c>
      <c r="O16" s="36"/>
      <c r="P16" s="36">
        <v>1.0E7</v>
      </c>
      <c r="Q16" s="36"/>
      <c r="R16" s="36"/>
      <c r="S16" s="36">
        <f t="shared" si="5"/>
        <v>10000000</v>
      </c>
      <c r="T16" s="36">
        <f t="shared" si="6"/>
        <v>90348004</v>
      </c>
      <c r="U16" s="34"/>
    </row>
    <row r="17" ht="15.75" customHeight="1">
      <c r="A17" s="29">
        <v>46134.0</v>
      </c>
      <c r="B17" s="2" t="s">
        <v>348</v>
      </c>
      <c r="C17" s="30">
        <v>45992.0</v>
      </c>
      <c r="D17" s="8">
        <f t="shared" si="1"/>
        <v>1851650.07</v>
      </c>
      <c r="E17" s="15"/>
      <c r="F17" s="8">
        <f t="shared" si="2"/>
        <v>762214.5231</v>
      </c>
      <c r="G17" s="8">
        <f t="shared" si="3"/>
        <v>1089435.547</v>
      </c>
      <c r="H17" s="8">
        <f t="shared" si="4"/>
        <v>75132016.76</v>
      </c>
      <c r="J17" s="5"/>
      <c r="L17" s="25"/>
      <c r="M17" s="38" t="s">
        <v>69</v>
      </c>
      <c r="N17" s="39"/>
      <c r="O17" s="27">
        <f t="shared" ref="O17:S17" si="7">SUM(O11:O16)</f>
        <v>0</v>
      </c>
      <c r="P17" s="27">
        <f t="shared" si="7"/>
        <v>30000000</v>
      </c>
      <c r="Q17" s="27">
        <f t="shared" si="7"/>
        <v>0</v>
      </c>
      <c r="R17" s="27">
        <f t="shared" si="7"/>
        <v>0</v>
      </c>
      <c r="S17" s="27">
        <f t="shared" si="7"/>
        <v>30000000</v>
      </c>
      <c r="T17" s="27">
        <f>T16</f>
        <v>90348004</v>
      </c>
      <c r="U17" s="25"/>
    </row>
    <row r="18" ht="15.75" customHeight="1">
      <c r="A18" s="29">
        <v>46134.0</v>
      </c>
      <c r="B18" s="2" t="s">
        <v>348</v>
      </c>
      <c r="C18" s="30">
        <v>46023.0</v>
      </c>
      <c r="D18" s="8">
        <f t="shared" si="1"/>
        <v>1851650.07</v>
      </c>
      <c r="E18" s="15"/>
      <c r="F18" s="8">
        <f t="shared" si="2"/>
        <v>751320.1676</v>
      </c>
      <c r="G18" s="8">
        <f t="shared" si="3"/>
        <v>1100329.902</v>
      </c>
      <c r="H18" s="8">
        <f t="shared" si="4"/>
        <v>74031686.86</v>
      </c>
      <c r="J18" s="5"/>
    </row>
    <row r="19" ht="15.75" customHeight="1">
      <c r="A19" s="29">
        <v>46134.0</v>
      </c>
      <c r="B19" s="2" t="s">
        <v>348</v>
      </c>
      <c r="C19" s="30">
        <v>46054.0</v>
      </c>
      <c r="D19" s="8">
        <f t="shared" si="1"/>
        <v>1851650.07</v>
      </c>
      <c r="E19" s="15"/>
      <c r="F19" s="8">
        <f t="shared" si="2"/>
        <v>740316.8686</v>
      </c>
      <c r="G19" s="8">
        <f t="shared" si="3"/>
        <v>1111333.201</v>
      </c>
      <c r="H19" s="8">
        <f t="shared" si="4"/>
        <v>72920353.66</v>
      </c>
      <c r="I19" s="1"/>
      <c r="J19" s="6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29">
        <v>46134.0</v>
      </c>
      <c r="B20" s="2" t="s">
        <v>348</v>
      </c>
      <c r="C20" s="30">
        <v>46082.0</v>
      </c>
      <c r="D20" s="8">
        <f t="shared" si="1"/>
        <v>1851650.07</v>
      </c>
      <c r="E20" s="15">
        <f>10000000-D16-D17-D18-D19-D20</f>
        <v>741749.6513</v>
      </c>
      <c r="F20" s="8">
        <f t="shared" si="2"/>
        <v>729203.5366</v>
      </c>
      <c r="G20" s="8">
        <f t="shared" si="3"/>
        <v>1864196.184</v>
      </c>
      <c r="H20" s="8">
        <f t="shared" si="4"/>
        <v>71056157.48</v>
      </c>
      <c r="J20" s="5"/>
    </row>
    <row r="21" ht="15.75" customHeight="1">
      <c r="A21" s="37"/>
      <c r="B21" s="2"/>
      <c r="C21" s="30">
        <v>46113.0</v>
      </c>
      <c r="D21" s="8">
        <f t="shared" si="1"/>
        <v>1851650.07</v>
      </c>
      <c r="E21" s="15"/>
      <c r="F21" s="8">
        <f t="shared" si="2"/>
        <v>710561.5748</v>
      </c>
      <c r="G21" s="8">
        <f t="shared" si="3"/>
        <v>1141088.495</v>
      </c>
      <c r="H21" s="8">
        <f t="shared" si="4"/>
        <v>69915068.98</v>
      </c>
      <c r="J21" s="5" t="s">
        <v>350</v>
      </c>
    </row>
    <row r="22" ht="15.75" customHeight="1">
      <c r="A22" s="37"/>
      <c r="B22" s="2"/>
      <c r="C22" s="30">
        <v>46143.0</v>
      </c>
      <c r="D22" s="8">
        <f t="shared" si="1"/>
        <v>1851650.07</v>
      </c>
      <c r="E22" s="15"/>
      <c r="F22" s="8">
        <f t="shared" si="2"/>
        <v>699150.6898</v>
      </c>
      <c r="G22" s="8">
        <f t="shared" si="3"/>
        <v>1152499.38</v>
      </c>
      <c r="H22" s="8">
        <f t="shared" si="4"/>
        <v>68762569.6</v>
      </c>
      <c r="J22" s="5"/>
    </row>
    <row r="23" ht="15.75" customHeight="1">
      <c r="A23" s="37"/>
      <c r="B23" s="2"/>
      <c r="C23" s="30">
        <v>46174.0</v>
      </c>
      <c r="D23" s="8">
        <f t="shared" si="1"/>
        <v>1851650.07</v>
      </c>
      <c r="E23" s="46"/>
      <c r="F23" s="8">
        <f t="shared" si="2"/>
        <v>687625.696</v>
      </c>
      <c r="G23" s="8">
        <f t="shared" si="3"/>
        <v>1164024.374</v>
      </c>
      <c r="H23" s="8">
        <f t="shared" si="4"/>
        <v>67598545.23</v>
      </c>
      <c r="J23" s="5"/>
    </row>
    <row r="24" ht="15.75" customHeight="1">
      <c r="A24" s="37"/>
      <c r="B24" s="2"/>
      <c r="C24" s="30">
        <v>46204.0</v>
      </c>
      <c r="D24" s="8">
        <f t="shared" si="1"/>
        <v>1851650.07</v>
      </c>
      <c r="E24" s="46"/>
      <c r="F24" s="8">
        <f t="shared" si="2"/>
        <v>675985.4523</v>
      </c>
      <c r="G24" s="8">
        <f t="shared" si="3"/>
        <v>1175664.617</v>
      </c>
      <c r="H24" s="8">
        <f t="shared" si="4"/>
        <v>66422880.61</v>
      </c>
      <c r="J24" s="5"/>
    </row>
    <row r="25" ht="15.75" customHeight="1">
      <c r="B25" s="2"/>
      <c r="C25" s="30">
        <v>46235.0</v>
      </c>
      <c r="D25" s="8">
        <f t="shared" si="1"/>
        <v>1851650.07</v>
      </c>
      <c r="E25" s="46"/>
      <c r="F25" s="8">
        <f t="shared" si="2"/>
        <v>664228.8061</v>
      </c>
      <c r="G25" s="8">
        <f t="shared" si="3"/>
        <v>1187421.264</v>
      </c>
      <c r="H25" s="8">
        <f t="shared" si="4"/>
        <v>65235459.35</v>
      </c>
      <c r="J25" s="5"/>
    </row>
    <row r="26" ht="15.75" customHeight="1">
      <c r="B26" s="2"/>
      <c r="C26" s="30">
        <v>46266.0</v>
      </c>
      <c r="D26" s="8">
        <f t="shared" si="1"/>
        <v>1851650.07</v>
      </c>
      <c r="E26" s="46"/>
      <c r="F26" s="8">
        <f t="shared" si="2"/>
        <v>652354.5935</v>
      </c>
      <c r="G26" s="8">
        <f t="shared" si="3"/>
        <v>1199295.476</v>
      </c>
      <c r="H26" s="8">
        <f t="shared" si="4"/>
        <v>64036163.87</v>
      </c>
      <c r="J26" s="5"/>
    </row>
    <row r="27" ht="15.75" customHeight="1">
      <c r="B27" s="2"/>
      <c r="C27" s="30">
        <v>46296.0</v>
      </c>
      <c r="D27" s="8">
        <f t="shared" si="1"/>
        <v>1851650.07</v>
      </c>
      <c r="E27" s="46"/>
      <c r="F27" s="8">
        <f t="shared" si="2"/>
        <v>640361.6387</v>
      </c>
      <c r="G27" s="8">
        <f t="shared" si="3"/>
        <v>1211288.431</v>
      </c>
      <c r="H27" s="8">
        <f t="shared" si="4"/>
        <v>62824875.44</v>
      </c>
      <c r="J27" s="5"/>
    </row>
    <row r="28" ht="15.75" customHeight="1">
      <c r="B28" s="2"/>
      <c r="C28" s="30">
        <v>46327.0</v>
      </c>
      <c r="D28" s="8">
        <f t="shared" si="1"/>
        <v>1851650.07</v>
      </c>
      <c r="E28" s="46"/>
      <c r="F28" s="8">
        <f t="shared" si="2"/>
        <v>628248.7544</v>
      </c>
      <c r="G28" s="8">
        <f t="shared" si="3"/>
        <v>1223401.315</v>
      </c>
      <c r="H28" s="8">
        <f t="shared" si="4"/>
        <v>61601474.12</v>
      </c>
      <c r="J28" s="5"/>
    </row>
    <row r="29" ht="15.75" customHeight="1">
      <c r="B29" s="2"/>
      <c r="C29" s="30">
        <v>46357.0</v>
      </c>
      <c r="D29" s="8">
        <f t="shared" si="1"/>
        <v>1851650.07</v>
      </c>
      <c r="E29" s="46"/>
      <c r="F29" s="8">
        <f t="shared" si="2"/>
        <v>616014.7412</v>
      </c>
      <c r="G29" s="8">
        <f t="shared" si="3"/>
        <v>1235635.328</v>
      </c>
      <c r="H29" s="8">
        <f t="shared" si="4"/>
        <v>60365838.8</v>
      </c>
      <c r="J29" s="5"/>
    </row>
    <row r="30" ht="15.75" customHeight="1">
      <c r="B30" s="2"/>
      <c r="C30" s="30">
        <v>46388.0</v>
      </c>
      <c r="D30" s="8">
        <f t="shared" si="1"/>
        <v>1851650.07</v>
      </c>
      <c r="E30" s="46"/>
      <c r="F30" s="8">
        <f t="shared" si="2"/>
        <v>603658.388</v>
      </c>
      <c r="G30" s="8">
        <f t="shared" si="3"/>
        <v>1247991.682</v>
      </c>
      <c r="H30" s="8">
        <f t="shared" si="4"/>
        <v>59117847.11</v>
      </c>
      <c r="J30" s="5"/>
    </row>
    <row r="31" ht="15.75" customHeight="1">
      <c r="B31" s="2"/>
      <c r="C31" s="30">
        <v>46419.0</v>
      </c>
      <c r="D31" s="8">
        <f t="shared" si="1"/>
        <v>1851650.07</v>
      </c>
      <c r="E31" s="46"/>
      <c r="F31" s="8">
        <f t="shared" si="2"/>
        <v>591178.4711</v>
      </c>
      <c r="G31" s="8">
        <f t="shared" si="3"/>
        <v>1260471.599</v>
      </c>
      <c r="H31" s="8">
        <f t="shared" si="4"/>
        <v>57857375.52</v>
      </c>
      <c r="J31" s="5"/>
    </row>
    <row r="32" ht="15.75" customHeight="1">
      <c r="B32" s="2"/>
      <c r="C32" s="30">
        <v>46447.0</v>
      </c>
      <c r="D32" s="8">
        <f t="shared" si="1"/>
        <v>1851650.07</v>
      </c>
      <c r="E32" s="46"/>
      <c r="F32" s="8">
        <f t="shared" si="2"/>
        <v>578573.7552</v>
      </c>
      <c r="G32" s="8">
        <f t="shared" si="3"/>
        <v>1273076.315</v>
      </c>
      <c r="H32" s="8">
        <f t="shared" si="4"/>
        <v>56584299.2</v>
      </c>
      <c r="J32" s="5"/>
    </row>
    <row r="33" ht="15.75" customHeight="1">
      <c r="B33" s="2"/>
      <c r="C33" s="30">
        <v>46478.0</v>
      </c>
      <c r="D33" s="8">
        <f t="shared" si="1"/>
        <v>1851650.07</v>
      </c>
      <c r="E33" s="46"/>
      <c r="F33" s="8">
        <f t="shared" si="2"/>
        <v>565842.992</v>
      </c>
      <c r="G33" s="8">
        <f t="shared" si="3"/>
        <v>1285807.078</v>
      </c>
      <c r="H33" s="8">
        <f t="shared" si="4"/>
        <v>55298492.12</v>
      </c>
      <c r="J33" s="5"/>
    </row>
    <row r="34" ht="15.75" customHeight="1">
      <c r="B34" s="2"/>
      <c r="C34" s="30">
        <v>46508.0</v>
      </c>
      <c r="D34" s="8">
        <f t="shared" si="1"/>
        <v>1851650.07</v>
      </c>
      <c r="E34" s="46"/>
      <c r="F34" s="8">
        <f t="shared" si="2"/>
        <v>552984.9212</v>
      </c>
      <c r="G34" s="8">
        <f t="shared" si="3"/>
        <v>1298665.149</v>
      </c>
      <c r="H34" s="8">
        <f t="shared" si="4"/>
        <v>53999826.98</v>
      </c>
      <c r="J34" s="5"/>
    </row>
    <row r="35" ht="15.75" customHeight="1">
      <c r="B35" s="2"/>
      <c r="C35" s="30">
        <v>46539.0</v>
      </c>
      <c r="D35" s="8">
        <f t="shared" si="1"/>
        <v>1851650.07</v>
      </c>
      <c r="E35" s="46"/>
      <c r="F35" s="8">
        <f t="shared" si="2"/>
        <v>539998.2698</v>
      </c>
      <c r="G35" s="8">
        <f t="shared" si="3"/>
        <v>1311651.8</v>
      </c>
      <c r="H35" s="8">
        <f t="shared" si="4"/>
        <v>52688175.18</v>
      </c>
      <c r="J35" s="5"/>
    </row>
    <row r="36" ht="15.75" customHeight="1">
      <c r="B36" s="2"/>
      <c r="C36" s="30">
        <v>46569.0</v>
      </c>
      <c r="D36" s="8">
        <f t="shared" si="1"/>
        <v>1851650.07</v>
      </c>
      <c r="E36" s="46"/>
      <c r="F36" s="8">
        <f t="shared" si="2"/>
        <v>526881.7518</v>
      </c>
      <c r="G36" s="8">
        <f t="shared" si="3"/>
        <v>1324768.318</v>
      </c>
      <c r="H36" s="8">
        <f t="shared" si="4"/>
        <v>51363406.86</v>
      </c>
      <c r="J36" s="5"/>
    </row>
    <row r="37" ht="15.75" customHeight="1">
      <c r="B37" s="2"/>
      <c r="C37" s="30">
        <v>46600.0</v>
      </c>
      <c r="D37" s="8">
        <f t="shared" si="1"/>
        <v>1851650.07</v>
      </c>
      <c r="E37" s="46"/>
      <c r="F37" s="8">
        <f t="shared" si="2"/>
        <v>513634.0686</v>
      </c>
      <c r="G37" s="8">
        <f t="shared" si="3"/>
        <v>1338016.001</v>
      </c>
      <c r="H37" s="8">
        <f t="shared" si="4"/>
        <v>50025390.86</v>
      </c>
      <c r="J37" s="5"/>
    </row>
    <row r="38" ht="15.75" customHeight="1">
      <c r="B38" s="2"/>
      <c r="C38" s="30">
        <v>46631.0</v>
      </c>
      <c r="D38" s="8">
        <f t="shared" si="1"/>
        <v>1851650.07</v>
      </c>
      <c r="E38" s="46"/>
      <c r="F38" s="8">
        <f t="shared" si="2"/>
        <v>500253.9086</v>
      </c>
      <c r="G38" s="8">
        <f t="shared" si="3"/>
        <v>1351396.161</v>
      </c>
      <c r="H38" s="8">
        <f t="shared" si="4"/>
        <v>48673994.7</v>
      </c>
      <c r="J38" s="5"/>
    </row>
    <row r="39" ht="15.75" customHeight="1">
      <c r="B39" s="2"/>
      <c r="C39" s="30">
        <v>46661.0</v>
      </c>
      <c r="D39" s="8">
        <f t="shared" si="1"/>
        <v>1851650.07</v>
      </c>
      <c r="E39" s="46"/>
      <c r="F39" s="8">
        <f t="shared" si="2"/>
        <v>486739.947</v>
      </c>
      <c r="G39" s="8">
        <f t="shared" si="3"/>
        <v>1364910.123</v>
      </c>
      <c r="H39" s="8">
        <f t="shared" si="4"/>
        <v>47309084.57</v>
      </c>
      <c r="J39" s="5"/>
    </row>
    <row r="40" ht="15.75" customHeight="1">
      <c r="B40" s="2"/>
      <c r="C40" s="30">
        <v>46692.0</v>
      </c>
      <c r="D40" s="8">
        <f t="shared" si="1"/>
        <v>1851650.07</v>
      </c>
      <c r="E40" s="46"/>
      <c r="F40" s="8">
        <f t="shared" si="2"/>
        <v>473090.8457</v>
      </c>
      <c r="G40" s="8">
        <f t="shared" si="3"/>
        <v>1378559.224</v>
      </c>
      <c r="H40" s="8">
        <f t="shared" si="4"/>
        <v>45930525.35</v>
      </c>
      <c r="J40" s="5"/>
    </row>
    <row r="41" ht="15.75" customHeight="1">
      <c r="B41" s="2"/>
      <c r="C41" s="30">
        <v>46722.0</v>
      </c>
      <c r="D41" s="8">
        <f t="shared" si="1"/>
        <v>1851650.07</v>
      </c>
      <c r="E41" s="46"/>
      <c r="F41" s="8">
        <f t="shared" si="2"/>
        <v>459305.2535</v>
      </c>
      <c r="G41" s="8">
        <f t="shared" si="3"/>
        <v>1392344.816</v>
      </c>
      <c r="H41" s="8">
        <f t="shared" si="4"/>
        <v>44538180.53</v>
      </c>
      <c r="J41" s="5"/>
    </row>
    <row r="42" ht="15.75" customHeight="1">
      <c r="B42" s="2"/>
      <c r="C42" s="30">
        <v>46753.0</v>
      </c>
      <c r="D42" s="8">
        <f t="shared" si="1"/>
        <v>1851650.07</v>
      </c>
      <c r="E42" s="46"/>
      <c r="F42" s="8">
        <f t="shared" si="2"/>
        <v>445381.8053</v>
      </c>
      <c r="G42" s="8">
        <f t="shared" si="3"/>
        <v>1406268.264</v>
      </c>
      <c r="H42" s="8">
        <f t="shared" si="4"/>
        <v>43131912.27</v>
      </c>
      <c r="J42" s="5"/>
    </row>
    <row r="43" ht="15.75" customHeight="1">
      <c r="B43" s="2"/>
      <c r="C43" s="30">
        <v>46784.0</v>
      </c>
      <c r="D43" s="8">
        <f t="shared" si="1"/>
        <v>1851650.07</v>
      </c>
      <c r="E43" s="46"/>
      <c r="F43" s="8">
        <f t="shared" si="2"/>
        <v>431319.1227</v>
      </c>
      <c r="G43" s="8">
        <f t="shared" si="3"/>
        <v>1420330.947</v>
      </c>
      <c r="H43" s="8">
        <f t="shared" si="4"/>
        <v>41711581.32</v>
      </c>
      <c r="J43" s="5"/>
    </row>
    <row r="44" ht="15.75" customHeight="1">
      <c r="B44" s="2"/>
      <c r="C44" s="30">
        <v>46813.0</v>
      </c>
      <c r="D44" s="8">
        <f t="shared" si="1"/>
        <v>1851650.07</v>
      </c>
      <c r="E44" s="46"/>
      <c r="F44" s="8">
        <f t="shared" si="2"/>
        <v>417115.8132</v>
      </c>
      <c r="G44" s="8">
        <f t="shared" si="3"/>
        <v>1434534.257</v>
      </c>
      <c r="H44" s="8">
        <f t="shared" si="4"/>
        <v>40277047.06</v>
      </c>
      <c r="J44" s="5"/>
    </row>
    <row r="45" ht="15.75" customHeight="1">
      <c r="B45" s="2"/>
      <c r="C45" s="30">
        <v>46844.0</v>
      </c>
      <c r="D45" s="8">
        <f t="shared" si="1"/>
        <v>1851650.07</v>
      </c>
      <c r="E45" s="46"/>
      <c r="F45" s="8">
        <f t="shared" si="2"/>
        <v>402770.4706</v>
      </c>
      <c r="G45" s="8">
        <f t="shared" si="3"/>
        <v>1448879.599</v>
      </c>
      <c r="H45" s="8">
        <f t="shared" si="4"/>
        <v>38828167.46</v>
      </c>
      <c r="J45" s="5"/>
    </row>
    <row r="46" ht="15.75" customHeight="1">
      <c r="B46" s="2"/>
      <c r="C46" s="30">
        <v>46874.0</v>
      </c>
      <c r="D46" s="8">
        <f t="shared" si="1"/>
        <v>1851650.07</v>
      </c>
      <c r="E46" s="46"/>
      <c r="F46" s="8">
        <f t="shared" si="2"/>
        <v>388281.6746</v>
      </c>
      <c r="G46" s="8">
        <f t="shared" si="3"/>
        <v>1463368.395</v>
      </c>
      <c r="H46" s="8">
        <f t="shared" si="4"/>
        <v>37364799.07</v>
      </c>
      <c r="J46" s="5"/>
    </row>
    <row r="47" ht="15.75" customHeight="1">
      <c r="B47" s="2"/>
      <c r="C47" s="30">
        <v>46905.0</v>
      </c>
      <c r="D47" s="8">
        <f t="shared" si="1"/>
        <v>1851650.07</v>
      </c>
      <c r="E47" s="46"/>
      <c r="F47" s="8">
        <f t="shared" si="2"/>
        <v>373647.9907</v>
      </c>
      <c r="G47" s="8">
        <f t="shared" si="3"/>
        <v>1478002.079</v>
      </c>
      <c r="H47" s="8">
        <f t="shared" si="4"/>
        <v>35886796.99</v>
      </c>
      <c r="J47" s="5"/>
    </row>
    <row r="48" ht="15.75" customHeight="1">
      <c r="B48" s="2"/>
      <c r="C48" s="30">
        <v>46935.0</v>
      </c>
      <c r="D48" s="8">
        <f t="shared" si="1"/>
        <v>1851650.07</v>
      </c>
      <c r="E48" s="46"/>
      <c r="F48" s="8">
        <f t="shared" si="2"/>
        <v>358867.9699</v>
      </c>
      <c r="G48" s="8">
        <f t="shared" si="3"/>
        <v>1492782.1</v>
      </c>
      <c r="H48" s="8">
        <f t="shared" si="4"/>
        <v>34394014.89</v>
      </c>
      <c r="J48" s="5"/>
    </row>
    <row r="49" ht="15.75" customHeight="1">
      <c r="B49" s="2"/>
      <c r="C49" s="30">
        <v>46966.0</v>
      </c>
      <c r="D49" s="8">
        <f t="shared" si="1"/>
        <v>1851650.07</v>
      </c>
      <c r="E49" s="46"/>
      <c r="F49" s="8">
        <f t="shared" si="2"/>
        <v>343940.1489</v>
      </c>
      <c r="G49" s="8">
        <f t="shared" si="3"/>
        <v>1507709.921</v>
      </c>
      <c r="H49" s="8">
        <f t="shared" si="4"/>
        <v>32886304.97</v>
      </c>
      <c r="J49" s="5"/>
    </row>
    <row r="50" ht="15.75" customHeight="1">
      <c r="B50" s="2"/>
      <c r="C50" s="30">
        <v>46997.0</v>
      </c>
      <c r="D50" s="8">
        <f t="shared" si="1"/>
        <v>1851650.07</v>
      </c>
      <c r="E50" s="46"/>
      <c r="F50" s="8">
        <f t="shared" si="2"/>
        <v>328863.0497</v>
      </c>
      <c r="G50" s="8">
        <f t="shared" si="3"/>
        <v>1522787.02</v>
      </c>
      <c r="H50" s="8">
        <f t="shared" si="4"/>
        <v>31363517.95</v>
      </c>
      <c r="J50" s="5"/>
    </row>
    <row r="51" ht="15.75" customHeight="1">
      <c r="B51" s="2"/>
      <c r="C51" s="30">
        <v>47027.0</v>
      </c>
      <c r="D51" s="8">
        <f t="shared" si="1"/>
        <v>1851650.07</v>
      </c>
      <c r="E51" s="46"/>
      <c r="F51" s="8">
        <f t="shared" si="2"/>
        <v>313635.1795</v>
      </c>
      <c r="G51" s="8">
        <f t="shared" si="3"/>
        <v>1538014.89</v>
      </c>
      <c r="H51" s="8">
        <f t="shared" si="4"/>
        <v>29825503.06</v>
      </c>
      <c r="J51" s="5"/>
    </row>
    <row r="52" ht="15.75" customHeight="1">
      <c r="B52" s="2"/>
      <c r="C52" s="30">
        <v>47058.0</v>
      </c>
      <c r="D52" s="8">
        <f t="shared" si="1"/>
        <v>1851650.07</v>
      </c>
      <c r="E52" s="46"/>
      <c r="F52" s="8">
        <f t="shared" si="2"/>
        <v>298255.0306</v>
      </c>
      <c r="G52" s="8">
        <f t="shared" si="3"/>
        <v>1553395.039</v>
      </c>
      <c r="H52" s="8">
        <f t="shared" si="4"/>
        <v>28272108.02</v>
      </c>
      <c r="J52" s="5"/>
    </row>
    <row r="53" ht="15.75" customHeight="1">
      <c r="B53" s="2"/>
      <c r="C53" s="30">
        <v>47088.0</v>
      </c>
      <c r="D53" s="8">
        <f t="shared" si="1"/>
        <v>1851650.07</v>
      </c>
      <c r="E53" s="46"/>
      <c r="F53" s="8">
        <f t="shared" si="2"/>
        <v>282721.0802</v>
      </c>
      <c r="G53" s="8">
        <f t="shared" si="3"/>
        <v>1568928.99</v>
      </c>
      <c r="H53" s="8">
        <f t="shared" si="4"/>
        <v>26703179.03</v>
      </c>
      <c r="J53" s="5"/>
    </row>
    <row r="54" ht="15.75" customHeight="1">
      <c r="B54" s="2"/>
      <c r="C54" s="30">
        <v>47119.0</v>
      </c>
      <c r="D54" s="8">
        <f t="shared" si="1"/>
        <v>1851650.07</v>
      </c>
      <c r="E54" s="46"/>
      <c r="F54" s="8">
        <f t="shared" si="2"/>
        <v>267031.7903</v>
      </c>
      <c r="G54" s="8">
        <f t="shared" si="3"/>
        <v>1584618.279</v>
      </c>
      <c r="H54" s="8">
        <f t="shared" si="4"/>
        <v>25118560.75</v>
      </c>
      <c r="J54" s="5"/>
    </row>
    <row r="55" ht="15.75" customHeight="1">
      <c r="B55" s="2"/>
      <c r="C55" s="30">
        <v>47150.0</v>
      </c>
      <c r="D55" s="8">
        <f t="shared" si="1"/>
        <v>1851650.07</v>
      </c>
      <c r="E55" s="46"/>
      <c r="F55" s="8">
        <f t="shared" si="2"/>
        <v>251185.6075</v>
      </c>
      <c r="G55" s="8">
        <f t="shared" si="3"/>
        <v>1600464.462</v>
      </c>
      <c r="H55" s="8">
        <f t="shared" si="4"/>
        <v>23518096.29</v>
      </c>
      <c r="J55" s="5"/>
    </row>
    <row r="56" ht="15.75" customHeight="1">
      <c r="B56" s="2"/>
      <c r="C56" s="30">
        <v>47178.0</v>
      </c>
      <c r="D56" s="8">
        <f t="shared" si="1"/>
        <v>1851650.07</v>
      </c>
      <c r="E56" s="46"/>
      <c r="F56" s="8">
        <f t="shared" si="2"/>
        <v>235180.9629</v>
      </c>
      <c r="G56" s="8">
        <f t="shared" si="3"/>
        <v>1616469.107</v>
      </c>
      <c r="H56" s="8">
        <f t="shared" si="4"/>
        <v>21901627.18</v>
      </c>
      <c r="J56" s="5"/>
    </row>
    <row r="57" ht="15.75" customHeight="1">
      <c r="B57" s="2"/>
      <c r="C57" s="30">
        <v>47209.0</v>
      </c>
      <c r="D57" s="8">
        <f t="shared" si="1"/>
        <v>1851650.07</v>
      </c>
      <c r="E57" s="46"/>
      <c r="F57" s="8">
        <f t="shared" si="2"/>
        <v>219016.2718</v>
      </c>
      <c r="G57" s="8">
        <f t="shared" si="3"/>
        <v>1632633.798</v>
      </c>
      <c r="H57" s="8">
        <f t="shared" si="4"/>
        <v>20268993.38</v>
      </c>
      <c r="J57" s="5"/>
    </row>
    <row r="58" ht="15.75" customHeight="1">
      <c r="B58" s="2"/>
      <c r="C58" s="30">
        <v>47239.0</v>
      </c>
      <c r="D58" s="8">
        <f t="shared" si="1"/>
        <v>1851650.07</v>
      </c>
      <c r="E58" s="46"/>
      <c r="F58" s="8">
        <f t="shared" si="2"/>
        <v>202689.9338</v>
      </c>
      <c r="G58" s="8">
        <f t="shared" si="3"/>
        <v>1648960.136</v>
      </c>
      <c r="H58" s="8">
        <f t="shared" si="4"/>
        <v>18620033.25</v>
      </c>
      <c r="J58" s="5"/>
    </row>
    <row r="59" ht="15.75" customHeight="1">
      <c r="B59" s="2"/>
      <c r="C59" s="30">
        <v>47270.0</v>
      </c>
      <c r="D59" s="8">
        <f t="shared" si="1"/>
        <v>1851650.07</v>
      </c>
      <c r="E59" s="46"/>
      <c r="F59" s="8">
        <f t="shared" si="2"/>
        <v>186200.3325</v>
      </c>
      <c r="G59" s="8">
        <f t="shared" si="3"/>
        <v>1665449.737</v>
      </c>
      <c r="H59" s="8">
        <f t="shared" si="4"/>
        <v>16954583.51</v>
      </c>
      <c r="J59" s="5"/>
    </row>
    <row r="60" ht="15.75" customHeight="1">
      <c r="B60" s="2"/>
      <c r="C60" s="30">
        <v>47300.0</v>
      </c>
      <c r="D60" s="8">
        <f t="shared" si="1"/>
        <v>1851650.07</v>
      </c>
      <c r="E60" s="46"/>
      <c r="F60" s="8">
        <f t="shared" si="2"/>
        <v>169545.8351</v>
      </c>
      <c r="G60" s="8">
        <f t="shared" si="3"/>
        <v>1682104.235</v>
      </c>
      <c r="H60" s="8">
        <f t="shared" si="4"/>
        <v>15272479.28</v>
      </c>
      <c r="J60" s="5"/>
    </row>
    <row r="61" ht="15.75" customHeight="1">
      <c r="B61" s="2"/>
      <c r="C61" s="30">
        <v>47331.0</v>
      </c>
      <c r="D61" s="8">
        <f t="shared" si="1"/>
        <v>1851650.07</v>
      </c>
      <c r="E61" s="46"/>
      <c r="F61" s="8">
        <f t="shared" si="2"/>
        <v>152724.7928</v>
      </c>
      <c r="G61" s="8">
        <f t="shared" si="3"/>
        <v>1698925.277</v>
      </c>
      <c r="H61" s="8">
        <f t="shared" si="4"/>
        <v>13573554</v>
      </c>
      <c r="J61" s="5"/>
    </row>
    <row r="62" ht="15.75" customHeight="1">
      <c r="B62" s="2"/>
      <c r="C62" s="30">
        <v>47362.0</v>
      </c>
      <c r="D62" s="8">
        <f t="shared" si="1"/>
        <v>1851650.07</v>
      </c>
      <c r="E62" s="46"/>
      <c r="F62" s="8">
        <f t="shared" si="2"/>
        <v>135735.54</v>
      </c>
      <c r="G62" s="8">
        <f t="shared" si="3"/>
        <v>1715914.53</v>
      </c>
      <c r="H62" s="8">
        <f t="shared" si="4"/>
        <v>11857639.47</v>
      </c>
      <c r="J62" s="5"/>
    </row>
    <row r="63" ht="15.75" customHeight="1">
      <c r="B63" s="2"/>
      <c r="C63" s="30">
        <v>47392.0</v>
      </c>
      <c r="D63" s="8">
        <f t="shared" si="1"/>
        <v>1851650.07</v>
      </c>
      <c r="E63" s="46"/>
      <c r="F63" s="8">
        <f t="shared" si="2"/>
        <v>118576.3947</v>
      </c>
      <c r="G63" s="8">
        <f t="shared" si="3"/>
        <v>1733073.675</v>
      </c>
      <c r="H63" s="8">
        <f t="shared" si="4"/>
        <v>10124565.8</v>
      </c>
      <c r="J63" s="5"/>
    </row>
    <row r="64" ht="15.75" customHeight="1">
      <c r="B64" s="2"/>
      <c r="C64" s="30">
        <v>47423.0</v>
      </c>
      <c r="D64" s="8">
        <f t="shared" si="1"/>
        <v>1851650.07</v>
      </c>
      <c r="E64" s="46"/>
      <c r="F64" s="8">
        <f t="shared" si="2"/>
        <v>101245.658</v>
      </c>
      <c r="G64" s="8">
        <f t="shared" si="3"/>
        <v>1750404.412</v>
      </c>
      <c r="H64" s="8">
        <f t="shared" si="4"/>
        <v>8374161.383</v>
      </c>
      <c r="J64" s="5"/>
    </row>
    <row r="65" ht="15.75" customHeight="1">
      <c r="B65" s="2"/>
      <c r="C65" s="30">
        <v>47453.0</v>
      </c>
      <c r="D65" s="8">
        <f t="shared" si="1"/>
        <v>1851650.07</v>
      </c>
      <c r="E65" s="46"/>
      <c r="F65" s="8">
        <f t="shared" si="2"/>
        <v>83741.61383</v>
      </c>
      <c r="G65" s="8">
        <f t="shared" si="3"/>
        <v>1767908.456</v>
      </c>
      <c r="H65" s="8">
        <f t="shared" si="4"/>
        <v>6606252.927</v>
      </c>
      <c r="J65" s="5"/>
    </row>
    <row r="66" ht="15.75" customHeight="1">
      <c r="B66" s="2"/>
      <c r="C66" s="30">
        <v>47484.0</v>
      </c>
      <c r="D66" s="8">
        <f t="shared" si="1"/>
        <v>1851650.07</v>
      </c>
      <c r="E66" s="46"/>
      <c r="F66" s="8">
        <f t="shared" si="2"/>
        <v>66062.52927</v>
      </c>
      <c r="G66" s="8">
        <f t="shared" si="3"/>
        <v>1785587.54</v>
      </c>
      <c r="H66" s="8">
        <f t="shared" si="4"/>
        <v>4820665.387</v>
      </c>
      <c r="J66" s="5"/>
    </row>
    <row r="67" ht="15.75" customHeight="1">
      <c r="B67" s="2"/>
      <c r="C67" s="30">
        <v>47515.0</v>
      </c>
      <c r="D67" s="8">
        <f t="shared" si="1"/>
        <v>1851650.07</v>
      </c>
      <c r="E67" s="46"/>
      <c r="F67" s="8">
        <f t="shared" si="2"/>
        <v>48206.65387</v>
      </c>
      <c r="G67" s="8">
        <f t="shared" si="3"/>
        <v>1803443.416</v>
      </c>
      <c r="H67" s="8">
        <f t="shared" si="4"/>
        <v>3017221.971</v>
      </c>
      <c r="J67" s="5"/>
    </row>
    <row r="68" ht="15.75" customHeight="1">
      <c r="B68" s="2"/>
      <c r="C68" s="30">
        <v>47543.0</v>
      </c>
      <c r="D68" s="8">
        <f t="shared" si="1"/>
        <v>1851650.07</v>
      </c>
      <c r="E68" s="46"/>
      <c r="F68" s="8">
        <f t="shared" si="2"/>
        <v>30172.21971</v>
      </c>
      <c r="G68" s="8">
        <f t="shared" si="3"/>
        <v>1821477.85</v>
      </c>
      <c r="H68" s="8">
        <f t="shared" si="4"/>
        <v>1195744.121</v>
      </c>
      <c r="J68" s="5"/>
    </row>
    <row r="69" ht="15.75" customHeight="1">
      <c r="B69" s="2"/>
      <c r="C69" s="30">
        <v>47574.0</v>
      </c>
      <c r="D69" s="8">
        <f t="shared" si="1"/>
        <v>1851650.07</v>
      </c>
      <c r="E69" s="46"/>
      <c r="F69" s="8">
        <f t="shared" si="2"/>
        <v>11957.44121</v>
      </c>
      <c r="G69" s="8">
        <f t="shared" si="3"/>
        <v>1839692.629</v>
      </c>
      <c r="H69" s="8">
        <f t="shared" si="4"/>
        <v>-643948.5074</v>
      </c>
      <c r="J69" s="5"/>
    </row>
    <row r="70" ht="15.75" customHeight="1">
      <c r="B70" s="2"/>
      <c r="C70" s="30">
        <v>47604.0</v>
      </c>
      <c r="D70" s="8">
        <f t="shared" si="1"/>
        <v>1851650.07</v>
      </c>
      <c r="E70" s="46"/>
      <c r="F70" s="8">
        <f t="shared" si="2"/>
        <v>-6439.485074</v>
      </c>
      <c r="G70" s="8">
        <f t="shared" si="3"/>
        <v>1858089.555</v>
      </c>
      <c r="H70" s="8">
        <f t="shared" si="4"/>
        <v>-2502038.062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6.44"/>
    <col customWidth="1" min="3" max="3" width="12.0"/>
    <col customWidth="1" min="4" max="4" width="15.44"/>
    <col customWidth="1" min="5" max="5" width="12.78"/>
    <col customWidth="1" hidden="1" min="6" max="7" width="12.78"/>
    <col customWidth="1" min="8" max="8" width="17.11"/>
    <col customWidth="1" min="9" max="10" width="13.11"/>
    <col customWidth="1" min="11" max="11" width="15.11"/>
    <col customWidth="1" min="12" max="28" width="12.0"/>
  </cols>
  <sheetData>
    <row r="1" ht="15.75" customHeight="1">
      <c r="B1" s="2"/>
      <c r="C1" s="1" t="s">
        <v>0</v>
      </c>
      <c r="D1" s="3" t="s">
        <v>1</v>
      </c>
      <c r="E1" s="4"/>
      <c r="G1" s="1" t="s">
        <v>351</v>
      </c>
      <c r="J1" s="5"/>
    </row>
    <row r="2" ht="15.75" customHeight="1">
      <c r="B2" s="2"/>
      <c r="C2" s="1" t="s">
        <v>6</v>
      </c>
      <c r="D2" s="6">
        <f>+A5*10%</f>
        <v>9249000</v>
      </c>
      <c r="E2" s="7"/>
      <c r="J2" s="5"/>
    </row>
    <row r="3" ht="15.75" hidden="1" customHeight="1">
      <c r="B3" s="2"/>
      <c r="C3" s="1" t="s">
        <v>7</v>
      </c>
      <c r="D3" s="8">
        <f>+A5-D2</f>
        <v>83241000</v>
      </c>
      <c r="E3" s="9"/>
      <c r="H3" s="5"/>
      <c r="J3" s="5"/>
    </row>
    <row r="4" ht="15.75" hidden="1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9.249E7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1851650.07</v>
      </c>
      <c r="E6" s="12"/>
      <c r="H6" s="5"/>
      <c r="J6" s="5"/>
    </row>
    <row r="7" ht="15.75" customHeight="1">
      <c r="B7" s="2"/>
      <c r="C7" s="1" t="s">
        <v>12</v>
      </c>
      <c r="D7" s="20" t="s">
        <v>338</v>
      </c>
      <c r="H7" s="5"/>
      <c r="J7" s="5"/>
    </row>
    <row r="8" ht="15.75" customHeight="1">
      <c r="B8" s="2"/>
      <c r="C8" s="1" t="s">
        <v>16</v>
      </c>
      <c r="D8" s="16">
        <v>9.4513037E7</v>
      </c>
      <c r="H8" s="5"/>
      <c r="I8" s="17"/>
      <c r="J8" s="19"/>
      <c r="K8" s="17"/>
      <c r="L8" s="21" t="s">
        <v>352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83241000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1.20348004E8</v>
      </c>
      <c r="U10" s="25"/>
    </row>
    <row r="11" ht="15.75" customHeight="1">
      <c r="A11" s="32">
        <v>45701.0</v>
      </c>
      <c r="B11" s="59" t="s">
        <v>353</v>
      </c>
      <c r="C11" s="66">
        <v>45777.0</v>
      </c>
      <c r="D11" s="20">
        <f t="shared" ref="D11:D70" si="1">$D$6</f>
        <v>1851650.07</v>
      </c>
      <c r="E11" s="20"/>
      <c r="F11" s="8">
        <f t="shared" ref="F11:F70" si="2">+H10*$D$4</f>
        <v>832410</v>
      </c>
      <c r="G11" s="8">
        <f t="shared" ref="G11:G70" si="3">+D11+E11-F11</f>
        <v>1019240.07</v>
      </c>
      <c r="H11" s="8">
        <f t="shared" ref="H11:H70" si="4">+H10-G11</f>
        <v>82221759.93</v>
      </c>
      <c r="J11" s="5"/>
      <c r="L11" s="33">
        <v>45632.0</v>
      </c>
      <c r="M11" s="34" t="s">
        <v>44</v>
      </c>
      <c r="N11" s="35" t="s">
        <v>354</v>
      </c>
      <c r="O11" s="36"/>
      <c r="P11" s="36">
        <v>1000000.0</v>
      </c>
      <c r="Q11" s="36"/>
      <c r="R11" s="36"/>
      <c r="S11" s="36">
        <f t="shared" ref="S11:S22" si="5">SUM(O11:R11)</f>
        <v>1000000</v>
      </c>
      <c r="T11" s="36">
        <f t="shared" ref="T11:T22" si="6">T10-S11</f>
        <v>119348004</v>
      </c>
      <c r="U11" s="34"/>
    </row>
    <row r="12" ht="15.75" customHeight="1">
      <c r="A12" s="32">
        <v>45701.0</v>
      </c>
      <c r="B12" s="59" t="s">
        <v>353</v>
      </c>
      <c r="C12" s="30">
        <v>45807.0</v>
      </c>
      <c r="D12" s="8">
        <f t="shared" si="1"/>
        <v>1851650.07</v>
      </c>
      <c r="E12" s="15">
        <f>4000000-D11-D12</f>
        <v>296699.8605</v>
      </c>
      <c r="F12" s="8">
        <f t="shared" si="2"/>
        <v>822217.5993</v>
      </c>
      <c r="G12" s="8">
        <f t="shared" si="3"/>
        <v>1326132.331</v>
      </c>
      <c r="H12" s="8">
        <f t="shared" si="4"/>
        <v>80895627.6</v>
      </c>
      <c r="J12" s="5"/>
      <c r="L12" s="33">
        <v>45637.0</v>
      </c>
      <c r="M12" s="34" t="s">
        <v>355</v>
      </c>
      <c r="N12" s="35" t="s">
        <v>356</v>
      </c>
      <c r="O12" s="36">
        <v>1000000.0</v>
      </c>
      <c r="P12" s="36"/>
      <c r="Q12" s="36"/>
      <c r="R12" s="36"/>
      <c r="S12" s="36">
        <f t="shared" si="5"/>
        <v>1000000</v>
      </c>
      <c r="T12" s="36">
        <f t="shared" si="6"/>
        <v>118348004</v>
      </c>
      <c r="U12" s="34" t="s">
        <v>357</v>
      </c>
    </row>
    <row r="13" ht="15.75" customHeight="1">
      <c r="A13" s="32">
        <v>45705.0</v>
      </c>
      <c r="B13" s="59" t="s">
        <v>358</v>
      </c>
      <c r="C13" s="30">
        <v>45838.0</v>
      </c>
      <c r="D13" s="8">
        <f t="shared" si="1"/>
        <v>1851650.07</v>
      </c>
      <c r="E13" s="15"/>
      <c r="F13" s="8">
        <f t="shared" si="2"/>
        <v>808956.276</v>
      </c>
      <c r="G13" s="8">
        <f t="shared" si="3"/>
        <v>1042693.794</v>
      </c>
      <c r="H13" s="8">
        <f t="shared" si="4"/>
        <v>79852933.81</v>
      </c>
      <c r="J13" s="5" t="s">
        <v>56</v>
      </c>
      <c r="L13" s="33">
        <v>45641.0</v>
      </c>
      <c r="M13" s="34" t="s">
        <v>359</v>
      </c>
      <c r="N13" s="35" t="s">
        <v>360</v>
      </c>
      <c r="O13" s="36"/>
      <c r="P13" s="36">
        <v>1000000.0</v>
      </c>
      <c r="Q13" s="36"/>
      <c r="R13" s="36"/>
      <c r="S13" s="36">
        <f t="shared" si="5"/>
        <v>1000000</v>
      </c>
      <c r="T13" s="36">
        <f t="shared" si="6"/>
        <v>117348004</v>
      </c>
      <c r="U13" s="34" t="s">
        <v>357</v>
      </c>
    </row>
    <row r="14" ht="15.75" customHeight="1">
      <c r="A14" s="32">
        <v>45705.0</v>
      </c>
      <c r="B14" s="59" t="s">
        <v>358</v>
      </c>
      <c r="C14" s="30">
        <v>45868.0</v>
      </c>
      <c r="D14" s="8">
        <f t="shared" si="1"/>
        <v>1851650.07</v>
      </c>
      <c r="E14" s="15"/>
      <c r="F14" s="8">
        <f t="shared" si="2"/>
        <v>798529.3381</v>
      </c>
      <c r="G14" s="8">
        <f t="shared" si="3"/>
        <v>1053120.732</v>
      </c>
      <c r="H14" s="8">
        <f t="shared" si="4"/>
        <v>78799813.07</v>
      </c>
      <c r="J14" s="8">
        <f>+H10</f>
        <v>83241000</v>
      </c>
      <c r="L14" s="33">
        <v>45692.0</v>
      </c>
      <c r="M14" s="34" t="s">
        <v>44</v>
      </c>
      <c r="N14" s="35" t="s">
        <v>361</v>
      </c>
      <c r="O14" s="36"/>
      <c r="P14" s="36">
        <v>4700000.0</v>
      </c>
      <c r="Q14" s="36"/>
      <c r="R14" s="36"/>
      <c r="S14" s="36">
        <f t="shared" si="5"/>
        <v>4700000</v>
      </c>
      <c r="T14" s="36">
        <f t="shared" si="6"/>
        <v>112648004</v>
      </c>
      <c r="U14" s="34"/>
    </row>
    <row r="15" ht="15.75" customHeight="1">
      <c r="A15" s="32">
        <v>45705.0</v>
      </c>
      <c r="B15" s="59" t="s">
        <v>358</v>
      </c>
      <c r="C15" s="30">
        <v>45899.0</v>
      </c>
      <c r="D15" s="8">
        <f t="shared" si="1"/>
        <v>1851650.07</v>
      </c>
      <c r="E15" s="15"/>
      <c r="F15" s="8">
        <f t="shared" si="2"/>
        <v>787998.1307</v>
      </c>
      <c r="G15" s="8">
        <f t="shared" si="3"/>
        <v>1063651.939</v>
      </c>
      <c r="H15" s="8">
        <f t="shared" si="4"/>
        <v>77736161.13</v>
      </c>
      <c r="J15" s="5"/>
      <c r="L15" s="33">
        <v>45700.0</v>
      </c>
      <c r="M15" s="34" t="s">
        <v>44</v>
      </c>
      <c r="N15" s="35" t="s">
        <v>362</v>
      </c>
      <c r="O15" s="36"/>
      <c r="P15" s="36">
        <v>3000000.0</v>
      </c>
      <c r="Q15" s="36"/>
      <c r="R15" s="36"/>
      <c r="S15" s="36">
        <f t="shared" si="5"/>
        <v>3000000</v>
      </c>
      <c r="T15" s="36">
        <f t="shared" si="6"/>
        <v>109648004</v>
      </c>
      <c r="U15" s="34"/>
    </row>
    <row r="16" ht="15.75" customHeight="1">
      <c r="A16" s="32">
        <v>45705.0</v>
      </c>
      <c r="B16" s="59" t="s">
        <v>358</v>
      </c>
      <c r="C16" s="30">
        <v>45930.0</v>
      </c>
      <c r="D16" s="8">
        <f t="shared" si="1"/>
        <v>1851650.07</v>
      </c>
      <c r="E16" s="15"/>
      <c r="F16" s="8">
        <f t="shared" si="2"/>
        <v>777361.6113</v>
      </c>
      <c r="G16" s="8">
        <f t="shared" si="3"/>
        <v>1074288.458</v>
      </c>
      <c r="H16" s="8">
        <f t="shared" si="4"/>
        <v>76661872.68</v>
      </c>
      <c r="J16" s="5"/>
      <c r="L16" s="33">
        <v>45701.0</v>
      </c>
      <c r="M16" s="34" t="s">
        <v>252</v>
      </c>
      <c r="N16" s="35" t="s">
        <v>353</v>
      </c>
      <c r="O16" s="36"/>
      <c r="P16" s="36">
        <v>4000000.0</v>
      </c>
      <c r="Q16" s="36"/>
      <c r="R16" s="36"/>
      <c r="S16" s="36">
        <f t="shared" si="5"/>
        <v>4000000</v>
      </c>
      <c r="T16" s="36">
        <f t="shared" si="6"/>
        <v>105648004</v>
      </c>
      <c r="U16" s="34"/>
    </row>
    <row r="17" ht="15.75" customHeight="1">
      <c r="A17" s="29">
        <v>45713.0</v>
      </c>
      <c r="B17" s="2" t="s">
        <v>363</v>
      </c>
      <c r="C17" s="30">
        <v>45960.0</v>
      </c>
      <c r="D17" s="8">
        <f t="shared" si="1"/>
        <v>1851650.07</v>
      </c>
      <c r="E17" s="15"/>
      <c r="F17" s="8">
        <f t="shared" si="2"/>
        <v>766618.7268</v>
      </c>
      <c r="G17" s="8">
        <f t="shared" si="3"/>
        <v>1085031.343</v>
      </c>
      <c r="H17" s="8">
        <f t="shared" si="4"/>
        <v>75576841.33</v>
      </c>
      <c r="J17" s="5"/>
      <c r="L17" s="33">
        <v>45705.0</v>
      </c>
      <c r="M17" s="34" t="s">
        <v>364</v>
      </c>
      <c r="N17" s="35" t="s">
        <v>358</v>
      </c>
      <c r="O17" s="36"/>
      <c r="P17" s="36">
        <v>7300000.0</v>
      </c>
      <c r="Q17" s="36"/>
      <c r="R17" s="36"/>
      <c r="S17" s="36">
        <f t="shared" si="5"/>
        <v>7300000</v>
      </c>
      <c r="T17" s="36">
        <f t="shared" si="6"/>
        <v>98348004</v>
      </c>
      <c r="U17" s="34"/>
    </row>
    <row r="18" ht="15.75" customHeight="1">
      <c r="A18" s="29">
        <v>45713.0</v>
      </c>
      <c r="B18" s="2" t="s">
        <v>363</v>
      </c>
      <c r="C18" s="30">
        <v>45991.0</v>
      </c>
      <c r="D18" s="8">
        <f t="shared" si="1"/>
        <v>1851650.07</v>
      </c>
      <c r="E18" s="15">
        <f>4700000-106600-D17-D18</f>
        <v>890099.8605</v>
      </c>
      <c r="F18" s="8">
        <f t="shared" si="2"/>
        <v>755768.4133</v>
      </c>
      <c r="G18" s="8">
        <f t="shared" si="3"/>
        <v>1985981.517</v>
      </c>
      <c r="H18" s="8">
        <f t="shared" si="4"/>
        <v>73590859.82</v>
      </c>
      <c r="J18" s="5"/>
      <c r="L18" s="33">
        <v>45713.0</v>
      </c>
      <c r="M18" s="34" t="s">
        <v>257</v>
      </c>
      <c r="N18" s="35" t="s">
        <v>363</v>
      </c>
      <c r="O18" s="36"/>
      <c r="P18" s="36">
        <v>4700000.0</v>
      </c>
      <c r="Q18" s="36"/>
      <c r="R18" s="36"/>
      <c r="S18" s="36">
        <f t="shared" si="5"/>
        <v>4700000</v>
      </c>
      <c r="T18" s="36">
        <f t="shared" si="6"/>
        <v>93648004</v>
      </c>
      <c r="U18" s="34"/>
    </row>
    <row r="19" ht="15.75" customHeight="1">
      <c r="A19" s="29">
        <v>45714.0</v>
      </c>
      <c r="B19" s="2" t="s">
        <v>365</v>
      </c>
      <c r="C19" s="30">
        <v>46021.0</v>
      </c>
      <c r="D19" s="8">
        <f t="shared" si="1"/>
        <v>1851650.07</v>
      </c>
      <c r="E19" s="15"/>
      <c r="F19" s="8">
        <f t="shared" si="2"/>
        <v>735908.5982</v>
      </c>
      <c r="G19" s="8">
        <f t="shared" si="3"/>
        <v>1115741.472</v>
      </c>
      <c r="H19" s="8">
        <f t="shared" si="4"/>
        <v>72475118.35</v>
      </c>
      <c r="I19" s="1"/>
      <c r="J19" s="41"/>
      <c r="K19" s="67"/>
      <c r="L19" s="42">
        <v>45714.0</v>
      </c>
      <c r="M19" s="43" t="s">
        <v>366</v>
      </c>
      <c r="N19" s="44" t="s">
        <v>365</v>
      </c>
      <c r="O19" s="45"/>
      <c r="P19" s="45">
        <v>5300000.0</v>
      </c>
      <c r="Q19" s="45"/>
      <c r="R19" s="45"/>
      <c r="S19" s="45">
        <f t="shared" si="5"/>
        <v>5300000</v>
      </c>
      <c r="T19" s="45">
        <f t="shared" si="6"/>
        <v>88348004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45714.0</v>
      </c>
      <c r="B20" s="2" t="s">
        <v>365</v>
      </c>
      <c r="C20" s="30">
        <v>46052.0</v>
      </c>
      <c r="D20" s="8">
        <f t="shared" si="1"/>
        <v>1851650.07</v>
      </c>
      <c r="E20" s="15"/>
      <c r="F20" s="8">
        <f t="shared" si="2"/>
        <v>724751.1835</v>
      </c>
      <c r="G20" s="8">
        <f t="shared" si="3"/>
        <v>1126898.886</v>
      </c>
      <c r="H20" s="8">
        <f t="shared" si="4"/>
        <v>71348219.46</v>
      </c>
      <c r="J20" s="5"/>
      <c r="L20" s="33">
        <v>45742.0</v>
      </c>
      <c r="M20" s="34" t="s">
        <v>200</v>
      </c>
      <c r="N20" s="35" t="s">
        <v>367</v>
      </c>
      <c r="O20" s="36"/>
      <c r="P20" s="36">
        <v>2700000.0</v>
      </c>
      <c r="Q20" s="36"/>
      <c r="R20" s="36"/>
      <c r="S20" s="36">
        <f t="shared" si="5"/>
        <v>2700000</v>
      </c>
      <c r="T20" s="36">
        <f t="shared" si="6"/>
        <v>85648004</v>
      </c>
      <c r="U20" s="34"/>
    </row>
    <row r="21" ht="15.75" customHeight="1">
      <c r="A21" s="29">
        <v>45714.0</v>
      </c>
      <c r="B21" s="2" t="s">
        <v>365</v>
      </c>
      <c r="C21" s="30">
        <v>46081.0</v>
      </c>
      <c r="D21" s="8">
        <f t="shared" si="1"/>
        <v>1851650.07</v>
      </c>
      <c r="E21" s="15"/>
      <c r="F21" s="8">
        <f t="shared" si="2"/>
        <v>713482.1946</v>
      </c>
      <c r="G21" s="8">
        <f t="shared" si="3"/>
        <v>1138167.875</v>
      </c>
      <c r="H21" s="8">
        <f t="shared" si="4"/>
        <v>70210051.58</v>
      </c>
      <c r="J21" s="5"/>
      <c r="L21" s="33">
        <v>45798.0</v>
      </c>
      <c r="M21" s="34" t="s">
        <v>368</v>
      </c>
      <c r="N21" s="35" t="s">
        <v>369</v>
      </c>
      <c r="O21" s="36"/>
      <c r="P21" s="36">
        <v>3985000.0</v>
      </c>
      <c r="Q21" s="36"/>
      <c r="R21" s="36"/>
      <c r="S21" s="36">
        <f t="shared" si="5"/>
        <v>3985000</v>
      </c>
      <c r="T21" s="36">
        <f t="shared" si="6"/>
        <v>81663004</v>
      </c>
      <c r="U21" s="34"/>
    </row>
    <row r="22" ht="15.75" customHeight="1">
      <c r="A22" s="29">
        <v>45742.0</v>
      </c>
      <c r="B22" s="2" t="s">
        <v>367</v>
      </c>
      <c r="C22" s="30">
        <v>46111.0</v>
      </c>
      <c r="D22" s="8">
        <f t="shared" si="1"/>
        <v>1851650.07</v>
      </c>
      <c r="E22" s="15">
        <f>2700000-254950-D22</f>
        <v>593399.9303</v>
      </c>
      <c r="F22" s="8">
        <f t="shared" si="2"/>
        <v>702100.5158</v>
      </c>
      <c r="G22" s="8">
        <f t="shared" si="3"/>
        <v>1742949.484</v>
      </c>
      <c r="H22" s="8">
        <f t="shared" si="4"/>
        <v>68467102.1</v>
      </c>
      <c r="J22" s="5"/>
      <c r="K22" s="5"/>
      <c r="L22" s="33">
        <v>46120.0</v>
      </c>
      <c r="M22" s="34" t="s">
        <v>370</v>
      </c>
      <c r="N22" s="35" t="s">
        <v>371</v>
      </c>
      <c r="O22" s="36"/>
      <c r="P22" s="36">
        <v>4800018.0</v>
      </c>
      <c r="Q22" s="36"/>
      <c r="R22" s="36"/>
      <c r="S22" s="36">
        <f t="shared" si="5"/>
        <v>4800018</v>
      </c>
      <c r="T22" s="36">
        <f t="shared" si="6"/>
        <v>76862986</v>
      </c>
      <c r="U22" s="34"/>
    </row>
    <row r="23" ht="15.75" customHeight="1">
      <c r="A23" s="29">
        <v>45798.0</v>
      </c>
      <c r="B23" s="2" t="s">
        <v>369</v>
      </c>
      <c r="C23" s="30">
        <v>46142.0</v>
      </c>
      <c r="D23" s="8">
        <f t="shared" si="1"/>
        <v>1851650.07</v>
      </c>
      <c r="E23" s="8"/>
      <c r="F23" s="8">
        <f t="shared" si="2"/>
        <v>684671.021</v>
      </c>
      <c r="G23" s="8">
        <f t="shared" si="3"/>
        <v>1166979.049</v>
      </c>
      <c r="H23" s="8">
        <f t="shared" si="4"/>
        <v>67300123.05</v>
      </c>
      <c r="J23" s="5"/>
      <c r="L23" s="25"/>
      <c r="M23" s="38" t="s">
        <v>69</v>
      </c>
      <c r="N23" s="39"/>
      <c r="O23" s="27">
        <f t="shared" ref="O23:S23" si="7">SUM(O11:O22)</f>
        <v>1000000</v>
      </c>
      <c r="P23" s="27">
        <f t="shared" si="7"/>
        <v>42485018</v>
      </c>
      <c r="Q23" s="27">
        <f t="shared" si="7"/>
        <v>0</v>
      </c>
      <c r="R23" s="27">
        <f t="shared" si="7"/>
        <v>0</v>
      </c>
      <c r="S23" s="27">
        <f t="shared" si="7"/>
        <v>43485018</v>
      </c>
      <c r="T23" s="27">
        <f>T22</f>
        <v>76862986</v>
      </c>
      <c r="U23" s="25"/>
    </row>
    <row r="24" ht="15.75" customHeight="1">
      <c r="A24" s="29">
        <v>45798.0</v>
      </c>
      <c r="B24" s="2" t="s">
        <v>369</v>
      </c>
      <c r="C24" s="30">
        <v>46172.0</v>
      </c>
      <c r="D24" s="8">
        <f t="shared" si="1"/>
        <v>1851650.07</v>
      </c>
      <c r="E24" s="8">
        <f>3985000-D23-D24</f>
        <v>281699.8605</v>
      </c>
      <c r="F24" s="8">
        <f t="shared" si="2"/>
        <v>673001.2305</v>
      </c>
      <c r="G24" s="8">
        <f t="shared" si="3"/>
        <v>1460348.7</v>
      </c>
      <c r="H24" s="8">
        <f t="shared" si="4"/>
        <v>65839774.35</v>
      </c>
      <c r="J24" s="5"/>
    </row>
    <row r="25" ht="15.75" customHeight="1">
      <c r="A25" s="29">
        <v>46120.0</v>
      </c>
      <c r="B25" s="2" t="s">
        <v>371</v>
      </c>
      <c r="C25" s="30">
        <v>46203.0</v>
      </c>
      <c r="D25" s="8">
        <f t="shared" si="1"/>
        <v>1851650.07</v>
      </c>
      <c r="E25" s="8">
        <f>4800018-D25</f>
        <v>2948367.93</v>
      </c>
      <c r="F25" s="8">
        <f t="shared" si="2"/>
        <v>658397.7435</v>
      </c>
      <c r="G25" s="8">
        <f t="shared" si="3"/>
        <v>4141620.256</v>
      </c>
      <c r="H25" s="8">
        <f t="shared" si="4"/>
        <v>61698154.09</v>
      </c>
      <c r="J25" s="5"/>
    </row>
    <row r="26" ht="15.75" customHeight="1">
      <c r="B26" s="2"/>
      <c r="C26" s="30">
        <v>46233.0</v>
      </c>
      <c r="D26" s="8">
        <f t="shared" si="1"/>
        <v>1851650.07</v>
      </c>
      <c r="E26" s="46"/>
      <c r="F26" s="8">
        <f t="shared" si="2"/>
        <v>616981.5409</v>
      </c>
      <c r="G26" s="8">
        <f t="shared" si="3"/>
        <v>1234668.529</v>
      </c>
      <c r="H26" s="8">
        <f t="shared" si="4"/>
        <v>60463485.57</v>
      </c>
      <c r="J26" s="5"/>
    </row>
    <row r="27" ht="15.75" customHeight="1">
      <c r="B27" s="2"/>
      <c r="C27" s="30">
        <v>46264.0</v>
      </c>
      <c r="D27" s="8">
        <f t="shared" si="1"/>
        <v>1851650.07</v>
      </c>
      <c r="E27" s="46"/>
      <c r="F27" s="8">
        <f t="shared" si="2"/>
        <v>604634.8557</v>
      </c>
      <c r="G27" s="8">
        <f t="shared" si="3"/>
        <v>1247015.214</v>
      </c>
      <c r="H27" s="8">
        <f t="shared" si="4"/>
        <v>59216470.35</v>
      </c>
      <c r="J27" s="5"/>
    </row>
    <row r="28" ht="15.75" customHeight="1">
      <c r="B28" s="2"/>
      <c r="C28" s="30">
        <v>46295.0</v>
      </c>
      <c r="D28" s="8">
        <f t="shared" si="1"/>
        <v>1851650.07</v>
      </c>
      <c r="E28" s="46"/>
      <c r="F28" s="8">
        <f t="shared" si="2"/>
        <v>592164.7035</v>
      </c>
      <c r="G28" s="8">
        <f t="shared" si="3"/>
        <v>1259485.366</v>
      </c>
      <c r="H28" s="8">
        <f t="shared" si="4"/>
        <v>57956984.99</v>
      </c>
      <c r="J28" s="5"/>
    </row>
    <row r="29" ht="15.75" customHeight="1">
      <c r="B29" s="2"/>
      <c r="C29" s="30">
        <v>46325.0</v>
      </c>
      <c r="D29" s="8">
        <f t="shared" si="1"/>
        <v>1851650.07</v>
      </c>
      <c r="E29" s="46"/>
      <c r="F29" s="8">
        <f t="shared" si="2"/>
        <v>579569.8499</v>
      </c>
      <c r="G29" s="8">
        <f t="shared" si="3"/>
        <v>1272080.22</v>
      </c>
      <c r="H29" s="8">
        <f t="shared" si="4"/>
        <v>56684904.77</v>
      </c>
      <c r="J29" s="5"/>
    </row>
    <row r="30" ht="15.75" customHeight="1">
      <c r="B30" s="2"/>
      <c r="C30" s="30">
        <v>46356.0</v>
      </c>
      <c r="D30" s="8">
        <f t="shared" si="1"/>
        <v>1851650.07</v>
      </c>
      <c r="E30" s="46"/>
      <c r="F30" s="8">
        <f t="shared" si="2"/>
        <v>566849.0477</v>
      </c>
      <c r="G30" s="8">
        <f t="shared" si="3"/>
        <v>1284801.022</v>
      </c>
      <c r="H30" s="8">
        <f t="shared" si="4"/>
        <v>55400103.74</v>
      </c>
      <c r="J30" s="5"/>
    </row>
    <row r="31" ht="15.75" customHeight="1">
      <c r="B31" s="2"/>
      <c r="C31" s="30">
        <v>46386.0</v>
      </c>
      <c r="D31" s="8">
        <f t="shared" si="1"/>
        <v>1851650.07</v>
      </c>
      <c r="E31" s="46"/>
      <c r="F31" s="8">
        <f t="shared" si="2"/>
        <v>554001.0374</v>
      </c>
      <c r="G31" s="8">
        <f t="shared" si="3"/>
        <v>1297649.032</v>
      </c>
      <c r="H31" s="8">
        <f t="shared" si="4"/>
        <v>54102454.71</v>
      </c>
      <c r="J31" s="5"/>
    </row>
    <row r="32" ht="15.75" customHeight="1">
      <c r="B32" s="2"/>
      <c r="C32" s="30">
        <v>46417.0</v>
      </c>
      <c r="D32" s="8">
        <f t="shared" si="1"/>
        <v>1851650.07</v>
      </c>
      <c r="E32" s="46"/>
      <c r="F32" s="8">
        <f t="shared" si="2"/>
        <v>541024.5471</v>
      </c>
      <c r="G32" s="8">
        <f t="shared" si="3"/>
        <v>1310625.523</v>
      </c>
      <c r="H32" s="8">
        <f t="shared" si="4"/>
        <v>52791829.19</v>
      </c>
      <c r="J32" s="5"/>
    </row>
    <row r="33" ht="15.75" customHeight="1">
      <c r="B33" s="2"/>
      <c r="C33" s="30">
        <v>46446.0</v>
      </c>
      <c r="D33" s="8">
        <f t="shared" si="1"/>
        <v>1851650.07</v>
      </c>
      <c r="E33" s="46"/>
      <c r="F33" s="8">
        <f t="shared" si="2"/>
        <v>527918.2919</v>
      </c>
      <c r="G33" s="8">
        <f t="shared" si="3"/>
        <v>1323731.778</v>
      </c>
      <c r="H33" s="8">
        <f t="shared" si="4"/>
        <v>51468097.41</v>
      </c>
      <c r="J33" s="5"/>
    </row>
    <row r="34" ht="15.75" customHeight="1">
      <c r="B34" s="2"/>
      <c r="C34" s="30">
        <v>46476.0</v>
      </c>
      <c r="D34" s="8">
        <f t="shared" si="1"/>
        <v>1851650.07</v>
      </c>
      <c r="E34" s="46"/>
      <c r="F34" s="8">
        <f t="shared" si="2"/>
        <v>514680.9741</v>
      </c>
      <c r="G34" s="8">
        <f t="shared" si="3"/>
        <v>1336969.096</v>
      </c>
      <c r="H34" s="8">
        <f t="shared" si="4"/>
        <v>50131128.31</v>
      </c>
      <c r="J34" s="5"/>
    </row>
    <row r="35" ht="15.75" customHeight="1">
      <c r="B35" s="2"/>
      <c r="C35" s="30">
        <v>46507.0</v>
      </c>
      <c r="D35" s="8">
        <f t="shared" si="1"/>
        <v>1851650.07</v>
      </c>
      <c r="E35" s="46"/>
      <c r="F35" s="8">
        <f t="shared" si="2"/>
        <v>501311.2831</v>
      </c>
      <c r="G35" s="8">
        <f t="shared" si="3"/>
        <v>1350338.787</v>
      </c>
      <c r="H35" s="8">
        <f t="shared" si="4"/>
        <v>48780789.53</v>
      </c>
      <c r="J35" s="5"/>
    </row>
    <row r="36" ht="15.75" customHeight="1">
      <c r="B36" s="2"/>
      <c r="C36" s="30">
        <v>46537.0</v>
      </c>
      <c r="D36" s="8">
        <f t="shared" si="1"/>
        <v>1851650.07</v>
      </c>
      <c r="E36" s="46"/>
      <c r="F36" s="8">
        <f t="shared" si="2"/>
        <v>487807.8953</v>
      </c>
      <c r="G36" s="8">
        <f t="shared" si="3"/>
        <v>1363842.174</v>
      </c>
      <c r="H36" s="8">
        <f t="shared" si="4"/>
        <v>47416947.35</v>
      </c>
      <c r="J36" s="5"/>
    </row>
    <row r="37" ht="15.75" customHeight="1">
      <c r="B37" s="2"/>
      <c r="C37" s="30">
        <v>46568.0</v>
      </c>
      <c r="D37" s="8">
        <f t="shared" si="1"/>
        <v>1851650.07</v>
      </c>
      <c r="E37" s="46"/>
      <c r="F37" s="8">
        <f t="shared" si="2"/>
        <v>474169.4735</v>
      </c>
      <c r="G37" s="8">
        <f t="shared" si="3"/>
        <v>1377480.596</v>
      </c>
      <c r="H37" s="8">
        <f t="shared" si="4"/>
        <v>46039466.76</v>
      </c>
      <c r="J37" s="5"/>
    </row>
    <row r="38" ht="15.75" customHeight="1">
      <c r="B38" s="2"/>
      <c r="C38" s="30">
        <v>46598.0</v>
      </c>
      <c r="D38" s="8">
        <f t="shared" si="1"/>
        <v>1851650.07</v>
      </c>
      <c r="E38" s="46"/>
      <c r="F38" s="8">
        <f t="shared" si="2"/>
        <v>460394.6676</v>
      </c>
      <c r="G38" s="8">
        <f t="shared" si="3"/>
        <v>1391255.402</v>
      </c>
      <c r="H38" s="8">
        <f t="shared" si="4"/>
        <v>44648211.36</v>
      </c>
      <c r="J38" s="5"/>
    </row>
    <row r="39" ht="15.75" customHeight="1">
      <c r="B39" s="2"/>
      <c r="C39" s="30">
        <v>46629.0</v>
      </c>
      <c r="D39" s="8">
        <f t="shared" si="1"/>
        <v>1851650.07</v>
      </c>
      <c r="E39" s="46"/>
      <c r="F39" s="8">
        <f t="shared" si="2"/>
        <v>446482.1136</v>
      </c>
      <c r="G39" s="8">
        <f t="shared" si="3"/>
        <v>1405167.956</v>
      </c>
      <c r="H39" s="8">
        <f t="shared" si="4"/>
        <v>43243043.4</v>
      </c>
      <c r="J39" s="5"/>
    </row>
    <row r="40" ht="15.75" customHeight="1">
      <c r="B40" s="2"/>
      <c r="C40" s="30">
        <v>46660.0</v>
      </c>
      <c r="D40" s="8">
        <f t="shared" si="1"/>
        <v>1851650.07</v>
      </c>
      <c r="E40" s="46"/>
      <c r="F40" s="8">
        <f t="shared" si="2"/>
        <v>432430.434</v>
      </c>
      <c r="G40" s="8">
        <f t="shared" si="3"/>
        <v>1419219.636</v>
      </c>
      <c r="H40" s="8">
        <f t="shared" si="4"/>
        <v>41823823.76</v>
      </c>
      <c r="J40" s="5"/>
    </row>
    <row r="41" ht="15.75" customHeight="1">
      <c r="B41" s="2"/>
      <c r="C41" s="30">
        <v>46690.0</v>
      </c>
      <c r="D41" s="8">
        <f t="shared" si="1"/>
        <v>1851650.07</v>
      </c>
      <c r="E41" s="46"/>
      <c r="F41" s="8">
        <f t="shared" si="2"/>
        <v>418238.2376</v>
      </c>
      <c r="G41" s="8">
        <f t="shared" si="3"/>
        <v>1433411.832</v>
      </c>
      <c r="H41" s="8">
        <f t="shared" si="4"/>
        <v>40390411.93</v>
      </c>
      <c r="J41" s="5"/>
    </row>
    <row r="42" ht="15.75" customHeight="1">
      <c r="B42" s="2"/>
      <c r="C42" s="30">
        <v>46721.0</v>
      </c>
      <c r="D42" s="8">
        <f t="shared" si="1"/>
        <v>1851650.07</v>
      </c>
      <c r="E42" s="46"/>
      <c r="F42" s="8">
        <f t="shared" si="2"/>
        <v>403904.1193</v>
      </c>
      <c r="G42" s="8">
        <f t="shared" si="3"/>
        <v>1447745.95</v>
      </c>
      <c r="H42" s="8">
        <f t="shared" si="4"/>
        <v>38942665.98</v>
      </c>
      <c r="J42" s="5"/>
    </row>
    <row r="43" ht="15.75" customHeight="1">
      <c r="B43" s="2"/>
      <c r="C43" s="30">
        <v>46751.0</v>
      </c>
      <c r="D43" s="8">
        <f t="shared" si="1"/>
        <v>1851650.07</v>
      </c>
      <c r="E43" s="46"/>
      <c r="F43" s="8">
        <f t="shared" si="2"/>
        <v>389426.6598</v>
      </c>
      <c r="G43" s="8">
        <f t="shared" si="3"/>
        <v>1462223.41</v>
      </c>
      <c r="H43" s="8">
        <f t="shared" si="4"/>
        <v>37480442.57</v>
      </c>
      <c r="J43" s="5"/>
    </row>
    <row r="44" ht="15.75" customHeight="1">
      <c r="B44" s="2"/>
      <c r="C44" s="30">
        <v>46782.0</v>
      </c>
      <c r="D44" s="8">
        <f t="shared" si="1"/>
        <v>1851650.07</v>
      </c>
      <c r="E44" s="46"/>
      <c r="F44" s="8">
        <f t="shared" si="2"/>
        <v>374804.4257</v>
      </c>
      <c r="G44" s="8">
        <f t="shared" si="3"/>
        <v>1476845.644</v>
      </c>
      <c r="H44" s="8">
        <f t="shared" si="4"/>
        <v>36003596.93</v>
      </c>
      <c r="J44" s="5"/>
    </row>
    <row r="45" ht="15.75" customHeight="1">
      <c r="B45" s="2"/>
      <c r="C45" s="30">
        <v>46812.0</v>
      </c>
      <c r="D45" s="8">
        <f t="shared" si="1"/>
        <v>1851650.07</v>
      </c>
      <c r="E45" s="46"/>
      <c r="F45" s="8">
        <f t="shared" si="2"/>
        <v>360035.9693</v>
      </c>
      <c r="G45" s="8">
        <f t="shared" si="3"/>
        <v>1491614.1</v>
      </c>
      <c r="H45" s="8">
        <f t="shared" si="4"/>
        <v>34511982.83</v>
      </c>
      <c r="J45" s="5"/>
    </row>
    <row r="46" ht="15.75" customHeight="1">
      <c r="B46" s="2"/>
      <c r="C46" s="30">
        <v>46842.0</v>
      </c>
      <c r="D46" s="8">
        <f t="shared" si="1"/>
        <v>1851650.07</v>
      </c>
      <c r="E46" s="46"/>
      <c r="F46" s="8">
        <f t="shared" si="2"/>
        <v>345119.8283</v>
      </c>
      <c r="G46" s="8">
        <f t="shared" si="3"/>
        <v>1506530.241</v>
      </c>
      <c r="H46" s="8">
        <f t="shared" si="4"/>
        <v>33005452.59</v>
      </c>
      <c r="J46" s="5"/>
    </row>
    <row r="47" ht="15.75" customHeight="1">
      <c r="B47" s="2"/>
      <c r="C47" s="30">
        <v>46873.0</v>
      </c>
      <c r="D47" s="8">
        <f t="shared" si="1"/>
        <v>1851650.07</v>
      </c>
      <c r="E47" s="46"/>
      <c r="F47" s="8">
        <f t="shared" si="2"/>
        <v>330054.5259</v>
      </c>
      <c r="G47" s="8">
        <f t="shared" si="3"/>
        <v>1521595.544</v>
      </c>
      <c r="H47" s="8">
        <f t="shared" si="4"/>
        <v>31483857.04</v>
      </c>
      <c r="J47" s="5"/>
    </row>
    <row r="48" ht="15.75" customHeight="1">
      <c r="B48" s="2"/>
      <c r="C48" s="30">
        <v>46903.0</v>
      </c>
      <c r="D48" s="8">
        <f t="shared" si="1"/>
        <v>1851650.07</v>
      </c>
      <c r="E48" s="46"/>
      <c r="F48" s="8">
        <f t="shared" si="2"/>
        <v>314838.5704</v>
      </c>
      <c r="G48" s="8">
        <f t="shared" si="3"/>
        <v>1536811.499</v>
      </c>
      <c r="H48" s="8">
        <f t="shared" si="4"/>
        <v>29947045.54</v>
      </c>
      <c r="J48" s="5"/>
    </row>
    <row r="49" ht="15.75" customHeight="1">
      <c r="B49" s="2"/>
      <c r="C49" s="30">
        <v>46934.0</v>
      </c>
      <c r="D49" s="8">
        <f t="shared" si="1"/>
        <v>1851650.07</v>
      </c>
      <c r="E49" s="46"/>
      <c r="F49" s="8">
        <f t="shared" si="2"/>
        <v>299470.4554</v>
      </c>
      <c r="G49" s="8">
        <f t="shared" si="3"/>
        <v>1552179.614</v>
      </c>
      <c r="H49" s="8">
        <f t="shared" si="4"/>
        <v>28394865.93</v>
      </c>
      <c r="J49" s="5"/>
    </row>
    <row r="50" ht="15.75" customHeight="1">
      <c r="B50" s="2"/>
      <c r="C50" s="30">
        <v>46964.0</v>
      </c>
      <c r="D50" s="8">
        <f t="shared" si="1"/>
        <v>1851650.07</v>
      </c>
      <c r="E50" s="46"/>
      <c r="F50" s="8">
        <f t="shared" si="2"/>
        <v>283948.6593</v>
      </c>
      <c r="G50" s="8">
        <f t="shared" si="3"/>
        <v>1567701.41</v>
      </c>
      <c r="H50" s="8">
        <f t="shared" si="4"/>
        <v>26827164.52</v>
      </c>
      <c r="J50" s="5"/>
    </row>
    <row r="51" ht="15.75" customHeight="1">
      <c r="B51" s="2"/>
      <c r="C51" s="30">
        <v>46995.0</v>
      </c>
      <c r="D51" s="8">
        <f t="shared" si="1"/>
        <v>1851650.07</v>
      </c>
      <c r="E51" s="46"/>
      <c r="F51" s="8">
        <f t="shared" si="2"/>
        <v>268271.6452</v>
      </c>
      <c r="G51" s="8">
        <f t="shared" si="3"/>
        <v>1583378.425</v>
      </c>
      <c r="H51" s="8">
        <f t="shared" si="4"/>
        <v>25243786.09</v>
      </c>
      <c r="J51" s="5"/>
    </row>
    <row r="52" ht="15.75" customHeight="1">
      <c r="B52" s="2"/>
      <c r="C52" s="30">
        <v>47026.0</v>
      </c>
      <c r="D52" s="8">
        <f t="shared" si="1"/>
        <v>1851650.07</v>
      </c>
      <c r="E52" s="46"/>
      <c r="F52" s="8">
        <f t="shared" si="2"/>
        <v>252437.8609</v>
      </c>
      <c r="G52" s="8">
        <f t="shared" si="3"/>
        <v>1599212.209</v>
      </c>
      <c r="H52" s="8">
        <f t="shared" si="4"/>
        <v>23644573.88</v>
      </c>
      <c r="J52" s="5"/>
    </row>
    <row r="53" ht="15.75" customHeight="1">
      <c r="B53" s="2"/>
      <c r="C53" s="30">
        <v>47056.0</v>
      </c>
      <c r="D53" s="8">
        <f t="shared" si="1"/>
        <v>1851650.07</v>
      </c>
      <c r="E53" s="46"/>
      <c r="F53" s="8">
        <f t="shared" si="2"/>
        <v>236445.7388</v>
      </c>
      <c r="G53" s="8">
        <f t="shared" si="3"/>
        <v>1615204.331</v>
      </c>
      <c r="H53" s="8">
        <f t="shared" si="4"/>
        <v>22029369.55</v>
      </c>
      <c r="J53" s="5"/>
    </row>
    <row r="54" ht="15.75" customHeight="1">
      <c r="B54" s="2"/>
      <c r="C54" s="30">
        <v>47087.0</v>
      </c>
      <c r="D54" s="8">
        <f t="shared" si="1"/>
        <v>1851650.07</v>
      </c>
      <c r="E54" s="46"/>
      <c r="F54" s="8">
        <f t="shared" si="2"/>
        <v>220293.6955</v>
      </c>
      <c r="G54" s="8">
        <f t="shared" si="3"/>
        <v>1631356.374</v>
      </c>
      <c r="H54" s="8">
        <f t="shared" si="4"/>
        <v>20398013.18</v>
      </c>
      <c r="J54" s="5"/>
    </row>
    <row r="55" ht="15.75" customHeight="1">
      <c r="B55" s="2"/>
      <c r="C55" s="30">
        <v>47117.0</v>
      </c>
      <c r="D55" s="8">
        <f t="shared" si="1"/>
        <v>1851650.07</v>
      </c>
      <c r="E55" s="46"/>
      <c r="F55" s="8">
        <f t="shared" si="2"/>
        <v>203980.1318</v>
      </c>
      <c r="G55" s="8">
        <f t="shared" si="3"/>
        <v>1647669.938</v>
      </c>
      <c r="H55" s="8">
        <f t="shared" si="4"/>
        <v>18750343.24</v>
      </c>
      <c r="J55" s="5"/>
    </row>
    <row r="56" ht="15.75" customHeight="1">
      <c r="A56" s="47"/>
      <c r="B56" s="48"/>
      <c r="C56" s="49">
        <v>47148.0</v>
      </c>
      <c r="D56" s="50">
        <f t="shared" si="1"/>
        <v>1851650.07</v>
      </c>
      <c r="E56" s="51"/>
      <c r="F56" s="50">
        <f t="shared" si="2"/>
        <v>187503.4324</v>
      </c>
      <c r="G56" s="50">
        <f t="shared" si="3"/>
        <v>1664146.637</v>
      </c>
      <c r="H56" s="50">
        <f t="shared" si="4"/>
        <v>17086196.6</v>
      </c>
      <c r="J56" s="5"/>
    </row>
    <row r="57" ht="15.75" customHeight="1">
      <c r="A57" s="47"/>
      <c r="B57" s="48"/>
      <c r="C57" s="49">
        <v>47177.0</v>
      </c>
      <c r="D57" s="50">
        <f t="shared" si="1"/>
        <v>1851650.07</v>
      </c>
      <c r="E57" s="51"/>
      <c r="F57" s="50">
        <f t="shared" si="2"/>
        <v>170861.966</v>
      </c>
      <c r="G57" s="50">
        <f t="shared" si="3"/>
        <v>1680788.104</v>
      </c>
      <c r="H57" s="50">
        <f t="shared" si="4"/>
        <v>15405408.5</v>
      </c>
      <c r="J57" s="5"/>
    </row>
    <row r="58" ht="15.75" customHeight="1">
      <c r="A58" s="47"/>
      <c r="B58" s="48"/>
      <c r="C58" s="49">
        <v>47207.0</v>
      </c>
      <c r="D58" s="50">
        <f t="shared" si="1"/>
        <v>1851650.07</v>
      </c>
      <c r="E58" s="51"/>
      <c r="F58" s="50">
        <f t="shared" si="2"/>
        <v>154054.085</v>
      </c>
      <c r="G58" s="50">
        <f t="shared" si="3"/>
        <v>1697595.985</v>
      </c>
      <c r="H58" s="50">
        <f t="shared" si="4"/>
        <v>13707812.51</v>
      </c>
      <c r="J58" s="5"/>
    </row>
    <row r="59" ht="15.75" customHeight="1">
      <c r="A59" s="47"/>
      <c r="B59" s="48"/>
      <c r="C59" s="49">
        <v>47238.0</v>
      </c>
      <c r="D59" s="50">
        <f t="shared" si="1"/>
        <v>1851650.07</v>
      </c>
      <c r="E59" s="51"/>
      <c r="F59" s="50">
        <f t="shared" si="2"/>
        <v>137078.1251</v>
      </c>
      <c r="G59" s="50">
        <f t="shared" si="3"/>
        <v>1714571.945</v>
      </c>
      <c r="H59" s="50">
        <f t="shared" si="4"/>
        <v>11993240.57</v>
      </c>
      <c r="J59" s="5"/>
    </row>
    <row r="60" ht="15.75" customHeight="1">
      <c r="A60" s="47"/>
      <c r="B60" s="48"/>
      <c r="C60" s="49">
        <v>47268.0</v>
      </c>
      <c r="D60" s="50">
        <f t="shared" si="1"/>
        <v>1851650.07</v>
      </c>
      <c r="E60" s="51"/>
      <c r="F60" s="50">
        <f t="shared" si="2"/>
        <v>119932.4057</v>
      </c>
      <c r="G60" s="50">
        <f t="shared" si="3"/>
        <v>1731717.664</v>
      </c>
      <c r="H60" s="50">
        <f t="shared" si="4"/>
        <v>10261522.91</v>
      </c>
      <c r="J60" s="5"/>
    </row>
    <row r="61" ht="15.75" customHeight="1">
      <c r="A61" s="47"/>
      <c r="B61" s="48"/>
      <c r="C61" s="49">
        <v>47299.0</v>
      </c>
      <c r="D61" s="50">
        <f t="shared" si="1"/>
        <v>1851650.07</v>
      </c>
      <c r="E61" s="51"/>
      <c r="F61" s="50">
        <f t="shared" si="2"/>
        <v>102615.2291</v>
      </c>
      <c r="G61" s="50">
        <f t="shared" si="3"/>
        <v>1749034.841</v>
      </c>
      <c r="H61" s="50">
        <f t="shared" si="4"/>
        <v>8512488.066</v>
      </c>
      <c r="J61" s="5"/>
    </row>
    <row r="62" ht="15.75" customHeight="1">
      <c r="A62" s="47"/>
      <c r="B62" s="48"/>
      <c r="C62" s="49">
        <v>47329.0</v>
      </c>
      <c r="D62" s="50">
        <f t="shared" si="1"/>
        <v>1851650.07</v>
      </c>
      <c r="E62" s="51"/>
      <c r="F62" s="50">
        <f t="shared" si="2"/>
        <v>85124.88066</v>
      </c>
      <c r="G62" s="50">
        <f t="shared" si="3"/>
        <v>1766525.189</v>
      </c>
      <c r="H62" s="50">
        <f t="shared" si="4"/>
        <v>6745962.877</v>
      </c>
      <c r="J62" s="5"/>
    </row>
    <row r="63" ht="15.75" customHeight="1">
      <c r="A63" s="47"/>
      <c r="B63" s="48"/>
      <c r="C63" s="49">
        <v>47360.0</v>
      </c>
      <c r="D63" s="50">
        <f t="shared" si="1"/>
        <v>1851650.07</v>
      </c>
      <c r="E63" s="51"/>
      <c r="F63" s="50">
        <f t="shared" si="2"/>
        <v>67459.62877</v>
      </c>
      <c r="G63" s="50">
        <f t="shared" si="3"/>
        <v>1784190.441</v>
      </c>
      <c r="H63" s="50">
        <f t="shared" si="4"/>
        <v>4961772.436</v>
      </c>
      <c r="J63" s="5"/>
    </row>
    <row r="64" ht="15.75" customHeight="1">
      <c r="A64" s="47"/>
      <c r="B64" s="48"/>
      <c r="C64" s="49">
        <v>47391.0</v>
      </c>
      <c r="D64" s="50">
        <f t="shared" si="1"/>
        <v>1851650.07</v>
      </c>
      <c r="E64" s="51"/>
      <c r="F64" s="50">
        <f t="shared" si="2"/>
        <v>49617.72436</v>
      </c>
      <c r="G64" s="50">
        <f t="shared" si="3"/>
        <v>1802032.345</v>
      </c>
      <c r="H64" s="50">
        <f t="shared" si="4"/>
        <v>3159740.09</v>
      </c>
      <c r="J64" s="5"/>
    </row>
    <row r="65" ht="15.75" customHeight="1">
      <c r="A65" s="47"/>
      <c r="B65" s="48"/>
      <c r="C65" s="49">
        <v>47421.0</v>
      </c>
      <c r="D65" s="50">
        <f t="shared" si="1"/>
        <v>1851650.07</v>
      </c>
      <c r="E65" s="51"/>
      <c r="F65" s="50">
        <f t="shared" si="2"/>
        <v>31597.4009</v>
      </c>
      <c r="G65" s="50">
        <f t="shared" si="3"/>
        <v>1820052.669</v>
      </c>
      <c r="H65" s="50">
        <f t="shared" si="4"/>
        <v>1339687.421</v>
      </c>
      <c r="J65" s="5"/>
    </row>
    <row r="66" ht="15.75" customHeight="1">
      <c r="A66" s="47"/>
      <c r="B66" s="48"/>
      <c r="C66" s="49">
        <v>47452.0</v>
      </c>
      <c r="D66" s="50">
        <f t="shared" si="1"/>
        <v>1851650.07</v>
      </c>
      <c r="E66" s="51"/>
      <c r="F66" s="50">
        <f t="shared" si="2"/>
        <v>13396.87421</v>
      </c>
      <c r="G66" s="50">
        <f t="shared" si="3"/>
        <v>1838253.196</v>
      </c>
      <c r="H66" s="50">
        <f t="shared" si="4"/>
        <v>-498565.7742</v>
      </c>
      <c r="J66" s="5"/>
    </row>
    <row r="67" ht="15.75" customHeight="1">
      <c r="A67" s="47"/>
      <c r="B67" s="48"/>
      <c r="C67" s="49">
        <v>47482.0</v>
      </c>
      <c r="D67" s="50">
        <f t="shared" si="1"/>
        <v>1851650.07</v>
      </c>
      <c r="E67" s="51"/>
      <c r="F67" s="50">
        <f t="shared" si="2"/>
        <v>-4985.657742</v>
      </c>
      <c r="G67" s="50">
        <f t="shared" si="3"/>
        <v>1856635.727</v>
      </c>
      <c r="H67" s="50">
        <f t="shared" si="4"/>
        <v>-2355201.502</v>
      </c>
      <c r="J67" s="5"/>
    </row>
    <row r="68" ht="15.75" customHeight="1">
      <c r="A68" s="47"/>
      <c r="B68" s="48"/>
      <c r="C68" s="49">
        <v>47513.0</v>
      </c>
      <c r="D68" s="50">
        <f t="shared" si="1"/>
        <v>1851650.07</v>
      </c>
      <c r="E68" s="51"/>
      <c r="F68" s="50">
        <f t="shared" si="2"/>
        <v>-23552.01502</v>
      </c>
      <c r="G68" s="50">
        <f t="shared" si="3"/>
        <v>1875202.085</v>
      </c>
      <c r="H68" s="50">
        <f t="shared" si="4"/>
        <v>-4230403.586</v>
      </c>
      <c r="J68" s="5"/>
    </row>
    <row r="69" ht="15.75" customHeight="1">
      <c r="A69" s="47"/>
      <c r="B69" s="48"/>
      <c r="C69" s="49">
        <v>47542.0</v>
      </c>
      <c r="D69" s="50">
        <f t="shared" si="1"/>
        <v>1851650.07</v>
      </c>
      <c r="E69" s="51"/>
      <c r="F69" s="50">
        <f t="shared" si="2"/>
        <v>-42304.03586</v>
      </c>
      <c r="G69" s="50">
        <f t="shared" si="3"/>
        <v>1893954.106</v>
      </c>
      <c r="H69" s="50">
        <f t="shared" si="4"/>
        <v>-6124357.692</v>
      </c>
      <c r="J69" s="5"/>
    </row>
    <row r="70" ht="15.75" customHeight="1">
      <c r="A70" s="47"/>
      <c r="B70" s="48"/>
      <c r="C70" s="49">
        <v>47572.0</v>
      </c>
      <c r="D70" s="50">
        <f t="shared" si="1"/>
        <v>1851650.07</v>
      </c>
      <c r="E70" s="51"/>
      <c r="F70" s="50">
        <f t="shared" si="2"/>
        <v>-61243.57692</v>
      </c>
      <c r="G70" s="50">
        <f t="shared" si="3"/>
        <v>1912893.647</v>
      </c>
      <c r="H70" s="50">
        <f t="shared" si="4"/>
        <v>-8037251.339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372</v>
      </c>
      <c r="J1" s="5"/>
    </row>
    <row r="2" ht="15.75" customHeight="1">
      <c r="B2" s="2"/>
      <c r="C2" s="1" t="s">
        <v>6</v>
      </c>
      <c r="D2" s="6">
        <f>+A5*10%</f>
        <v>9249000</v>
      </c>
      <c r="E2" s="7"/>
      <c r="J2" s="5"/>
    </row>
    <row r="3" ht="15.75" customHeight="1">
      <c r="B3" s="2"/>
      <c r="C3" s="1" t="s">
        <v>7</v>
      </c>
      <c r="D3" s="8">
        <f>+A5-D2</f>
        <v>83241000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9.249E7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1851650.07</v>
      </c>
      <c r="E6" s="12"/>
      <c r="H6" s="5"/>
      <c r="J6" s="5"/>
    </row>
    <row r="7" ht="15.75" customHeight="1">
      <c r="B7" s="2"/>
      <c r="C7" s="1" t="s">
        <v>12</v>
      </c>
      <c r="D7" s="15" t="s">
        <v>373</v>
      </c>
      <c r="H7" s="5"/>
      <c r="J7" s="5"/>
    </row>
    <row r="8" ht="15.75" customHeight="1">
      <c r="B8" s="2"/>
      <c r="C8" s="1" t="s">
        <v>172</v>
      </c>
      <c r="D8" s="18">
        <v>9.4310806E7</v>
      </c>
      <c r="H8" s="5"/>
      <c r="I8" s="17"/>
      <c r="J8" s="19"/>
      <c r="K8" s="17"/>
      <c r="L8" s="21" t="s">
        <v>374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83241000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1.20348004E8</v>
      </c>
      <c r="U10" s="25"/>
    </row>
    <row r="11" ht="15.75" customHeight="1">
      <c r="A11" s="29">
        <v>45776.0</v>
      </c>
      <c r="B11" s="2" t="s">
        <v>375</v>
      </c>
      <c r="C11" s="30">
        <v>45777.0</v>
      </c>
      <c r="D11" s="8">
        <f t="shared" ref="D11:D70" si="1">$D$6</f>
        <v>1851650.07</v>
      </c>
      <c r="E11" s="15"/>
      <c r="F11" s="8">
        <f t="shared" ref="F11:F70" si="2">+H10*$D$4</f>
        <v>832410</v>
      </c>
      <c r="G11" s="8">
        <f t="shared" ref="G11:G70" si="3">+D11+E11-F11</f>
        <v>1019240.07</v>
      </c>
      <c r="H11" s="8">
        <f t="shared" ref="H11:H70" si="4">+H10-G11</f>
        <v>82221759.93</v>
      </c>
      <c r="J11" s="5"/>
      <c r="L11" s="33">
        <v>45631.0</v>
      </c>
      <c r="M11" s="34" t="s">
        <v>44</v>
      </c>
      <c r="N11" s="35" t="s">
        <v>376</v>
      </c>
      <c r="O11" s="36">
        <v>1000000.0</v>
      </c>
      <c r="P11" s="36"/>
      <c r="Q11" s="36"/>
      <c r="R11" s="36"/>
      <c r="S11" s="36">
        <f t="shared" ref="S11:S29" si="5">SUM(O11:R11)</f>
        <v>1000000</v>
      </c>
      <c r="T11" s="36">
        <f t="shared" ref="T11:T29" si="6">T10-S11</f>
        <v>119348004</v>
      </c>
      <c r="U11" s="34"/>
    </row>
    <row r="12" ht="15.75" customHeight="1">
      <c r="A12" s="29">
        <v>45808.0</v>
      </c>
      <c r="B12" s="2" t="s">
        <v>377</v>
      </c>
      <c r="C12" s="30">
        <v>45807.0</v>
      </c>
      <c r="D12" s="8">
        <f t="shared" si="1"/>
        <v>1851650.07</v>
      </c>
      <c r="E12" s="15"/>
      <c r="F12" s="8">
        <f t="shared" si="2"/>
        <v>822217.5993</v>
      </c>
      <c r="G12" s="8">
        <f t="shared" si="3"/>
        <v>1029432.47</v>
      </c>
      <c r="H12" s="8">
        <f t="shared" si="4"/>
        <v>81192327.46</v>
      </c>
      <c r="J12" s="5"/>
      <c r="L12" s="33">
        <v>45673.0</v>
      </c>
      <c r="M12" s="34" t="s">
        <v>44</v>
      </c>
      <c r="N12" s="35" t="s">
        <v>378</v>
      </c>
      <c r="O12" s="36">
        <v>2749700.0</v>
      </c>
      <c r="P12" s="36"/>
      <c r="Q12" s="36"/>
      <c r="R12" s="36"/>
      <c r="S12" s="36">
        <f t="shared" si="5"/>
        <v>2749700</v>
      </c>
      <c r="T12" s="36">
        <f t="shared" si="6"/>
        <v>116598304</v>
      </c>
      <c r="U12" s="34"/>
    </row>
    <row r="13" ht="15.75" customHeight="1">
      <c r="A13" s="29">
        <v>45836.0</v>
      </c>
      <c r="B13" s="2" t="s">
        <v>379</v>
      </c>
      <c r="C13" s="30">
        <v>45838.0</v>
      </c>
      <c r="D13" s="8">
        <f t="shared" si="1"/>
        <v>1851650.07</v>
      </c>
      <c r="E13" s="15"/>
      <c r="F13" s="8">
        <f t="shared" si="2"/>
        <v>811923.2746</v>
      </c>
      <c r="G13" s="8">
        <f t="shared" si="3"/>
        <v>1039726.795</v>
      </c>
      <c r="H13" s="8">
        <f t="shared" si="4"/>
        <v>80152600.66</v>
      </c>
      <c r="J13" s="5" t="s">
        <v>56</v>
      </c>
      <c r="L13" s="33">
        <v>45717.0</v>
      </c>
      <c r="M13" s="34" t="s">
        <v>44</v>
      </c>
      <c r="N13" s="35" t="s">
        <v>380</v>
      </c>
      <c r="O13" s="36">
        <v>2749666.0</v>
      </c>
      <c r="P13" s="36"/>
      <c r="Q13" s="36"/>
      <c r="R13" s="36"/>
      <c r="S13" s="36">
        <f t="shared" si="5"/>
        <v>2749666</v>
      </c>
      <c r="T13" s="36">
        <f t="shared" si="6"/>
        <v>113848638</v>
      </c>
      <c r="U13" s="34"/>
    </row>
    <row r="14" ht="15.75" customHeight="1">
      <c r="A14" s="29">
        <v>45870.0</v>
      </c>
      <c r="B14" s="2" t="s">
        <v>381</v>
      </c>
      <c r="C14" s="30">
        <v>45868.0</v>
      </c>
      <c r="D14" s="8">
        <f t="shared" si="1"/>
        <v>1851650.07</v>
      </c>
      <c r="E14" s="15"/>
      <c r="F14" s="8">
        <f t="shared" si="2"/>
        <v>801526.0066</v>
      </c>
      <c r="G14" s="8">
        <f t="shared" si="3"/>
        <v>1050124.063</v>
      </c>
      <c r="H14" s="8">
        <f t="shared" si="4"/>
        <v>79102476.6</v>
      </c>
      <c r="J14" s="8">
        <f>+H10</f>
        <v>83241000</v>
      </c>
      <c r="L14" s="33">
        <v>45744.0</v>
      </c>
      <c r="M14" s="34" t="s">
        <v>44</v>
      </c>
      <c r="N14" s="35" t="s">
        <v>382</v>
      </c>
      <c r="O14" s="36">
        <v>2749700.0</v>
      </c>
      <c r="P14" s="36"/>
      <c r="Q14" s="36"/>
      <c r="R14" s="36"/>
      <c r="S14" s="36">
        <f t="shared" si="5"/>
        <v>2749700</v>
      </c>
      <c r="T14" s="36">
        <f t="shared" si="6"/>
        <v>111098938</v>
      </c>
      <c r="U14" s="34"/>
    </row>
    <row r="15" ht="15.75" customHeight="1">
      <c r="A15" s="29">
        <v>45899.0</v>
      </c>
      <c r="B15" s="2" t="s">
        <v>383</v>
      </c>
      <c r="C15" s="30">
        <v>45899.0</v>
      </c>
      <c r="D15" s="8">
        <f t="shared" si="1"/>
        <v>1851650.07</v>
      </c>
      <c r="E15" s="15"/>
      <c r="F15" s="8">
        <f t="shared" si="2"/>
        <v>791024.766</v>
      </c>
      <c r="G15" s="8">
        <f t="shared" si="3"/>
        <v>1060625.304</v>
      </c>
      <c r="H15" s="8">
        <f t="shared" si="4"/>
        <v>78041851.3</v>
      </c>
      <c r="J15" s="5"/>
      <c r="L15" s="33">
        <v>45776.0</v>
      </c>
      <c r="M15" s="34" t="s">
        <v>73</v>
      </c>
      <c r="N15" s="35" t="s">
        <v>375</v>
      </c>
      <c r="O15" s="36">
        <v>1851650.0</v>
      </c>
      <c r="P15" s="36"/>
      <c r="Q15" s="36"/>
      <c r="R15" s="36"/>
      <c r="S15" s="36">
        <f t="shared" si="5"/>
        <v>1851650</v>
      </c>
      <c r="T15" s="36">
        <f t="shared" si="6"/>
        <v>109247288</v>
      </c>
      <c r="U15" s="34"/>
    </row>
    <row r="16" ht="15.75" customHeight="1">
      <c r="A16" s="29">
        <v>45933.0</v>
      </c>
      <c r="B16" s="2" t="s">
        <v>385</v>
      </c>
      <c r="C16" s="30">
        <v>45930.0</v>
      </c>
      <c r="D16" s="8">
        <f t="shared" si="1"/>
        <v>1851650.07</v>
      </c>
      <c r="E16" s="15"/>
      <c r="F16" s="8">
        <f t="shared" si="2"/>
        <v>780418.513</v>
      </c>
      <c r="G16" s="8">
        <f t="shared" si="3"/>
        <v>1071231.557</v>
      </c>
      <c r="H16" s="8">
        <f t="shared" si="4"/>
        <v>76970619.74</v>
      </c>
      <c r="J16" s="5"/>
      <c r="L16" s="33">
        <v>45808.0</v>
      </c>
      <c r="M16" s="34" t="s">
        <v>78</v>
      </c>
      <c r="N16" s="35" t="s">
        <v>377</v>
      </c>
      <c r="O16" s="36">
        <v>1851650.0</v>
      </c>
      <c r="P16" s="36"/>
      <c r="Q16" s="36"/>
      <c r="R16" s="36"/>
      <c r="S16" s="36">
        <f t="shared" si="5"/>
        <v>1851650</v>
      </c>
      <c r="T16" s="36">
        <f t="shared" si="6"/>
        <v>107395638</v>
      </c>
      <c r="U16" s="34"/>
    </row>
    <row r="17" ht="15.75" customHeight="1">
      <c r="A17" s="29">
        <v>45960.0</v>
      </c>
      <c r="B17" s="2" t="s">
        <v>386</v>
      </c>
      <c r="C17" s="30">
        <v>45960.0</v>
      </c>
      <c r="D17" s="8">
        <f t="shared" si="1"/>
        <v>1851650.07</v>
      </c>
      <c r="E17" s="15"/>
      <c r="F17" s="8">
        <f t="shared" si="2"/>
        <v>769706.1974</v>
      </c>
      <c r="G17" s="8">
        <f t="shared" si="3"/>
        <v>1081943.872</v>
      </c>
      <c r="H17" s="8">
        <f t="shared" si="4"/>
        <v>75888675.87</v>
      </c>
      <c r="J17" s="5"/>
      <c r="L17" s="33">
        <v>45836.0</v>
      </c>
      <c r="M17" s="34" t="s">
        <v>83</v>
      </c>
      <c r="N17" s="35" t="s">
        <v>379</v>
      </c>
      <c r="O17" s="36">
        <v>1851650.0</v>
      </c>
      <c r="P17" s="36"/>
      <c r="Q17" s="36"/>
      <c r="R17" s="36"/>
      <c r="S17" s="36">
        <f t="shared" si="5"/>
        <v>1851650</v>
      </c>
      <c r="T17" s="36">
        <f t="shared" si="6"/>
        <v>105543988</v>
      </c>
      <c r="U17" s="34"/>
    </row>
    <row r="18" ht="15.75" customHeight="1">
      <c r="A18" s="29">
        <v>45994.0</v>
      </c>
      <c r="B18" s="2" t="s">
        <v>387</v>
      </c>
      <c r="C18" s="30">
        <v>45991.0</v>
      </c>
      <c r="D18" s="8">
        <f t="shared" si="1"/>
        <v>1851650.07</v>
      </c>
      <c r="E18" s="15"/>
      <c r="F18" s="8">
        <f t="shared" si="2"/>
        <v>758886.7587</v>
      </c>
      <c r="G18" s="8">
        <f t="shared" si="3"/>
        <v>1092763.311</v>
      </c>
      <c r="H18" s="8">
        <f t="shared" si="4"/>
        <v>74795912.56</v>
      </c>
      <c r="J18" s="5"/>
      <c r="L18" s="33">
        <v>45870.0</v>
      </c>
      <c r="M18" s="34" t="s">
        <v>85</v>
      </c>
      <c r="N18" s="35" t="s">
        <v>381</v>
      </c>
      <c r="O18" s="36">
        <v>1851650.0</v>
      </c>
      <c r="P18" s="36"/>
      <c r="Q18" s="36"/>
      <c r="R18" s="36"/>
      <c r="S18" s="36">
        <f t="shared" si="5"/>
        <v>1851650</v>
      </c>
      <c r="T18" s="36">
        <f t="shared" si="6"/>
        <v>103692338</v>
      </c>
      <c r="U18" s="34"/>
    </row>
    <row r="19" ht="15.75" customHeight="1">
      <c r="A19" s="29">
        <v>46022.0</v>
      </c>
      <c r="B19" s="2" t="s">
        <v>389</v>
      </c>
      <c r="C19" s="30">
        <v>46021.0</v>
      </c>
      <c r="D19" s="8">
        <f t="shared" si="1"/>
        <v>1851650.07</v>
      </c>
      <c r="E19" s="15">
        <f t="shared" ref="E19:E20" si="7">1852000-D19</f>
        <v>349.9302611</v>
      </c>
      <c r="F19" s="8">
        <f t="shared" si="2"/>
        <v>747959.1256</v>
      </c>
      <c r="G19" s="8">
        <f t="shared" si="3"/>
        <v>1104040.874</v>
      </c>
      <c r="H19" s="8">
        <f t="shared" si="4"/>
        <v>73691871.68</v>
      </c>
      <c r="I19" s="1"/>
      <c r="J19" s="41"/>
      <c r="K19" s="1"/>
      <c r="L19" s="42">
        <v>45901.0</v>
      </c>
      <c r="M19" s="43" t="s">
        <v>89</v>
      </c>
      <c r="N19" s="44" t="s">
        <v>383</v>
      </c>
      <c r="O19" s="45">
        <v>1851650.0</v>
      </c>
      <c r="P19" s="45"/>
      <c r="Q19" s="45"/>
      <c r="R19" s="45"/>
      <c r="S19" s="45">
        <f t="shared" si="5"/>
        <v>1851650</v>
      </c>
      <c r="T19" s="45">
        <f t="shared" si="6"/>
        <v>101840688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46055.0</v>
      </c>
      <c r="B20" s="2" t="s">
        <v>391</v>
      </c>
      <c r="C20" s="30">
        <v>46052.0</v>
      </c>
      <c r="D20" s="8">
        <f t="shared" si="1"/>
        <v>1851650.07</v>
      </c>
      <c r="E20" s="15">
        <f t="shared" si="7"/>
        <v>349.9302611</v>
      </c>
      <c r="F20" s="8">
        <f t="shared" si="2"/>
        <v>736918.7168</v>
      </c>
      <c r="G20" s="8">
        <f t="shared" si="3"/>
        <v>1115081.283</v>
      </c>
      <c r="H20" s="8">
        <f t="shared" si="4"/>
        <v>72576790.4</v>
      </c>
      <c r="J20" s="5"/>
      <c r="L20" s="33">
        <v>45933.0</v>
      </c>
      <c r="M20" s="34" t="s">
        <v>93</v>
      </c>
      <c r="N20" s="35" t="s">
        <v>385</v>
      </c>
      <c r="O20" s="36">
        <v>1851650.0</v>
      </c>
      <c r="P20" s="36"/>
      <c r="Q20" s="36"/>
      <c r="R20" s="36"/>
      <c r="S20" s="36">
        <f t="shared" si="5"/>
        <v>1851650</v>
      </c>
      <c r="T20" s="36">
        <f t="shared" si="6"/>
        <v>99989038</v>
      </c>
      <c r="U20" s="34"/>
    </row>
    <row r="21" ht="15.75" customHeight="1">
      <c r="A21" s="29">
        <v>46086.0</v>
      </c>
      <c r="B21" s="2" t="s">
        <v>393</v>
      </c>
      <c r="C21" s="30">
        <v>46081.0</v>
      </c>
      <c r="D21" s="8">
        <f t="shared" si="1"/>
        <v>1851650.07</v>
      </c>
      <c r="E21" s="15">
        <f>1853000-D21</f>
        <v>1349.930261</v>
      </c>
      <c r="F21" s="8">
        <f t="shared" si="2"/>
        <v>725767.904</v>
      </c>
      <c r="G21" s="8">
        <f t="shared" si="3"/>
        <v>1127232.096</v>
      </c>
      <c r="H21" s="8">
        <f t="shared" si="4"/>
        <v>71449558.3</v>
      </c>
      <c r="J21" s="5"/>
      <c r="L21" s="33">
        <v>45960.0</v>
      </c>
      <c r="M21" s="34" t="s">
        <v>96</v>
      </c>
      <c r="N21" s="35" t="s">
        <v>386</v>
      </c>
      <c r="O21" s="36">
        <v>1851650.0</v>
      </c>
      <c r="P21" s="36"/>
      <c r="Q21" s="36"/>
      <c r="R21" s="36"/>
      <c r="S21" s="36">
        <f t="shared" si="5"/>
        <v>1851650</v>
      </c>
      <c r="T21" s="36">
        <f t="shared" si="6"/>
        <v>98137388</v>
      </c>
      <c r="U21" s="34"/>
    </row>
    <row r="22" ht="15.75" customHeight="1">
      <c r="A22" s="29">
        <v>46116.0</v>
      </c>
      <c r="B22" s="2" t="s">
        <v>394</v>
      </c>
      <c r="C22" s="30">
        <v>46111.0</v>
      </c>
      <c r="D22" s="8">
        <f t="shared" si="1"/>
        <v>1851650.07</v>
      </c>
      <c r="E22" s="15">
        <f t="shared" ref="E22:E25" si="8">1852000-D22</f>
        <v>349.9302611</v>
      </c>
      <c r="F22" s="8">
        <f t="shared" si="2"/>
        <v>714495.583</v>
      </c>
      <c r="G22" s="8">
        <f t="shared" si="3"/>
        <v>1137504.417</v>
      </c>
      <c r="H22" s="8">
        <f t="shared" si="4"/>
        <v>70312053.89</v>
      </c>
      <c r="J22" s="5"/>
      <c r="L22" s="33">
        <v>46018.0</v>
      </c>
      <c r="M22" s="34" t="s">
        <v>100</v>
      </c>
      <c r="N22" s="35" t="s">
        <v>389</v>
      </c>
      <c r="O22" s="36">
        <v>1852000.0</v>
      </c>
      <c r="P22" s="36"/>
      <c r="Q22" s="36"/>
      <c r="R22" s="36"/>
      <c r="S22" s="36">
        <f t="shared" si="5"/>
        <v>1852000</v>
      </c>
      <c r="T22" s="36">
        <f t="shared" si="6"/>
        <v>96285388</v>
      </c>
      <c r="U22" s="34"/>
    </row>
    <row r="23" ht="15.75" customHeight="1">
      <c r="A23" s="29">
        <v>46149.0</v>
      </c>
      <c r="B23" s="2" t="s">
        <v>396</v>
      </c>
      <c r="C23" s="30">
        <v>46142.0</v>
      </c>
      <c r="D23" s="8">
        <f t="shared" si="1"/>
        <v>1851650.07</v>
      </c>
      <c r="E23" s="15">
        <f t="shared" si="8"/>
        <v>349.9302611</v>
      </c>
      <c r="F23" s="8">
        <f t="shared" si="2"/>
        <v>703120.5389</v>
      </c>
      <c r="G23" s="8">
        <f t="shared" si="3"/>
        <v>1148879.461</v>
      </c>
      <c r="H23" s="8">
        <f t="shared" si="4"/>
        <v>69163174.43</v>
      </c>
      <c r="J23" s="5"/>
      <c r="L23" s="33">
        <v>45994.0</v>
      </c>
      <c r="M23" s="34" t="s">
        <v>103</v>
      </c>
      <c r="N23" s="35" t="s">
        <v>387</v>
      </c>
      <c r="O23" s="36">
        <v>1851650.0</v>
      </c>
      <c r="P23" s="36"/>
      <c r="Q23" s="36"/>
      <c r="R23" s="36"/>
      <c r="S23" s="36">
        <f t="shared" si="5"/>
        <v>1851650</v>
      </c>
      <c r="T23" s="36">
        <f t="shared" si="6"/>
        <v>94433738</v>
      </c>
      <c r="U23" s="34"/>
    </row>
    <row r="24" ht="15.75" customHeight="1">
      <c r="A24" s="29">
        <v>46182.0</v>
      </c>
      <c r="B24" s="2" t="s">
        <v>399</v>
      </c>
      <c r="C24" s="30">
        <v>46172.0</v>
      </c>
      <c r="D24" s="8">
        <f t="shared" si="1"/>
        <v>1851650.07</v>
      </c>
      <c r="E24" s="8">
        <f t="shared" si="8"/>
        <v>349.9302611</v>
      </c>
      <c r="F24" s="8">
        <f t="shared" si="2"/>
        <v>691631.7443</v>
      </c>
      <c r="G24" s="8">
        <f t="shared" si="3"/>
        <v>1160368.256</v>
      </c>
      <c r="H24" s="8">
        <f t="shared" si="4"/>
        <v>68002806.17</v>
      </c>
      <c r="J24" s="5"/>
      <c r="L24" s="33">
        <v>46055.0</v>
      </c>
      <c r="M24" s="34" t="s">
        <v>107</v>
      </c>
      <c r="N24" s="35" t="s">
        <v>391</v>
      </c>
      <c r="O24" s="36"/>
      <c r="P24" s="36">
        <v>1852000.0</v>
      </c>
      <c r="Q24" s="36"/>
      <c r="R24" s="36"/>
      <c r="S24" s="36">
        <f t="shared" si="5"/>
        <v>1852000</v>
      </c>
      <c r="T24" s="36">
        <f t="shared" si="6"/>
        <v>92581738</v>
      </c>
      <c r="U24" s="34"/>
    </row>
    <row r="25" ht="15.75" customHeight="1">
      <c r="A25" s="29">
        <v>46217.0</v>
      </c>
      <c r="B25" s="2" t="s">
        <v>401</v>
      </c>
      <c r="C25" s="30">
        <v>46203.0</v>
      </c>
      <c r="D25" s="8">
        <f t="shared" si="1"/>
        <v>1851650.07</v>
      </c>
      <c r="E25" s="8">
        <f t="shared" si="8"/>
        <v>349.9302611</v>
      </c>
      <c r="F25" s="8">
        <f t="shared" si="2"/>
        <v>680028.0617</v>
      </c>
      <c r="G25" s="8">
        <f t="shared" si="3"/>
        <v>1171971.938</v>
      </c>
      <c r="H25" s="8">
        <f t="shared" si="4"/>
        <v>66830834.23</v>
      </c>
      <c r="J25" s="5"/>
      <c r="L25" s="33">
        <v>46086.0</v>
      </c>
      <c r="M25" s="34" t="s">
        <v>112</v>
      </c>
      <c r="N25" s="35" t="s">
        <v>393</v>
      </c>
      <c r="O25" s="36"/>
      <c r="P25" s="36">
        <v>1853000.0</v>
      </c>
      <c r="Q25" s="36"/>
      <c r="R25" s="36"/>
      <c r="S25" s="36">
        <f t="shared" si="5"/>
        <v>1853000</v>
      </c>
      <c r="T25" s="36">
        <f t="shared" si="6"/>
        <v>90728738</v>
      </c>
      <c r="U25" s="34"/>
    </row>
    <row r="26" ht="15.75" customHeight="1">
      <c r="B26" s="2"/>
      <c r="C26" s="30">
        <v>46233.0</v>
      </c>
      <c r="D26" s="8">
        <f t="shared" si="1"/>
        <v>1851650.07</v>
      </c>
      <c r="E26" s="46"/>
      <c r="F26" s="8">
        <f t="shared" si="2"/>
        <v>668308.3423</v>
      </c>
      <c r="G26" s="8">
        <f t="shared" si="3"/>
        <v>1183341.727</v>
      </c>
      <c r="H26" s="8">
        <f t="shared" si="4"/>
        <v>65647492.5</v>
      </c>
      <c r="J26" s="5"/>
      <c r="L26" s="33">
        <v>46116.0</v>
      </c>
      <c r="M26" s="34" t="s">
        <v>115</v>
      </c>
      <c r="N26" s="35" t="s">
        <v>394</v>
      </c>
      <c r="O26" s="36"/>
      <c r="P26" s="36">
        <v>1852000.0</v>
      </c>
      <c r="Q26" s="36"/>
      <c r="R26" s="36"/>
      <c r="S26" s="36">
        <f t="shared" si="5"/>
        <v>1852000</v>
      </c>
      <c r="T26" s="36">
        <f t="shared" si="6"/>
        <v>88876738</v>
      </c>
      <c r="U26" s="34"/>
    </row>
    <row r="27" ht="15.75" customHeight="1">
      <c r="B27" s="2"/>
      <c r="C27" s="30">
        <v>46264.0</v>
      </c>
      <c r="D27" s="8">
        <f t="shared" si="1"/>
        <v>1851650.07</v>
      </c>
      <c r="E27" s="46"/>
      <c r="F27" s="8">
        <f t="shared" si="2"/>
        <v>656474.925</v>
      </c>
      <c r="G27" s="8">
        <f t="shared" si="3"/>
        <v>1195175.145</v>
      </c>
      <c r="H27" s="8">
        <f t="shared" si="4"/>
        <v>64452317.36</v>
      </c>
      <c r="J27" s="5"/>
      <c r="L27" s="33">
        <v>46149.0</v>
      </c>
      <c r="M27" s="34" t="s">
        <v>116</v>
      </c>
      <c r="N27" s="35" t="s">
        <v>396</v>
      </c>
      <c r="O27" s="36"/>
      <c r="P27" s="36">
        <v>1852000.0</v>
      </c>
      <c r="Q27" s="36"/>
      <c r="R27" s="36"/>
      <c r="S27" s="36">
        <f t="shared" si="5"/>
        <v>1852000</v>
      </c>
      <c r="T27" s="36">
        <f t="shared" si="6"/>
        <v>87024738</v>
      </c>
      <c r="U27" s="34"/>
    </row>
    <row r="28" ht="15.75" customHeight="1">
      <c r="B28" s="2"/>
      <c r="C28" s="30">
        <v>46295.0</v>
      </c>
      <c r="D28" s="8">
        <f t="shared" si="1"/>
        <v>1851650.07</v>
      </c>
      <c r="E28" s="46"/>
      <c r="F28" s="8">
        <f t="shared" si="2"/>
        <v>644523.1736</v>
      </c>
      <c r="G28" s="8">
        <f t="shared" si="3"/>
        <v>1207126.896</v>
      </c>
      <c r="H28" s="8">
        <f t="shared" si="4"/>
        <v>63245190.46</v>
      </c>
      <c r="J28" s="5"/>
      <c r="L28" s="33">
        <v>46182.0</v>
      </c>
      <c r="M28" s="34" t="s">
        <v>118</v>
      </c>
      <c r="N28" s="35" t="s">
        <v>399</v>
      </c>
      <c r="O28" s="36"/>
      <c r="P28" s="36">
        <v>1852000.0</v>
      </c>
      <c r="Q28" s="36"/>
      <c r="R28" s="36"/>
      <c r="S28" s="36">
        <f t="shared" si="5"/>
        <v>1852000</v>
      </c>
      <c r="T28" s="36">
        <f t="shared" si="6"/>
        <v>85172738</v>
      </c>
      <c r="U28" s="34"/>
    </row>
    <row r="29" ht="15.75" customHeight="1">
      <c r="B29" s="2"/>
      <c r="C29" s="30">
        <v>46325.0</v>
      </c>
      <c r="D29" s="8">
        <f t="shared" si="1"/>
        <v>1851650.07</v>
      </c>
      <c r="E29" s="46"/>
      <c r="F29" s="8">
        <f t="shared" si="2"/>
        <v>632451.9046</v>
      </c>
      <c r="G29" s="8">
        <f t="shared" si="3"/>
        <v>1219198.165</v>
      </c>
      <c r="H29" s="8">
        <f t="shared" si="4"/>
        <v>62025992.3</v>
      </c>
      <c r="J29" s="5"/>
      <c r="L29" s="33">
        <v>46217.0</v>
      </c>
      <c r="M29" s="34" t="s">
        <v>120</v>
      </c>
      <c r="N29" s="35" t="s">
        <v>401</v>
      </c>
      <c r="O29" s="36"/>
      <c r="P29" s="36">
        <v>1852000.0</v>
      </c>
      <c r="Q29" s="36"/>
      <c r="R29" s="36"/>
      <c r="S29" s="36">
        <f t="shared" si="5"/>
        <v>1852000</v>
      </c>
      <c r="T29" s="36">
        <f t="shared" si="6"/>
        <v>83320738</v>
      </c>
      <c r="U29" s="34"/>
    </row>
    <row r="30" ht="15.75" customHeight="1">
      <c r="B30" s="2"/>
      <c r="C30" s="30">
        <v>46356.0</v>
      </c>
      <c r="D30" s="8">
        <f t="shared" si="1"/>
        <v>1851650.07</v>
      </c>
      <c r="E30" s="46"/>
      <c r="F30" s="8">
        <f t="shared" si="2"/>
        <v>620259.923</v>
      </c>
      <c r="G30" s="8">
        <f t="shared" si="3"/>
        <v>1231390.147</v>
      </c>
      <c r="H30" s="8">
        <f t="shared" si="4"/>
        <v>60794602.15</v>
      </c>
      <c r="J30" s="5"/>
      <c r="L30" s="25"/>
      <c r="M30" s="38" t="s">
        <v>69</v>
      </c>
      <c r="N30" s="39"/>
      <c r="O30" s="27">
        <f t="shared" ref="O30:S30" si="9">SUM(O11:O29)</f>
        <v>25914266</v>
      </c>
      <c r="P30" s="27">
        <f t="shared" si="9"/>
        <v>11113000</v>
      </c>
      <c r="Q30" s="27">
        <f t="shared" si="9"/>
        <v>0</v>
      </c>
      <c r="R30" s="27">
        <f t="shared" si="9"/>
        <v>0</v>
      </c>
      <c r="S30" s="27">
        <f t="shared" si="9"/>
        <v>37027266</v>
      </c>
      <c r="T30" s="27">
        <f>T29</f>
        <v>83320738</v>
      </c>
      <c r="U30" s="25"/>
    </row>
    <row r="31" ht="15.75" customHeight="1">
      <c r="B31" s="2"/>
      <c r="C31" s="30">
        <v>46386.0</v>
      </c>
      <c r="D31" s="8">
        <f t="shared" si="1"/>
        <v>1851650.07</v>
      </c>
      <c r="E31" s="46"/>
      <c r="F31" s="8">
        <f t="shared" si="2"/>
        <v>607946.0215</v>
      </c>
      <c r="G31" s="8">
        <f t="shared" si="3"/>
        <v>1243704.048</v>
      </c>
      <c r="H31" s="8">
        <f t="shared" si="4"/>
        <v>59550898.1</v>
      </c>
      <c r="J31" s="5"/>
    </row>
    <row r="32" ht="15.75" customHeight="1">
      <c r="B32" s="2"/>
      <c r="C32" s="30">
        <v>46417.0</v>
      </c>
      <c r="D32" s="8">
        <f t="shared" si="1"/>
        <v>1851650.07</v>
      </c>
      <c r="E32" s="46"/>
      <c r="F32" s="8">
        <f t="shared" si="2"/>
        <v>595508.981</v>
      </c>
      <c r="G32" s="8">
        <f t="shared" si="3"/>
        <v>1256141.089</v>
      </c>
      <c r="H32" s="8">
        <f t="shared" si="4"/>
        <v>58294757.01</v>
      </c>
      <c r="J32" s="5"/>
    </row>
    <row r="33" ht="15.75" customHeight="1">
      <c r="B33" s="2"/>
      <c r="C33" s="30">
        <v>46446.0</v>
      </c>
      <c r="D33" s="8">
        <f t="shared" si="1"/>
        <v>1851650.07</v>
      </c>
      <c r="E33" s="46"/>
      <c r="F33" s="8">
        <f t="shared" si="2"/>
        <v>582947.5701</v>
      </c>
      <c r="G33" s="8">
        <f t="shared" si="3"/>
        <v>1268702.5</v>
      </c>
      <c r="H33" s="8">
        <f t="shared" si="4"/>
        <v>57026054.52</v>
      </c>
      <c r="J33" s="5"/>
    </row>
    <row r="34" ht="15.75" customHeight="1">
      <c r="B34" s="2"/>
      <c r="C34" s="30">
        <v>46476.0</v>
      </c>
      <c r="D34" s="8">
        <f t="shared" si="1"/>
        <v>1851650.07</v>
      </c>
      <c r="E34" s="46"/>
      <c r="F34" s="8">
        <f t="shared" si="2"/>
        <v>570260.5452</v>
      </c>
      <c r="G34" s="8">
        <f t="shared" si="3"/>
        <v>1281389.525</v>
      </c>
      <c r="H34" s="8">
        <f t="shared" si="4"/>
        <v>55744664.99</v>
      </c>
      <c r="J34" s="5"/>
    </row>
    <row r="35" ht="15.75" customHeight="1">
      <c r="B35" s="2"/>
      <c r="C35" s="30">
        <v>46507.0</v>
      </c>
      <c r="D35" s="8">
        <f t="shared" si="1"/>
        <v>1851650.07</v>
      </c>
      <c r="E35" s="46"/>
      <c r="F35" s="8">
        <f t="shared" si="2"/>
        <v>557446.6499</v>
      </c>
      <c r="G35" s="8">
        <f t="shared" si="3"/>
        <v>1294203.42</v>
      </c>
      <c r="H35" s="8">
        <f t="shared" si="4"/>
        <v>54450461.57</v>
      </c>
      <c r="J35" s="5"/>
    </row>
    <row r="36" ht="15.75" customHeight="1">
      <c r="B36" s="2"/>
      <c r="C36" s="30">
        <v>46537.0</v>
      </c>
      <c r="D36" s="8">
        <f t="shared" si="1"/>
        <v>1851650.07</v>
      </c>
      <c r="E36" s="46"/>
      <c r="F36" s="8">
        <f t="shared" si="2"/>
        <v>544504.6157</v>
      </c>
      <c r="G36" s="8">
        <f t="shared" si="3"/>
        <v>1307145.454</v>
      </c>
      <c r="H36" s="8">
        <f t="shared" si="4"/>
        <v>53143316.12</v>
      </c>
      <c r="J36" s="5"/>
    </row>
    <row r="37" ht="15.75" customHeight="1">
      <c r="B37" s="2"/>
      <c r="C37" s="30">
        <v>46568.0</v>
      </c>
      <c r="D37" s="8">
        <f t="shared" si="1"/>
        <v>1851650.07</v>
      </c>
      <c r="E37" s="46"/>
      <c r="F37" s="8">
        <f t="shared" si="2"/>
        <v>531433.1612</v>
      </c>
      <c r="G37" s="8">
        <f t="shared" si="3"/>
        <v>1320216.909</v>
      </c>
      <c r="H37" s="8">
        <f t="shared" si="4"/>
        <v>51823099.21</v>
      </c>
      <c r="J37" s="5"/>
    </row>
    <row r="38" ht="15.75" customHeight="1">
      <c r="B38" s="2"/>
      <c r="C38" s="30">
        <v>46598.0</v>
      </c>
      <c r="D38" s="8">
        <f t="shared" si="1"/>
        <v>1851650.07</v>
      </c>
      <c r="E38" s="46"/>
      <c r="F38" s="8">
        <f t="shared" si="2"/>
        <v>518230.9921</v>
      </c>
      <c r="G38" s="8">
        <f t="shared" si="3"/>
        <v>1333419.078</v>
      </c>
      <c r="H38" s="8">
        <f t="shared" si="4"/>
        <v>50489680.13</v>
      </c>
      <c r="J38" s="5"/>
    </row>
    <row r="39" ht="15.75" customHeight="1">
      <c r="B39" s="2"/>
      <c r="C39" s="30">
        <v>46629.0</v>
      </c>
      <c r="D39" s="8">
        <f t="shared" si="1"/>
        <v>1851650.07</v>
      </c>
      <c r="E39" s="46"/>
      <c r="F39" s="8">
        <f t="shared" si="2"/>
        <v>504896.8013</v>
      </c>
      <c r="G39" s="8">
        <f t="shared" si="3"/>
        <v>1346753.268</v>
      </c>
      <c r="H39" s="8">
        <f t="shared" si="4"/>
        <v>49142926.86</v>
      </c>
      <c r="J39" s="5"/>
    </row>
    <row r="40" ht="15.75" customHeight="1">
      <c r="B40" s="2"/>
      <c r="C40" s="30">
        <v>46660.0</v>
      </c>
      <c r="D40" s="8">
        <f t="shared" si="1"/>
        <v>1851650.07</v>
      </c>
      <c r="E40" s="46"/>
      <c r="F40" s="8">
        <f t="shared" si="2"/>
        <v>491429.2686</v>
      </c>
      <c r="G40" s="8">
        <f t="shared" si="3"/>
        <v>1360220.801</v>
      </c>
      <c r="H40" s="8">
        <f t="shared" si="4"/>
        <v>47782706.06</v>
      </c>
      <c r="J40" s="5"/>
    </row>
    <row r="41" ht="15.75" customHeight="1">
      <c r="B41" s="2"/>
      <c r="C41" s="30">
        <v>46690.0</v>
      </c>
      <c r="D41" s="8">
        <f t="shared" si="1"/>
        <v>1851650.07</v>
      </c>
      <c r="E41" s="46"/>
      <c r="F41" s="8">
        <f t="shared" si="2"/>
        <v>477827.0606</v>
      </c>
      <c r="G41" s="8">
        <f t="shared" si="3"/>
        <v>1373823.009</v>
      </c>
      <c r="H41" s="8">
        <f t="shared" si="4"/>
        <v>46408883.05</v>
      </c>
      <c r="J41" s="5"/>
    </row>
    <row r="42" ht="15.75" customHeight="1">
      <c r="B42" s="2"/>
      <c r="C42" s="30">
        <v>46721.0</v>
      </c>
      <c r="D42" s="8">
        <f t="shared" si="1"/>
        <v>1851650.07</v>
      </c>
      <c r="E42" s="46"/>
      <c r="F42" s="8">
        <f t="shared" si="2"/>
        <v>464088.8305</v>
      </c>
      <c r="G42" s="8">
        <f t="shared" si="3"/>
        <v>1387561.239</v>
      </c>
      <c r="H42" s="8">
        <f t="shared" si="4"/>
        <v>45021321.81</v>
      </c>
      <c r="J42" s="5"/>
    </row>
    <row r="43" ht="15.75" customHeight="1">
      <c r="B43" s="2"/>
      <c r="C43" s="30">
        <v>46751.0</v>
      </c>
      <c r="D43" s="8">
        <f t="shared" si="1"/>
        <v>1851650.07</v>
      </c>
      <c r="E43" s="46"/>
      <c r="F43" s="8">
        <f t="shared" si="2"/>
        <v>450213.2181</v>
      </c>
      <c r="G43" s="8">
        <f t="shared" si="3"/>
        <v>1401436.852</v>
      </c>
      <c r="H43" s="8">
        <f t="shared" si="4"/>
        <v>43619884.96</v>
      </c>
      <c r="J43" s="5"/>
    </row>
    <row r="44" ht="15.75" customHeight="1">
      <c r="B44" s="2"/>
      <c r="C44" s="30">
        <v>46782.0</v>
      </c>
      <c r="D44" s="8">
        <f t="shared" si="1"/>
        <v>1851650.07</v>
      </c>
      <c r="E44" s="46"/>
      <c r="F44" s="8">
        <f t="shared" si="2"/>
        <v>436198.8496</v>
      </c>
      <c r="G44" s="8">
        <f t="shared" si="3"/>
        <v>1415451.22</v>
      </c>
      <c r="H44" s="8">
        <f t="shared" si="4"/>
        <v>42204433.74</v>
      </c>
      <c r="J44" s="5"/>
    </row>
    <row r="45" ht="15.75" customHeight="1">
      <c r="B45" s="2"/>
      <c r="C45" s="30">
        <v>46812.0</v>
      </c>
      <c r="D45" s="8">
        <f t="shared" si="1"/>
        <v>1851650.07</v>
      </c>
      <c r="E45" s="46"/>
      <c r="F45" s="8">
        <f t="shared" si="2"/>
        <v>422044.3374</v>
      </c>
      <c r="G45" s="8">
        <f t="shared" si="3"/>
        <v>1429605.732</v>
      </c>
      <c r="H45" s="8">
        <f t="shared" si="4"/>
        <v>40774828.01</v>
      </c>
      <c r="J45" s="5"/>
    </row>
    <row r="46" ht="15.75" customHeight="1">
      <c r="B46" s="2"/>
      <c r="C46" s="30">
        <v>46842.0</v>
      </c>
      <c r="D46" s="8">
        <f t="shared" si="1"/>
        <v>1851650.07</v>
      </c>
      <c r="E46" s="46"/>
      <c r="F46" s="8">
        <f t="shared" si="2"/>
        <v>407748.2801</v>
      </c>
      <c r="G46" s="8">
        <f t="shared" si="3"/>
        <v>1443901.79</v>
      </c>
      <c r="H46" s="8">
        <f t="shared" si="4"/>
        <v>39330926.22</v>
      </c>
      <c r="J46" s="5"/>
    </row>
    <row r="47" ht="15.75" customHeight="1">
      <c r="B47" s="2"/>
      <c r="C47" s="30">
        <v>46873.0</v>
      </c>
      <c r="D47" s="8">
        <f t="shared" si="1"/>
        <v>1851650.07</v>
      </c>
      <c r="E47" s="46"/>
      <c r="F47" s="8">
        <f t="shared" si="2"/>
        <v>393309.2622</v>
      </c>
      <c r="G47" s="8">
        <f t="shared" si="3"/>
        <v>1458340.808</v>
      </c>
      <c r="H47" s="8">
        <f t="shared" si="4"/>
        <v>37872585.41</v>
      </c>
      <c r="J47" s="5"/>
    </row>
    <row r="48" ht="15.75" customHeight="1">
      <c r="B48" s="2"/>
      <c r="C48" s="30">
        <v>46903.0</v>
      </c>
      <c r="D48" s="8">
        <f t="shared" si="1"/>
        <v>1851650.07</v>
      </c>
      <c r="E48" s="46"/>
      <c r="F48" s="8">
        <f t="shared" si="2"/>
        <v>378725.8541</v>
      </c>
      <c r="G48" s="8">
        <f t="shared" si="3"/>
        <v>1472924.216</v>
      </c>
      <c r="H48" s="8">
        <f t="shared" si="4"/>
        <v>36399661.2</v>
      </c>
      <c r="J48" s="5"/>
    </row>
    <row r="49" ht="15.75" customHeight="1">
      <c r="B49" s="2"/>
      <c r="C49" s="30">
        <v>46934.0</v>
      </c>
      <c r="D49" s="8">
        <f t="shared" si="1"/>
        <v>1851650.07</v>
      </c>
      <c r="E49" s="46"/>
      <c r="F49" s="8">
        <f t="shared" si="2"/>
        <v>363996.612</v>
      </c>
      <c r="G49" s="8">
        <f t="shared" si="3"/>
        <v>1487653.458</v>
      </c>
      <c r="H49" s="8">
        <f t="shared" si="4"/>
        <v>34912007.74</v>
      </c>
      <c r="J49" s="5"/>
    </row>
    <row r="50" ht="15.75" customHeight="1">
      <c r="B50" s="2"/>
      <c r="C50" s="30">
        <v>46964.0</v>
      </c>
      <c r="D50" s="8">
        <f t="shared" si="1"/>
        <v>1851650.07</v>
      </c>
      <c r="E50" s="46"/>
      <c r="F50" s="8">
        <f t="shared" si="2"/>
        <v>349120.0774</v>
      </c>
      <c r="G50" s="8">
        <f t="shared" si="3"/>
        <v>1502529.992</v>
      </c>
      <c r="H50" s="8">
        <f t="shared" si="4"/>
        <v>33409477.75</v>
      </c>
      <c r="J50" s="5"/>
    </row>
    <row r="51" ht="15.75" customHeight="1">
      <c r="B51" s="2"/>
      <c r="C51" s="30">
        <v>46995.0</v>
      </c>
      <c r="D51" s="8">
        <f t="shared" si="1"/>
        <v>1851650.07</v>
      </c>
      <c r="E51" s="46"/>
      <c r="F51" s="8">
        <f t="shared" si="2"/>
        <v>334094.7775</v>
      </c>
      <c r="G51" s="8">
        <f t="shared" si="3"/>
        <v>1517555.292</v>
      </c>
      <c r="H51" s="8">
        <f t="shared" si="4"/>
        <v>31891922.45</v>
      </c>
      <c r="J51" s="5"/>
    </row>
    <row r="52" ht="15.75" customHeight="1">
      <c r="B52" s="2"/>
      <c r="C52" s="30">
        <v>47026.0</v>
      </c>
      <c r="D52" s="8">
        <f t="shared" si="1"/>
        <v>1851650.07</v>
      </c>
      <c r="E52" s="46"/>
      <c r="F52" s="8">
        <f t="shared" si="2"/>
        <v>318919.2245</v>
      </c>
      <c r="G52" s="8">
        <f t="shared" si="3"/>
        <v>1532730.845</v>
      </c>
      <c r="H52" s="8">
        <f t="shared" si="4"/>
        <v>30359191.61</v>
      </c>
      <c r="J52" s="5"/>
    </row>
    <row r="53" ht="15.75" customHeight="1">
      <c r="B53" s="2"/>
      <c r="C53" s="30">
        <v>47056.0</v>
      </c>
      <c r="D53" s="8">
        <f t="shared" si="1"/>
        <v>1851650.07</v>
      </c>
      <c r="E53" s="46"/>
      <c r="F53" s="8">
        <f t="shared" si="2"/>
        <v>303591.9161</v>
      </c>
      <c r="G53" s="8">
        <f t="shared" si="3"/>
        <v>1548058.154</v>
      </c>
      <c r="H53" s="8">
        <f t="shared" si="4"/>
        <v>28811133.45</v>
      </c>
      <c r="J53" s="5"/>
    </row>
    <row r="54" ht="15.75" customHeight="1">
      <c r="B54" s="2"/>
      <c r="C54" s="30">
        <v>47087.0</v>
      </c>
      <c r="D54" s="8">
        <f t="shared" si="1"/>
        <v>1851650.07</v>
      </c>
      <c r="E54" s="46"/>
      <c r="F54" s="8">
        <f t="shared" si="2"/>
        <v>288111.3345</v>
      </c>
      <c r="G54" s="8">
        <f t="shared" si="3"/>
        <v>1563538.735</v>
      </c>
      <c r="H54" s="8">
        <f t="shared" si="4"/>
        <v>27247594.72</v>
      </c>
      <c r="J54" s="5"/>
    </row>
    <row r="55" ht="15.75" customHeight="1">
      <c r="B55" s="2"/>
      <c r="C55" s="30">
        <v>47117.0</v>
      </c>
      <c r="D55" s="8">
        <f t="shared" si="1"/>
        <v>1851650.07</v>
      </c>
      <c r="E55" s="46"/>
      <c r="F55" s="8">
        <f t="shared" si="2"/>
        <v>272475.9472</v>
      </c>
      <c r="G55" s="8">
        <f t="shared" si="3"/>
        <v>1579174.123</v>
      </c>
      <c r="H55" s="8">
        <f t="shared" si="4"/>
        <v>25668420.6</v>
      </c>
      <c r="J55" s="5"/>
    </row>
    <row r="56" ht="15.75" customHeight="1">
      <c r="B56" s="2"/>
      <c r="C56" s="30">
        <v>47148.0</v>
      </c>
      <c r="D56" s="8">
        <f t="shared" si="1"/>
        <v>1851650.07</v>
      </c>
      <c r="E56" s="46"/>
      <c r="F56" s="8">
        <f t="shared" si="2"/>
        <v>256684.206</v>
      </c>
      <c r="G56" s="8">
        <f t="shared" si="3"/>
        <v>1594965.864</v>
      </c>
      <c r="H56" s="8">
        <f t="shared" si="4"/>
        <v>24073454.73</v>
      </c>
      <c r="J56" s="5"/>
    </row>
    <row r="57" ht="15.75" customHeight="1">
      <c r="B57" s="2"/>
      <c r="C57" s="30">
        <v>47177.0</v>
      </c>
      <c r="D57" s="8">
        <f t="shared" si="1"/>
        <v>1851650.07</v>
      </c>
      <c r="E57" s="46"/>
      <c r="F57" s="8">
        <f t="shared" si="2"/>
        <v>240734.5473</v>
      </c>
      <c r="G57" s="8">
        <f t="shared" si="3"/>
        <v>1610915.522</v>
      </c>
      <c r="H57" s="8">
        <f t="shared" si="4"/>
        <v>22462539.21</v>
      </c>
      <c r="J57" s="5"/>
    </row>
    <row r="58" ht="15.75" customHeight="1">
      <c r="B58" s="2"/>
      <c r="C58" s="30">
        <v>47207.0</v>
      </c>
      <c r="D58" s="8">
        <f t="shared" si="1"/>
        <v>1851650.07</v>
      </c>
      <c r="E58" s="46"/>
      <c r="F58" s="8">
        <f t="shared" si="2"/>
        <v>224625.3921</v>
      </c>
      <c r="G58" s="8">
        <f t="shared" si="3"/>
        <v>1627024.678</v>
      </c>
      <c r="H58" s="8">
        <f t="shared" si="4"/>
        <v>20835514.53</v>
      </c>
      <c r="J58" s="5"/>
    </row>
    <row r="59" ht="15.75" customHeight="1">
      <c r="B59" s="2"/>
      <c r="C59" s="30">
        <v>47238.0</v>
      </c>
      <c r="D59" s="8">
        <f t="shared" si="1"/>
        <v>1851650.07</v>
      </c>
      <c r="E59" s="46"/>
      <c r="F59" s="8">
        <f t="shared" si="2"/>
        <v>208355.1453</v>
      </c>
      <c r="G59" s="8">
        <f t="shared" si="3"/>
        <v>1643294.924</v>
      </c>
      <c r="H59" s="8">
        <f t="shared" si="4"/>
        <v>19192219.61</v>
      </c>
      <c r="J59" s="5"/>
    </row>
    <row r="60" ht="15.75" customHeight="1">
      <c r="B60" s="2"/>
      <c r="C60" s="30">
        <v>47268.0</v>
      </c>
      <c r="D60" s="8">
        <f t="shared" si="1"/>
        <v>1851650.07</v>
      </c>
      <c r="E60" s="46"/>
      <c r="F60" s="8">
        <f t="shared" si="2"/>
        <v>191922.1961</v>
      </c>
      <c r="G60" s="8">
        <f t="shared" si="3"/>
        <v>1659727.874</v>
      </c>
      <c r="H60" s="8">
        <f t="shared" si="4"/>
        <v>17532491.74</v>
      </c>
      <c r="J60" s="5"/>
    </row>
    <row r="61" ht="15.75" customHeight="1">
      <c r="B61" s="2"/>
      <c r="C61" s="30">
        <v>47299.0</v>
      </c>
      <c r="D61" s="8">
        <f t="shared" si="1"/>
        <v>1851650.07</v>
      </c>
      <c r="E61" s="46"/>
      <c r="F61" s="8">
        <f t="shared" si="2"/>
        <v>175324.9174</v>
      </c>
      <c r="G61" s="8">
        <f t="shared" si="3"/>
        <v>1676325.152</v>
      </c>
      <c r="H61" s="8">
        <f t="shared" si="4"/>
        <v>15856166.58</v>
      </c>
      <c r="J61" s="5"/>
    </row>
    <row r="62" ht="15.75" customHeight="1">
      <c r="B62" s="2"/>
      <c r="C62" s="30">
        <v>47329.0</v>
      </c>
      <c r="D62" s="8">
        <f t="shared" si="1"/>
        <v>1851650.07</v>
      </c>
      <c r="E62" s="46"/>
      <c r="F62" s="8">
        <f t="shared" si="2"/>
        <v>158561.6658</v>
      </c>
      <c r="G62" s="8">
        <f t="shared" si="3"/>
        <v>1693088.404</v>
      </c>
      <c r="H62" s="8">
        <f t="shared" si="4"/>
        <v>14163078.18</v>
      </c>
      <c r="J62" s="5"/>
    </row>
    <row r="63" ht="15.75" customHeight="1">
      <c r="B63" s="2"/>
      <c r="C63" s="30">
        <v>47360.0</v>
      </c>
      <c r="D63" s="8">
        <f t="shared" si="1"/>
        <v>1851650.07</v>
      </c>
      <c r="E63" s="46"/>
      <c r="F63" s="8">
        <f t="shared" si="2"/>
        <v>141630.7818</v>
      </c>
      <c r="G63" s="8">
        <f t="shared" si="3"/>
        <v>1710019.288</v>
      </c>
      <c r="H63" s="8">
        <f t="shared" si="4"/>
        <v>12453058.89</v>
      </c>
      <c r="J63" s="5"/>
    </row>
    <row r="64" ht="15.75" customHeight="1">
      <c r="B64" s="2"/>
      <c r="C64" s="30">
        <v>47391.0</v>
      </c>
      <c r="D64" s="8">
        <f t="shared" si="1"/>
        <v>1851650.07</v>
      </c>
      <c r="E64" s="46"/>
      <c r="F64" s="8">
        <f t="shared" si="2"/>
        <v>124530.5889</v>
      </c>
      <c r="G64" s="8">
        <f t="shared" si="3"/>
        <v>1727119.481</v>
      </c>
      <c r="H64" s="8">
        <f t="shared" si="4"/>
        <v>10725939.41</v>
      </c>
      <c r="J64" s="5"/>
    </row>
    <row r="65" ht="15.75" customHeight="1">
      <c r="B65" s="2"/>
      <c r="C65" s="30">
        <v>47421.0</v>
      </c>
      <c r="D65" s="8">
        <f t="shared" si="1"/>
        <v>1851650.07</v>
      </c>
      <c r="E65" s="46"/>
      <c r="F65" s="8">
        <f t="shared" si="2"/>
        <v>107259.3941</v>
      </c>
      <c r="G65" s="8">
        <f t="shared" si="3"/>
        <v>1744390.676</v>
      </c>
      <c r="H65" s="8">
        <f t="shared" si="4"/>
        <v>8981548.734</v>
      </c>
      <c r="J65" s="5"/>
    </row>
    <row r="66" ht="15.75" customHeight="1">
      <c r="B66" s="2"/>
      <c r="C66" s="30">
        <v>47452.0</v>
      </c>
      <c r="D66" s="8">
        <f t="shared" si="1"/>
        <v>1851650.07</v>
      </c>
      <c r="E66" s="46"/>
      <c r="F66" s="8">
        <f t="shared" si="2"/>
        <v>89815.48734</v>
      </c>
      <c r="G66" s="8">
        <f t="shared" si="3"/>
        <v>1761834.582</v>
      </c>
      <c r="H66" s="8">
        <f t="shared" si="4"/>
        <v>7219714.152</v>
      </c>
      <c r="J66" s="5"/>
    </row>
    <row r="67" ht="15.75" customHeight="1">
      <c r="B67" s="2"/>
      <c r="C67" s="30">
        <v>47482.0</v>
      </c>
      <c r="D67" s="8">
        <f t="shared" si="1"/>
        <v>1851650.07</v>
      </c>
      <c r="E67" s="46"/>
      <c r="F67" s="8">
        <f t="shared" si="2"/>
        <v>72197.14152</v>
      </c>
      <c r="G67" s="8">
        <f t="shared" si="3"/>
        <v>1779452.928</v>
      </c>
      <c r="H67" s="8">
        <f t="shared" si="4"/>
        <v>5440261.224</v>
      </c>
      <c r="J67" s="5"/>
    </row>
    <row r="68" ht="15.75" customHeight="1">
      <c r="B68" s="2"/>
      <c r="C68" s="30">
        <v>47513.0</v>
      </c>
      <c r="D68" s="8">
        <f t="shared" si="1"/>
        <v>1851650.07</v>
      </c>
      <c r="E68" s="46"/>
      <c r="F68" s="8">
        <f t="shared" si="2"/>
        <v>54402.61224</v>
      </c>
      <c r="G68" s="8">
        <f t="shared" si="3"/>
        <v>1797247.458</v>
      </c>
      <c r="H68" s="8">
        <f t="shared" si="4"/>
        <v>3643013.766</v>
      </c>
      <c r="J68" s="5"/>
    </row>
    <row r="69" ht="15.75" customHeight="1">
      <c r="B69" s="2"/>
      <c r="C69" s="30">
        <v>47542.0</v>
      </c>
      <c r="D69" s="8">
        <f t="shared" si="1"/>
        <v>1851650.07</v>
      </c>
      <c r="E69" s="46"/>
      <c r="F69" s="8">
        <f t="shared" si="2"/>
        <v>36430.13766</v>
      </c>
      <c r="G69" s="8">
        <f t="shared" si="3"/>
        <v>1815219.932</v>
      </c>
      <c r="H69" s="8">
        <f t="shared" si="4"/>
        <v>1827793.834</v>
      </c>
      <c r="J69" s="5"/>
    </row>
    <row r="70" ht="15.75" customHeight="1">
      <c r="B70" s="2"/>
      <c r="C70" s="30">
        <v>47572.0</v>
      </c>
      <c r="D70" s="8">
        <f t="shared" si="1"/>
        <v>1851650.07</v>
      </c>
      <c r="E70" s="46"/>
      <c r="F70" s="8">
        <f t="shared" si="2"/>
        <v>18277.93834</v>
      </c>
      <c r="G70" s="8">
        <f t="shared" si="3"/>
        <v>1833372.131</v>
      </c>
      <c r="H70" s="8">
        <f t="shared" si="4"/>
        <v>-5578.297236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4.56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384</v>
      </c>
      <c r="J1" s="5"/>
    </row>
    <row r="2" ht="15.75" customHeight="1">
      <c r="B2" s="2"/>
      <c r="C2" s="1" t="s">
        <v>6</v>
      </c>
      <c r="D2" s="6">
        <f>+A5*10%</f>
        <v>15513300</v>
      </c>
      <c r="E2" s="7"/>
      <c r="J2" s="5"/>
    </row>
    <row r="3" ht="15.75" customHeight="1">
      <c r="B3" s="2"/>
      <c r="C3" s="1" t="s">
        <v>7</v>
      </c>
      <c r="D3" s="8">
        <f>+A5-D2</f>
        <v>139619700</v>
      </c>
      <c r="E3" s="12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1.55133E8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3105763.112</v>
      </c>
      <c r="E6" s="12"/>
      <c r="H6" s="5"/>
      <c r="J6" s="5"/>
    </row>
    <row r="7" ht="15.75" customHeight="1">
      <c r="B7" s="2"/>
      <c r="C7" s="1" t="s">
        <v>12</v>
      </c>
      <c r="D7" s="20" t="s">
        <v>388</v>
      </c>
      <c r="H7" s="5"/>
      <c r="J7" s="5"/>
    </row>
    <row r="8" ht="15.75" customHeight="1">
      <c r="B8" s="2"/>
      <c r="C8" s="1" t="s">
        <v>16</v>
      </c>
      <c r="D8" s="16">
        <v>3.1294884E7</v>
      </c>
      <c r="H8" s="5"/>
      <c r="I8" s="17"/>
      <c r="J8" s="19"/>
      <c r="K8" s="17"/>
      <c r="L8" s="21" t="s">
        <v>390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12"/>
      <c r="F10" s="8"/>
      <c r="G10" s="8"/>
      <c r="H10" s="8">
        <f>+D3</f>
        <v>139619700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2.01859087E8</v>
      </c>
      <c r="U10" s="25"/>
    </row>
    <row r="11" ht="15.75" customHeight="1">
      <c r="A11" s="29">
        <v>45716.0</v>
      </c>
      <c r="B11" s="2" t="s">
        <v>392</v>
      </c>
      <c r="C11" s="30">
        <v>45716.0</v>
      </c>
      <c r="D11" s="8">
        <f t="shared" ref="D11:D70" si="1">$D$6</f>
        <v>3105763.112</v>
      </c>
      <c r="E11" s="15">
        <f>10000000-D11</f>
        <v>6894236.888</v>
      </c>
      <c r="F11" s="8">
        <f t="shared" ref="F11:F70" si="2">+H10*$D$4</f>
        <v>1396197</v>
      </c>
      <c r="G11" s="8">
        <f t="shared" ref="G11:G70" si="3">+D11+E11-F11</f>
        <v>8603803</v>
      </c>
      <c r="H11" s="8">
        <f t="shared" ref="H11:H70" si="4">+H10-G11</f>
        <v>131015897</v>
      </c>
      <c r="J11" s="5"/>
      <c r="L11" s="33">
        <v>45610.0</v>
      </c>
      <c r="M11" s="34" t="s">
        <v>44</v>
      </c>
      <c r="N11" s="35" t="s">
        <v>395</v>
      </c>
      <c r="O11" s="36"/>
      <c r="P11" s="36">
        <v>2500000.0</v>
      </c>
      <c r="Q11" s="36"/>
      <c r="R11" s="36"/>
      <c r="S11" s="36">
        <f t="shared" ref="S11:S31" si="5">SUM(O11:R11)</f>
        <v>2500000</v>
      </c>
      <c r="T11" s="36">
        <f t="shared" ref="T11:T31" si="6">T10-S11</f>
        <v>199359087</v>
      </c>
      <c r="U11" s="34"/>
    </row>
    <row r="12" ht="15.75" customHeight="1">
      <c r="A12" s="29">
        <v>45744.0</v>
      </c>
      <c r="B12" s="2" t="s">
        <v>397</v>
      </c>
      <c r="C12" s="30">
        <v>45746.0</v>
      </c>
      <c r="D12" s="8">
        <f t="shared" si="1"/>
        <v>3105763.112</v>
      </c>
      <c r="E12" s="15"/>
      <c r="F12" s="8">
        <f t="shared" si="2"/>
        <v>1310158.97</v>
      </c>
      <c r="G12" s="8">
        <f t="shared" si="3"/>
        <v>1795604.142</v>
      </c>
      <c r="H12" s="8">
        <f t="shared" si="4"/>
        <v>129220292.9</v>
      </c>
      <c r="J12" s="5"/>
      <c r="L12" s="33">
        <v>45611.0</v>
      </c>
      <c r="M12" s="34" t="s">
        <v>44</v>
      </c>
      <c r="N12" s="35" t="s">
        <v>398</v>
      </c>
      <c r="O12" s="36"/>
      <c r="P12" s="36">
        <v>2500000.0</v>
      </c>
      <c r="Q12" s="36"/>
      <c r="R12" s="36"/>
      <c r="S12" s="36">
        <f t="shared" si="5"/>
        <v>2500000</v>
      </c>
      <c r="T12" s="36">
        <f t="shared" si="6"/>
        <v>196859087</v>
      </c>
      <c r="U12" s="34"/>
    </row>
    <row r="13" ht="15.75" customHeight="1">
      <c r="A13" s="29">
        <v>45775.0</v>
      </c>
      <c r="B13" s="2" t="s">
        <v>400</v>
      </c>
      <c r="C13" s="30">
        <v>45777.0</v>
      </c>
      <c r="D13" s="8">
        <f t="shared" si="1"/>
        <v>3105763.112</v>
      </c>
      <c r="E13" s="15">
        <f>3000000+1894237-D13</f>
        <v>1788473.888</v>
      </c>
      <c r="F13" s="8">
        <f t="shared" si="2"/>
        <v>1292202.929</v>
      </c>
      <c r="G13" s="8">
        <f t="shared" si="3"/>
        <v>3602034.071</v>
      </c>
      <c r="H13" s="8">
        <f t="shared" si="4"/>
        <v>125618258.8</v>
      </c>
      <c r="J13" s="5" t="s">
        <v>56</v>
      </c>
      <c r="L13" s="33">
        <v>45644.0</v>
      </c>
      <c r="M13" s="34" t="s">
        <v>44</v>
      </c>
      <c r="N13" s="35" t="s">
        <v>402</v>
      </c>
      <c r="O13" s="36"/>
      <c r="P13" s="36">
        <v>1.05133E7</v>
      </c>
      <c r="Q13" s="36"/>
      <c r="R13" s="36"/>
      <c r="S13" s="36">
        <f t="shared" si="5"/>
        <v>10513300</v>
      </c>
      <c r="T13" s="36">
        <f t="shared" si="6"/>
        <v>186345787</v>
      </c>
      <c r="U13" s="34"/>
    </row>
    <row r="14" ht="15.75" customHeight="1">
      <c r="A14" s="29">
        <v>45805.0</v>
      </c>
      <c r="B14" s="2" t="s">
        <v>403</v>
      </c>
      <c r="C14" s="30">
        <v>45807.0</v>
      </c>
      <c r="D14" s="8">
        <f t="shared" si="1"/>
        <v>3105763.112</v>
      </c>
      <c r="E14" s="15">
        <f>5000000-D14</f>
        <v>1894236.888</v>
      </c>
      <c r="F14" s="8">
        <f t="shared" si="2"/>
        <v>1256182.588</v>
      </c>
      <c r="G14" s="8">
        <f t="shared" si="3"/>
        <v>3743817.412</v>
      </c>
      <c r="H14" s="8">
        <f t="shared" si="4"/>
        <v>121874441.4</v>
      </c>
      <c r="J14" s="8">
        <f>+H10</f>
        <v>139619700</v>
      </c>
      <c r="L14" s="33">
        <v>45716.0</v>
      </c>
      <c r="M14" s="34" t="s">
        <v>404</v>
      </c>
      <c r="N14" s="35" t="s">
        <v>392</v>
      </c>
      <c r="O14" s="36"/>
      <c r="P14" s="36">
        <v>1.0E7</v>
      </c>
      <c r="Q14" s="36"/>
      <c r="R14" s="36"/>
      <c r="S14" s="36">
        <f t="shared" si="5"/>
        <v>10000000</v>
      </c>
      <c r="T14" s="36">
        <f t="shared" si="6"/>
        <v>176345787</v>
      </c>
      <c r="U14" s="34"/>
    </row>
    <row r="15" ht="15.75" customHeight="1">
      <c r="A15" s="29">
        <v>45836.0</v>
      </c>
      <c r="B15" s="2" t="s">
        <v>405</v>
      </c>
      <c r="C15" s="30">
        <v>45838.0</v>
      </c>
      <c r="D15" s="8">
        <f t="shared" si="1"/>
        <v>3105763.112</v>
      </c>
      <c r="E15" s="15"/>
      <c r="F15" s="8">
        <f t="shared" si="2"/>
        <v>1218744.414</v>
      </c>
      <c r="G15" s="8">
        <f t="shared" si="3"/>
        <v>1887018.699</v>
      </c>
      <c r="H15" s="8">
        <f t="shared" si="4"/>
        <v>119987422.7</v>
      </c>
      <c r="J15" s="5"/>
      <c r="L15" s="33">
        <v>45744.0</v>
      </c>
      <c r="M15" s="34" t="s">
        <v>406</v>
      </c>
      <c r="N15" s="35" t="s">
        <v>397</v>
      </c>
      <c r="O15" s="36"/>
      <c r="P15" s="36">
        <v>5000000.0</v>
      </c>
      <c r="Q15" s="36"/>
      <c r="R15" s="36"/>
      <c r="S15" s="36">
        <f t="shared" si="5"/>
        <v>5000000</v>
      </c>
      <c r="T15" s="36">
        <f t="shared" si="6"/>
        <v>171345787</v>
      </c>
      <c r="U15" s="34"/>
    </row>
    <row r="16" ht="15.75" customHeight="1">
      <c r="A16" s="29">
        <v>45894.0</v>
      </c>
      <c r="B16" s="2" t="s">
        <v>407</v>
      </c>
      <c r="C16" s="30">
        <v>45868.0</v>
      </c>
      <c r="D16" s="8">
        <f t="shared" si="1"/>
        <v>3105763.112</v>
      </c>
      <c r="E16" s="15"/>
      <c r="F16" s="8">
        <f t="shared" si="2"/>
        <v>1199874.227</v>
      </c>
      <c r="G16" s="8">
        <f t="shared" si="3"/>
        <v>1905888.886</v>
      </c>
      <c r="H16" s="8">
        <f t="shared" si="4"/>
        <v>118081533.8</v>
      </c>
      <c r="J16" s="5"/>
      <c r="L16" s="33">
        <v>45774.0</v>
      </c>
      <c r="M16" s="34" t="s">
        <v>408</v>
      </c>
      <c r="N16" s="35" t="s">
        <v>400</v>
      </c>
      <c r="O16" s="36"/>
      <c r="P16" s="36">
        <v>3000000.0</v>
      </c>
      <c r="Q16" s="36"/>
      <c r="R16" s="36"/>
      <c r="S16" s="36">
        <f t="shared" si="5"/>
        <v>3000000</v>
      </c>
      <c r="T16" s="36">
        <f t="shared" si="6"/>
        <v>168345787</v>
      </c>
      <c r="U16" s="34"/>
    </row>
    <row r="17" ht="15.75" customHeight="1">
      <c r="A17" s="29">
        <v>45898.0</v>
      </c>
      <c r="B17" s="2" t="s">
        <v>409</v>
      </c>
      <c r="C17" s="30">
        <v>45899.0</v>
      </c>
      <c r="D17" s="8">
        <f t="shared" si="1"/>
        <v>3105763.112</v>
      </c>
      <c r="E17" s="15"/>
      <c r="F17" s="8">
        <f t="shared" si="2"/>
        <v>1180815.338</v>
      </c>
      <c r="G17" s="8">
        <f t="shared" si="3"/>
        <v>1924947.775</v>
      </c>
      <c r="H17" s="8">
        <f t="shared" si="4"/>
        <v>116156586</v>
      </c>
      <c r="J17" s="5"/>
      <c r="L17" s="33">
        <v>45805.0</v>
      </c>
      <c r="M17" s="34" t="s">
        <v>410</v>
      </c>
      <c r="N17" s="35" t="s">
        <v>403</v>
      </c>
      <c r="O17" s="36"/>
      <c r="P17" s="36">
        <v>5000000.0</v>
      </c>
      <c r="Q17" s="36"/>
      <c r="R17" s="36"/>
      <c r="S17" s="36">
        <f t="shared" si="5"/>
        <v>5000000</v>
      </c>
      <c r="T17" s="36">
        <f t="shared" si="6"/>
        <v>163345787</v>
      </c>
      <c r="U17" s="34"/>
    </row>
    <row r="18" ht="15.75" customHeight="1">
      <c r="A18" s="29">
        <v>45930.0</v>
      </c>
      <c r="B18" s="2" t="s">
        <v>411</v>
      </c>
      <c r="C18" s="30">
        <v>45930.0</v>
      </c>
      <c r="D18" s="8">
        <f t="shared" si="1"/>
        <v>3105763.112</v>
      </c>
      <c r="E18" s="15"/>
      <c r="F18" s="8">
        <f t="shared" si="2"/>
        <v>1161565.86</v>
      </c>
      <c r="G18" s="8">
        <f t="shared" si="3"/>
        <v>1944197.252</v>
      </c>
      <c r="H18" s="8">
        <f t="shared" si="4"/>
        <v>114212388.8</v>
      </c>
      <c r="J18" s="5"/>
      <c r="L18" s="33">
        <v>45836.0</v>
      </c>
      <c r="M18" s="34" t="s">
        <v>89</v>
      </c>
      <c r="N18" s="35" t="s">
        <v>405</v>
      </c>
      <c r="O18" s="36"/>
      <c r="P18" s="36">
        <v>5000000.0</v>
      </c>
      <c r="Q18" s="36"/>
      <c r="R18" s="36"/>
      <c r="S18" s="36">
        <f t="shared" si="5"/>
        <v>5000000</v>
      </c>
      <c r="T18" s="36">
        <f t="shared" si="6"/>
        <v>158345787</v>
      </c>
      <c r="U18" s="34"/>
    </row>
    <row r="19" ht="15.75" customHeight="1">
      <c r="A19" s="29">
        <v>45957.0</v>
      </c>
      <c r="B19" s="2" t="s">
        <v>412</v>
      </c>
      <c r="C19" s="30">
        <v>45960.0</v>
      </c>
      <c r="D19" s="8">
        <f t="shared" si="1"/>
        <v>3105763.112</v>
      </c>
      <c r="E19" s="15"/>
      <c r="F19" s="8">
        <f t="shared" si="2"/>
        <v>1142123.888</v>
      </c>
      <c r="G19" s="8">
        <f t="shared" si="3"/>
        <v>1963639.225</v>
      </c>
      <c r="H19" s="8">
        <f t="shared" si="4"/>
        <v>112248749.5</v>
      </c>
      <c r="I19" s="1"/>
      <c r="J19" s="41"/>
      <c r="K19" s="1"/>
      <c r="L19" s="42">
        <v>45875.0</v>
      </c>
      <c r="M19" s="43" t="s">
        <v>93</v>
      </c>
      <c r="N19" s="44" t="s">
        <v>407</v>
      </c>
      <c r="O19" s="45"/>
      <c r="P19" s="45">
        <v>3000000.0</v>
      </c>
      <c r="Q19" s="45"/>
      <c r="R19" s="45"/>
      <c r="S19" s="45">
        <f t="shared" si="5"/>
        <v>3000000</v>
      </c>
      <c r="T19" s="45">
        <f t="shared" si="6"/>
        <v>155345787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45991.0</v>
      </c>
      <c r="B20" s="2" t="s">
        <v>413</v>
      </c>
      <c r="C20" s="30">
        <v>45991.0</v>
      </c>
      <c r="D20" s="8">
        <f t="shared" si="1"/>
        <v>3105763.112</v>
      </c>
      <c r="E20" s="15"/>
      <c r="F20" s="8">
        <f t="shared" si="2"/>
        <v>1122487.495</v>
      </c>
      <c r="G20" s="8">
        <f t="shared" si="3"/>
        <v>1983275.617</v>
      </c>
      <c r="H20" s="8">
        <f t="shared" si="4"/>
        <v>110265473.9</v>
      </c>
      <c r="J20" s="5"/>
      <c r="L20" s="33">
        <v>45898.0</v>
      </c>
      <c r="M20" s="34" t="s">
        <v>96</v>
      </c>
      <c r="N20" s="35" t="s">
        <v>409</v>
      </c>
      <c r="O20" s="36"/>
      <c r="P20" s="36">
        <v>3000000.0</v>
      </c>
      <c r="Q20" s="36"/>
      <c r="R20" s="36"/>
      <c r="S20" s="36">
        <f t="shared" si="5"/>
        <v>3000000</v>
      </c>
      <c r="T20" s="36">
        <f t="shared" si="6"/>
        <v>152345787</v>
      </c>
      <c r="U20" s="34"/>
    </row>
    <row r="21" ht="15.75" customHeight="1">
      <c r="A21" s="29">
        <v>46024.0</v>
      </c>
      <c r="B21" s="2" t="s">
        <v>414</v>
      </c>
      <c r="C21" s="30">
        <v>46021.0</v>
      </c>
      <c r="D21" s="8">
        <f t="shared" si="1"/>
        <v>3105763.112</v>
      </c>
      <c r="E21" s="15"/>
      <c r="F21" s="8">
        <f t="shared" si="2"/>
        <v>1102654.739</v>
      </c>
      <c r="G21" s="8">
        <f t="shared" si="3"/>
        <v>2003108.373</v>
      </c>
      <c r="H21" s="8">
        <f t="shared" si="4"/>
        <v>108262365.5</v>
      </c>
      <c r="J21" s="5"/>
      <c r="L21" s="33">
        <v>45930.0</v>
      </c>
      <c r="M21" s="34" t="s">
        <v>100</v>
      </c>
      <c r="N21" s="35" t="s">
        <v>411</v>
      </c>
      <c r="O21" s="36"/>
      <c r="P21" s="36">
        <v>3000000.0</v>
      </c>
      <c r="Q21" s="36"/>
      <c r="R21" s="36"/>
      <c r="S21" s="36">
        <f t="shared" si="5"/>
        <v>3000000</v>
      </c>
      <c r="T21" s="36">
        <f t="shared" si="6"/>
        <v>149345787</v>
      </c>
      <c r="U21" s="34"/>
    </row>
    <row r="22" ht="15.75" customHeight="1">
      <c r="A22" s="29">
        <v>46050.0</v>
      </c>
      <c r="B22" s="2" t="s">
        <v>415</v>
      </c>
      <c r="C22" s="30">
        <v>46052.0</v>
      </c>
      <c r="D22" s="8">
        <f t="shared" si="1"/>
        <v>3105763.112</v>
      </c>
      <c r="E22" s="15"/>
      <c r="F22" s="8">
        <f t="shared" si="2"/>
        <v>1082623.655</v>
      </c>
      <c r="G22" s="8">
        <f t="shared" si="3"/>
        <v>2023139.457</v>
      </c>
      <c r="H22" s="8">
        <f t="shared" si="4"/>
        <v>106239226.1</v>
      </c>
      <c r="J22" s="5"/>
      <c r="L22" s="33">
        <v>45957.0</v>
      </c>
      <c r="M22" s="34" t="s">
        <v>103</v>
      </c>
      <c r="N22" s="35" t="s">
        <v>412</v>
      </c>
      <c r="O22" s="36"/>
      <c r="P22" s="36">
        <v>3000000.0</v>
      </c>
      <c r="Q22" s="36"/>
      <c r="R22" s="36"/>
      <c r="S22" s="36">
        <f t="shared" si="5"/>
        <v>3000000</v>
      </c>
      <c r="T22" s="36">
        <f t="shared" si="6"/>
        <v>146345787</v>
      </c>
      <c r="U22" s="34"/>
    </row>
    <row r="23" ht="15.75" customHeight="1">
      <c r="A23" s="29">
        <v>46083.0</v>
      </c>
      <c r="B23" s="2" t="s">
        <v>416</v>
      </c>
      <c r="C23" s="30">
        <v>46081.0</v>
      </c>
      <c r="D23" s="8">
        <f t="shared" si="1"/>
        <v>3105763.112</v>
      </c>
      <c r="E23" s="8"/>
      <c r="F23" s="8">
        <f t="shared" si="2"/>
        <v>1062392.261</v>
      </c>
      <c r="G23" s="8">
        <f t="shared" si="3"/>
        <v>2043370.852</v>
      </c>
      <c r="H23" s="8">
        <f t="shared" si="4"/>
        <v>104195855.2</v>
      </c>
      <c r="J23" s="5"/>
      <c r="L23" s="33">
        <v>45991.0</v>
      </c>
      <c r="M23" s="34" t="s">
        <v>107</v>
      </c>
      <c r="N23" s="35" t="s">
        <v>413</v>
      </c>
      <c r="O23" s="36"/>
      <c r="P23" s="36">
        <v>3000000.0</v>
      </c>
      <c r="Q23" s="36"/>
      <c r="R23" s="36"/>
      <c r="S23" s="36">
        <f t="shared" si="5"/>
        <v>3000000</v>
      </c>
      <c r="T23" s="36">
        <f t="shared" si="6"/>
        <v>143345787</v>
      </c>
      <c r="U23" s="34"/>
    </row>
    <row r="24" ht="15.75" customHeight="1">
      <c r="A24" s="29">
        <v>46113.0</v>
      </c>
      <c r="B24" s="2" t="s">
        <v>417</v>
      </c>
      <c r="C24" s="30">
        <v>46111.0</v>
      </c>
      <c r="D24" s="8">
        <f t="shared" si="1"/>
        <v>3105763.112</v>
      </c>
      <c r="E24" s="8"/>
      <c r="F24" s="8">
        <f t="shared" si="2"/>
        <v>1041958.552</v>
      </c>
      <c r="G24" s="8">
        <f t="shared" si="3"/>
        <v>2063804.56</v>
      </c>
      <c r="H24" s="8">
        <f t="shared" si="4"/>
        <v>102132050.7</v>
      </c>
      <c r="J24" s="5"/>
      <c r="L24" s="33">
        <v>46024.0</v>
      </c>
      <c r="M24" s="34" t="s">
        <v>112</v>
      </c>
      <c r="N24" s="35" t="s">
        <v>414</v>
      </c>
      <c r="O24" s="36"/>
      <c r="P24" s="36">
        <v>3000000.0</v>
      </c>
      <c r="Q24" s="36"/>
      <c r="R24" s="36"/>
      <c r="S24" s="36">
        <f t="shared" si="5"/>
        <v>3000000</v>
      </c>
      <c r="T24" s="36">
        <f t="shared" si="6"/>
        <v>140345787</v>
      </c>
      <c r="U24" s="34"/>
    </row>
    <row r="25" ht="15.75" customHeight="1">
      <c r="A25" s="29">
        <v>46139.0</v>
      </c>
      <c r="B25" s="2" t="s">
        <v>418</v>
      </c>
      <c r="C25" s="30">
        <v>46142.0</v>
      </c>
      <c r="D25" s="8">
        <f t="shared" si="1"/>
        <v>3105763.112</v>
      </c>
      <c r="E25" s="8"/>
      <c r="F25" s="8">
        <f t="shared" si="2"/>
        <v>1021320.507</v>
      </c>
      <c r="G25" s="8">
        <f t="shared" si="3"/>
        <v>2084442.606</v>
      </c>
      <c r="H25" s="8">
        <f t="shared" si="4"/>
        <v>100047608.1</v>
      </c>
      <c r="J25" s="5"/>
      <c r="L25" s="33">
        <v>46050.0</v>
      </c>
      <c r="M25" s="34" t="s">
        <v>115</v>
      </c>
      <c r="N25" s="35" t="s">
        <v>415</v>
      </c>
      <c r="O25" s="36"/>
      <c r="P25" s="36">
        <v>3000000.0</v>
      </c>
      <c r="Q25" s="36"/>
      <c r="R25" s="36"/>
      <c r="S25" s="36">
        <f t="shared" si="5"/>
        <v>3000000</v>
      </c>
      <c r="T25" s="36">
        <f t="shared" si="6"/>
        <v>137345787</v>
      </c>
      <c r="U25" s="34"/>
    </row>
    <row r="26" ht="15.75" customHeight="1">
      <c r="A26" s="29">
        <v>46172.0</v>
      </c>
      <c r="B26" s="2" t="s">
        <v>419</v>
      </c>
      <c r="C26" s="30">
        <v>46172.0</v>
      </c>
      <c r="D26" s="8">
        <f t="shared" si="1"/>
        <v>3105763.112</v>
      </c>
      <c r="E26" s="8"/>
      <c r="F26" s="8">
        <f t="shared" si="2"/>
        <v>1000476.081</v>
      </c>
      <c r="G26" s="8">
        <f t="shared" si="3"/>
        <v>2105287.032</v>
      </c>
      <c r="H26" s="8">
        <f t="shared" si="4"/>
        <v>97942321.04</v>
      </c>
      <c r="J26" s="5"/>
      <c r="L26" s="33">
        <v>46083.0</v>
      </c>
      <c r="M26" s="34" t="s">
        <v>116</v>
      </c>
      <c r="N26" s="35" t="s">
        <v>416</v>
      </c>
      <c r="O26" s="36"/>
      <c r="P26" s="36">
        <v>3000000.0</v>
      </c>
      <c r="Q26" s="36"/>
      <c r="R26" s="36"/>
      <c r="S26" s="36">
        <f t="shared" si="5"/>
        <v>3000000</v>
      </c>
      <c r="T26" s="36">
        <f t="shared" si="6"/>
        <v>134345787</v>
      </c>
      <c r="U26" s="34"/>
    </row>
    <row r="27" ht="15.75" customHeight="1">
      <c r="A27" s="29">
        <v>46200.0</v>
      </c>
      <c r="B27" s="2" t="s">
        <v>420</v>
      </c>
      <c r="C27" s="30">
        <v>46203.0</v>
      </c>
      <c r="D27" s="8">
        <f t="shared" si="1"/>
        <v>3105763.112</v>
      </c>
      <c r="E27" s="8"/>
      <c r="F27" s="8">
        <f t="shared" si="2"/>
        <v>979423.2104</v>
      </c>
      <c r="G27" s="8">
        <f t="shared" si="3"/>
        <v>2126339.902</v>
      </c>
      <c r="H27" s="8">
        <f t="shared" si="4"/>
        <v>95815981.14</v>
      </c>
      <c r="J27" s="5"/>
      <c r="L27" s="33">
        <v>46113.0</v>
      </c>
      <c r="M27" s="34" t="s">
        <v>118</v>
      </c>
      <c r="N27" s="35" t="s">
        <v>417</v>
      </c>
      <c r="O27" s="36"/>
      <c r="P27" s="36">
        <v>3000000.0</v>
      </c>
      <c r="Q27" s="36"/>
      <c r="R27" s="36"/>
      <c r="S27" s="36">
        <f t="shared" si="5"/>
        <v>3000000</v>
      </c>
      <c r="T27" s="36">
        <f t="shared" si="6"/>
        <v>131345787</v>
      </c>
      <c r="U27" s="34"/>
    </row>
    <row r="28" ht="15.75" customHeight="1">
      <c r="A28" s="29">
        <v>46233.0</v>
      </c>
      <c r="B28" s="2" t="s">
        <v>421</v>
      </c>
      <c r="C28" s="30">
        <v>46233.0</v>
      </c>
      <c r="D28" s="8">
        <f t="shared" si="1"/>
        <v>3105763.112</v>
      </c>
      <c r="E28" s="8">
        <f>3000000+625081-D28</f>
        <v>519317.8876</v>
      </c>
      <c r="F28" s="8">
        <f t="shared" si="2"/>
        <v>958159.8114</v>
      </c>
      <c r="G28" s="8">
        <f t="shared" si="3"/>
        <v>2666921.189</v>
      </c>
      <c r="H28" s="8">
        <f t="shared" si="4"/>
        <v>93149059.95</v>
      </c>
      <c r="J28" s="5"/>
      <c r="L28" s="33">
        <v>46139.0</v>
      </c>
      <c r="M28" s="34" t="s">
        <v>120</v>
      </c>
      <c r="N28" s="35" t="s">
        <v>418</v>
      </c>
      <c r="O28" s="36"/>
      <c r="P28" s="36">
        <v>3000000.0</v>
      </c>
      <c r="Q28" s="36"/>
      <c r="R28" s="36"/>
      <c r="S28" s="36">
        <f t="shared" si="5"/>
        <v>3000000</v>
      </c>
      <c r="T28" s="36">
        <f t="shared" si="6"/>
        <v>128345787</v>
      </c>
      <c r="U28" s="34"/>
    </row>
    <row r="29" ht="15.75" customHeight="1">
      <c r="B29" s="2"/>
      <c r="C29" s="30">
        <v>46264.0</v>
      </c>
      <c r="D29" s="8">
        <f t="shared" si="1"/>
        <v>3105763.112</v>
      </c>
      <c r="E29" s="8"/>
      <c r="F29" s="8">
        <f t="shared" si="2"/>
        <v>931490.5995</v>
      </c>
      <c r="G29" s="8">
        <f t="shared" si="3"/>
        <v>2174272.513</v>
      </c>
      <c r="H29" s="8">
        <f t="shared" si="4"/>
        <v>90974787.44</v>
      </c>
      <c r="J29" s="5"/>
      <c r="L29" s="33">
        <v>46172.0</v>
      </c>
      <c r="M29" s="34" t="s">
        <v>122</v>
      </c>
      <c r="N29" s="35" t="s">
        <v>419</v>
      </c>
      <c r="O29" s="36"/>
      <c r="P29" s="36">
        <v>3000000.0</v>
      </c>
      <c r="Q29" s="36"/>
      <c r="R29" s="36"/>
      <c r="S29" s="36">
        <f t="shared" si="5"/>
        <v>3000000</v>
      </c>
      <c r="T29" s="36">
        <f t="shared" si="6"/>
        <v>125345787</v>
      </c>
      <c r="U29" s="34"/>
    </row>
    <row r="30" ht="15.75" customHeight="1">
      <c r="B30" s="2"/>
      <c r="C30" s="30">
        <v>46295.0</v>
      </c>
      <c r="D30" s="8">
        <f t="shared" si="1"/>
        <v>3105763.112</v>
      </c>
      <c r="E30" s="8"/>
      <c r="F30" s="8">
        <f t="shared" si="2"/>
        <v>909747.8744</v>
      </c>
      <c r="G30" s="8">
        <f t="shared" si="3"/>
        <v>2196015.238</v>
      </c>
      <c r="H30" s="8">
        <f t="shared" si="4"/>
        <v>88778772.2</v>
      </c>
      <c r="J30" s="5"/>
      <c r="L30" s="33">
        <v>46200.0</v>
      </c>
      <c r="M30" s="34" t="s">
        <v>124</v>
      </c>
      <c r="N30" s="35" t="s">
        <v>420</v>
      </c>
      <c r="O30" s="36"/>
      <c r="P30" s="36">
        <v>3000000.0</v>
      </c>
      <c r="Q30" s="36"/>
      <c r="R30" s="36"/>
      <c r="S30" s="36">
        <f t="shared" si="5"/>
        <v>3000000</v>
      </c>
      <c r="T30" s="36">
        <f t="shared" si="6"/>
        <v>122345787</v>
      </c>
      <c r="U30" s="34"/>
    </row>
    <row r="31" ht="15.75" customHeight="1">
      <c r="B31" s="2"/>
      <c r="C31" s="30">
        <v>46325.0</v>
      </c>
      <c r="D31" s="8">
        <f t="shared" si="1"/>
        <v>3105763.112</v>
      </c>
      <c r="E31" s="8"/>
      <c r="F31" s="8">
        <f t="shared" si="2"/>
        <v>887787.722</v>
      </c>
      <c r="G31" s="8">
        <f t="shared" si="3"/>
        <v>2217975.39</v>
      </c>
      <c r="H31" s="8">
        <f t="shared" si="4"/>
        <v>86560796.81</v>
      </c>
      <c r="J31" s="5"/>
      <c r="L31" s="33">
        <v>46233.0</v>
      </c>
      <c r="M31" s="34" t="s">
        <v>422</v>
      </c>
      <c r="N31" s="35" t="s">
        <v>421</v>
      </c>
      <c r="O31" s="36"/>
      <c r="P31" s="36">
        <v>3000000.0</v>
      </c>
      <c r="Q31" s="36"/>
      <c r="R31" s="36"/>
      <c r="S31" s="36">
        <f t="shared" si="5"/>
        <v>3000000</v>
      </c>
      <c r="T31" s="36">
        <f t="shared" si="6"/>
        <v>119345787</v>
      </c>
      <c r="U31" s="34"/>
    </row>
    <row r="32" ht="15.75" customHeight="1">
      <c r="B32" s="2"/>
      <c r="C32" s="30">
        <v>46356.0</v>
      </c>
      <c r="D32" s="8">
        <f t="shared" si="1"/>
        <v>3105763.112</v>
      </c>
      <c r="E32" s="8"/>
      <c r="F32" s="8">
        <f t="shared" si="2"/>
        <v>865607.9681</v>
      </c>
      <c r="G32" s="8">
        <f t="shared" si="3"/>
        <v>2240155.144</v>
      </c>
      <c r="H32" s="8">
        <f t="shared" si="4"/>
        <v>84320641.67</v>
      </c>
      <c r="J32" s="5"/>
      <c r="L32" s="25"/>
      <c r="M32" s="38" t="s">
        <v>69</v>
      </c>
      <c r="N32" s="39"/>
      <c r="O32" s="27">
        <f t="shared" ref="O32:S32" si="7">SUM(O11:O31)</f>
        <v>0</v>
      </c>
      <c r="P32" s="27">
        <f t="shared" si="7"/>
        <v>82513300</v>
      </c>
      <c r="Q32" s="27">
        <f t="shared" si="7"/>
        <v>0</v>
      </c>
      <c r="R32" s="27">
        <f t="shared" si="7"/>
        <v>0</v>
      </c>
      <c r="S32" s="27">
        <f t="shared" si="7"/>
        <v>82513300</v>
      </c>
      <c r="T32" s="27">
        <f>T31</f>
        <v>119345787</v>
      </c>
      <c r="U32" s="25"/>
    </row>
    <row r="33" ht="15.75" customHeight="1">
      <c r="B33" s="2"/>
      <c r="C33" s="30">
        <v>46386.0</v>
      </c>
      <c r="D33" s="8">
        <f t="shared" si="1"/>
        <v>3105763.112</v>
      </c>
      <c r="E33" s="8"/>
      <c r="F33" s="8">
        <f t="shared" si="2"/>
        <v>843206.4167</v>
      </c>
      <c r="G33" s="8">
        <f t="shared" si="3"/>
        <v>2262556.696</v>
      </c>
      <c r="H33" s="8">
        <f t="shared" si="4"/>
        <v>82058084.97</v>
      </c>
      <c r="J33" s="5"/>
    </row>
    <row r="34" ht="15.75" customHeight="1">
      <c r="B34" s="2"/>
      <c r="C34" s="30">
        <v>46417.0</v>
      </c>
      <c r="D34" s="8">
        <f t="shared" si="1"/>
        <v>3105763.112</v>
      </c>
      <c r="E34" s="8"/>
      <c r="F34" s="8">
        <f t="shared" si="2"/>
        <v>820580.8497</v>
      </c>
      <c r="G34" s="8">
        <f t="shared" si="3"/>
        <v>2285182.263</v>
      </c>
      <c r="H34" s="8">
        <f t="shared" si="4"/>
        <v>79772902.71</v>
      </c>
      <c r="J34" s="5"/>
    </row>
    <row r="35" ht="15.75" customHeight="1">
      <c r="B35" s="2"/>
      <c r="C35" s="30">
        <v>46446.0</v>
      </c>
      <c r="D35" s="8">
        <f t="shared" si="1"/>
        <v>3105763.112</v>
      </c>
      <c r="E35" s="8"/>
      <c r="F35" s="8">
        <f t="shared" si="2"/>
        <v>797729.0271</v>
      </c>
      <c r="G35" s="8">
        <f t="shared" si="3"/>
        <v>2308034.085</v>
      </c>
      <c r="H35" s="8">
        <f t="shared" si="4"/>
        <v>77464868.62</v>
      </c>
      <c r="J35" s="5"/>
    </row>
    <row r="36" ht="15.75" customHeight="1">
      <c r="B36" s="2"/>
      <c r="C36" s="30">
        <v>46476.0</v>
      </c>
      <c r="D36" s="8">
        <f t="shared" si="1"/>
        <v>3105763.112</v>
      </c>
      <c r="E36" s="8"/>
      <c r="F36" s="8">
        <f t="shared" si="2"/>
        <v>774648.6862</v>
      </c>
      <c r="G36" s="8">
        <f t="shared" si="3"/>
        <v>2331114.426</v>
      </c>
      <c r="H36" s="8">
        <f t="shared" si="4"/>
        <v>75133754.2</v>
      </c>
      <c r="J36" s="5"/>
    </row>
    <row r="37" ht="15.75" customHeight="1">
      <c r="B37" s="2"/>
      <c r="C37" s="30">
        <v>46507.0</v>
      </c>
      <c r="D37" s="8">
        <f t="shared" si="1"/>
        <v>3105763.112</v>
      </c>
      <c r="E37" s="8"/>
      <c r="F37" s="8">
        <f t="shared" si="2"/>
        <v>751337.542</v>
      </c>
      <c r="G37" s="8">
        <f t="shared" si="3"/>
        <v>2354425.57</v>
      </c>
      <c r="H37" s="8">
        <f t="shared" si="4"/>
        <v>72779328.62</v>
      </c>
      <c r="J37" s="5"/>
    </row>
    <row r="38" ht="15.75" customHeight="1">
      <c r="B38" s="2"/>
      <c r="C38" s="30">
        <v>46537.0</v>
      </c>
      <c r="D38" s="8">
        <f t="shared" si="1"/>
        <v>3105763.112</v>
      </c>
      <c r="E38" s="8"/>
      <c r="F38" s="8">
        <f t="shared" si="2"/>
        <v>727793.2862</v>
      </c>
      <c r="G38" s="8">
        <f t="shared" si="3"/>
        <v>2377969.826</v>
      </c>
      <c r="H38" s="8">
        <f t="shared" si="4"/>
        <v>70401358.8</v>
      </c>
      <c r="J38" s="5"/>
    </row>
    <row r="39" ht="15.75" customHeight="1">
      <c r="B39" s="2"/>
      <c r="C39" s="30">
        <v>46568.0</v>
      </c>
      <c r="D39" s="8">
        <f t="shared" si="1"/>
        <v>3105763.112</v>
      </c>
      <c r="E39" s="8"/>
      <c r="F39" s="8">
        <f t="shared" si="2"/>
        <v>704013.588</v>
      </c>
      <c r="G39" s="8">
        <f t="shared" si="3"/>
        <v>2401749.524</v>
      </c>
      <c r="H39" s="8">
        <f t="shared" si="4"/>
        <v>67999609.27</v>
      </c>
      <c r="J39" s="5"/>
    </row>
    <row r="40" ht="15.75" customHeight="1">
      <c r="B40" s="2"/>
      <c r="C40" s="30">
        <v>46598.0</v>
      </c>
      <c r="D40" s="8">
        <f t="shared" si="1"/>
        <v>3105763.112</v>
      </c>
      <c r="E40" s="8"/>
      <c r="F40" s="8">
        <f t="shared" si="2"/>
        <v>679996.0927</v>
      </c>
      <c r="G40" s="8">
        <f t="shared" si="3"/>
        <v>2425767.02</v>
      </c>
      <c r="H40" s="8">
        <f t="shared" si="4"/>
        <v>65573842.25</v>
      </c>
      <c r="J40" s="5"/>
    </row>
    <row r="41" ht="15.75" customHeight="1">
      <c r="B41" s="2"/>
      <c r="C41" s="30">
        <v>46629.0</v>
      </c>
      <c r="D41" s="8">
        <f t="shared" si="1"/>
        <v>3105763.112</v>
      </c>
      <c r="E41" s="8"/>
      <c r="F41" s="8">
        <f t="shared" si="2"/>
        <v>655738.4225</v>
      </c>
      <c r="G41" s="8">
        <f t="shared" si="3"/>
        <v>2450024.69</v>
      </c>
      <c r="H41" s="8">
        <f t="shared" si="4"/>
        <v>63123817.56</v>
      </c>
      <c r="J41" s="5"/>
    </row>
    <row r="42" ht="15.75" customHeight="1">
      <c r="B42" s="2"/>
      <c r="C42" s="30">
        <v>46660.0</v>
      </c>
      <c r="D42" s="8">
        <f t="shared" si="1"/>
        <v>3105763.112</v>
      </c>
      <c r="E42" s="8"/>
      <c r="F42" s="8">
        <f t="shared" si="2"/>
        <v>631238.1756</v>
      </c>
      <c r="G42" s="8">
        <f t="shared" si="3"/>
        <v>2474524.937</v>
      </c>
      <c r="H42" s="8">
        <f t="shared" si="4"/>
        <v>60649292.63</v>
      </c>
      <c r="J42" s="5"/>
    </row>
    <row r="43" ht="15.75" customHeight="1">
      <c r="B43" s="2"/>
      <c r="C43" s="30">
        <v>46690.0</v>
      </c>
      <c r="D43" s="8">
        <f t="shared" si="1"/>
        <v>3105763.112</v>
      </c>
      <c r="E43" s="8"/>
      <c r="F43" s="8">
        <f t="shared" si="2"/>
        <v>606492.9263</v>
      </c>
      <c r="G43" s="8">
        <f t="shared" si="3"/>
        <v>2499270.186</v>
      </c>
      <c r="H43" s="8">
        <f t="shared" si="4"/>
        <v>58150022.44</v>
      </c>
      <c r="J43" s="5"/>
    </row>
    <row r="44" ht="15.75" customHeight="1">
      <c r="B44" s="2"/>
      <c r="C44" s="30">
        <v>46721.0</v>
      </c>
      <c r="D44" s="8">
        <f t="shared" si="1"/>
        <v>3105763.112</v>
      </c>
      <c r="E44" s="8"/>
      <c r="F44" s="8">
        <f t="shared" si="2"/>
        <v>581500.2244</v>
      </c>
      <c r="G44" s="8">
        <f t="shared" si="3"/>
        <v>2524262.888</v>
      </c>
      <c r="H44" s="8">
        <f t="shared" si="4"/>
        <v>55625759.55</v>
      </c>
      <c r="J44" s="5"/>
    </row>
    <row r="45" ht="15.75" customHeight="1">
      <c r="B45" s="2"/>
      <c r="C45" s="30">
        <v>46751.0</v>
      </c>
      <c r="D45" s="8">
        <f t="shared" si="1"/>
        <v>3105763.112</v>
      </c>
      <c r="E45" s="8"/>
      <c r="F45" s="8">
        <f t="shared" si="2"/>
        <v>556257.5955</v>
      </c>
      <c r="G45" s="8">
        <f t="shared" si="3"/>
        <v>2549505.517</v>
      </c>
      <c r="H45" s="8">
        <f t="shared" si="4"/>
        <v>53076254.04</v>
      </c>
      <c r="J45" s="5"/>
    </row>
    <row r="46" ht="15.75" customHeight="1">
      <c r="B46" s="2"/>
      <c r="C46" s="30">
        <v>46782.0</v>
      </c>
      <c r="D46" s="8">
        <f t="shared" si="1"/>
        <v>3105763.112</v>
      </c>
      <c r="E46" s="8"/>
      <c r="F46" s="8">
        <f t="shared" si="2"/>
        <v>530762.5404</v>
      </c>
      <c r="G46" s="8">
        <f t="shared" si="3"/>
        <v>2575000.572</v>
      </c>
      <c r="H46" s="8">
        <f t="shared" si="4"/>
        <v>50501253.46</v>
      </c>
      <c r="J46" s="5"/>
    </row>
    <row r="47" ht="15.75" customHeight="1">
      <c r="B47" s="2"/>
      <c r="C47" s="30">
        <v>46812.0</v>
      </c>
      <c r="D47" s="8">
        <f t="shared" si="1"/>
        <v>3105763.112</v>
      </c>
      <c r="E47" s="8"/>
      <c r="F47" s="8">
        <f t="shared" si="2"/>
        <v>505012.5346</v>
      </c>
      <c r="G47" s="8">
        <f t="shared" si="3"/>
        <v>2600750.578</v>
      </c>
      <c r="H47" s="8">
        <f t="shared" si="4"/>
        <v>47900502.89</v>
      </c>
      <c r="J47" s="5"/>
    </row>
    <row r="48" ht="15.75" customHeight="1">
      <c r="B48" s="2"/>
      <c r="C48" s="30">
        <v>46842.0</v>
      </c>
      <c r="D48" s="8">
        <f t="shared" si="1"/>
        <v>3105763.112</v>
      </c>
      <c r="E48" s="8"/>
      <c r="F48" s="8">
        <f t="shared" si="2"/>
        <v>479005.0289</v>
      </c>
      <c r="G48" s="8">
        <f t="shared" si="3"/>
        <v>2626758.084</v>
      </c>
      <c r="H48" s="8">
        <f t="shared" si="4"/>
        <v>45273744.8</v>
      </c>
      <c r="J48" s="5"/>
    </row>
    <row r="49" ht="15.75" customHeight="1">
      <c r="B49" s="2"/>
      <c r="C49" s="30">
        <v>46873.0</v>
      </c>
      <c r="D49" s="8">
        <f t="shared" si="1"/>
        <v>3105763.112</v>
      </c>
      <c r="E49" s="8"/>
      <c r="F49" s="8">
        <f t="shared" si="2"/>
        <v>452737.448</v>
      </c>
      <c r="G49" s="8">
        <f t="shared" si="3"/>
        <v>2653025.664</v>
      </c>
      <c r="H49" s="8">
        <f t="shared" si="4"/>
        <v>42620719.14</v>
      </c>
      <c r="J49" s="5"/>
    </row>
    <row r="50" ht="15.75" customHeight="1">
      <c r="B50" s="2"/>
      <c r="C50" s="30">
        <v>46903.0</v>
      </c>
      <c r="D50" s="8">
        <f t="shared" si="1"/>
        <v>3105763.112</v>
      </c>
      <c r="E50" s="8"/>
      <c r="F50" s="8">
        <f t="shared" si="2"/>
        <v>426207.1914</v>
      </c>
      <c r="G50" s="8">
        <f t="shared" si="3"/>
        <v>2679555.921</v>
      </c>
      <c r="H50" s="8">
        <f t="shared" si="4"/>
        <v>39941163.22</v>
      </c>
      <c r="J50" s="5"/>
    </row>
    <row r="51" ht="15.75" customHeight="1">
      <c r="B51" s="2"/>
      <c r="C51" s="30">
        <v>46934.0</v>
      </c>
      <c r="D51" s="8">
        <f t="shared" si="1"/>
        <v>3105763.112</v>
      </c>
      <c r="E51" s="8"/>
      <c r="F51" s="8">
        <f t="shared" si="2"/>
        <v>399411.6322</v>
      </c>
      <c r="G51" s="8">
        <f t="shared" si="3"/>
        <v>2706351.48</v>
      </c>
      <c r="H51" s="8">
        <f t="shared" si="4"/>
        <v>37234811.74</v>
      </c>
      <c r="J51" s="5"/>
    </row>
    <row r="52" ht="15.75" customHeight="1">
      <c r="B52" s="2"/>
      <c r="C52" s="30">
        <v>46964.0</v>
      </c>
      <c r="D52" s="8">
        <f t="shared" si="1"/>
        <v>3105763.112</v>
      </c>
      <c r="E52" s="8"/>
      <c r="F52" s="8">
        <f t="shared" si="2"/>
        <v>372348.1174</v>
      </c>
      <c r="G52" s="8">
        <f t="shared" si="3"/>
        <v>2733414.995</v>
      </c>
      <c r="H52" s="8">
        <f t="shared" si="4"/>
        <v>34501396.74</v>
      </c>
      <c r="J52" s="5"/>
    </row>
    <row r="53" ht="15.75" customHeight="1">
      <c r="B53" s="2"/>
      <c r="C53" s="30">
        <v>46995.0</v>
      </c>
      <c r="D53" s="8">
        <f t="shared" si="1"/>
        <v>3105763.112</v>
      </c>
      <c r="E53" s="8"/>
      <c r="F53" s="8">
        <f t="shared" si="2"/>
        <v>345013.9674</v>
      </c>
      <c r="G53" s="8">
        <f t="shared" si="3"/>
        <v>2760749.145</v>
      </c>
      <c r="H53" s="8">
        <f t="shared" si="4"/>
        <v>31740647.6</v>
      </c>
      <c r="J53" s="5"/>
    </row>
    <row r="54" ht="15.75" customHeight="1">
      <c r="B54" s="2"/>
      <c r="C54" s="30">
        <v>47026.0</v>
      </c>
      <c r="D54" s="8">
        <f t="shared" si="1"/>
        <v>3105763.112</v>
      </c>
      <c r="E54" s="8"/>
      <c r="F54" s="8">
        <f t="shared" si="2"/>
        <v>317406.476</v>
      </c>
      <c r="G54" s="8">
        <f t="shared" si="3"/>
        <v>2788356.636</v>
      </c>
      <c r="H54" s="8">
        <f t="shared" si="4"/>
        <v>28952290.96</v>
      </c>
      <c r="J54" s="5"/>
    </row>
    <row r="55" ht="15.75" customHeight="1">
      <c r="B55" s="2"/>
      <c r="C55" s="30">
        <v>47056.0</v>
      </c>
      <c r="D55" s="8">
        <f t="shared" si="1"/>
        <v>3105763.112</v>
      </c>
      <c r="E55" s="8"/>
      <c r="F55" s="8">
        <f t="shared" si="2"/>
        <v>289522.9096</v>
      </c>
      <c r="G55" s="8">
        <f t="shared" si="3"/>
        <v>2816240.203</v>
      </c>
      <c r="H55" s="8">
        <f t="shared" si="4"/>
        <v>26136050.76</v>
      </c>
      <c r="J55" s="5"/>
    </row>
    <row r="56" ht="15.75" customHeight="1">
      <c r="B56" s="2"/>
      <c r="C56" s="30">
        <v>47087.0</v>
      </c>
      <c r="D56" s="8">
        <f t="shared" si="1"/>
        <v>3105763.112</v>
      </c>
      <c r="E56" s="8"/>
      <c r="F56" s="8">
        <f t="shared" si="2"/>
        <v>261360.5076</v>
      </c>
      <c r="G56" s="8">
        <f t="shared" si="3"/>
        <v>2844402.605</v>
      </c>
      <c r="H56" s="8">
        <f t="shared" si="4"/>
        <v>23291648.15</v>
      </c>
      <c r="J56" s="5"/>
    </row>
    <row r="57" ht="15.75" customHeight="1">
      <c r="B57" s="2"/>
      <c r="C57" s="30">
        <v>47117.0</v>
      </c>
      <c r="D57" s="8">
        <f t="shared" si="1"/>
        <v>3105763.112</v>
      </c>
      <c r="E57" s="8"/>
      <c r="F57" s="8">
        <f t="shared" si="2"/>
        <v>232916.4815</v>
      </c>
      <c r="G57" s="8">
        <f t="shared" si="3"/>
        <v>2872846.631</v>
      </c>
      <c r="H57" s="8">
        <f t="shared" si="4"/>
        <v>20418801.52</v>
      </c>
      <c r="J57" s="5"/>
    </row>
    <row r="58" ht="15.75" customHeight="1">
      <c r="B58" s="2"/>
      <c r="C58" s="30">
        <v>47148.0</v>
      </c>
      <c r="D58" s="8">
        <f t="shared" si="1"/>
        <v>3105763.112</v>
      </c>
      <c r="E58" s="8"/>
      <c r="F58" s="8">
        <f t="shared" si="2"/>
        <v>204188.0152</v>
      </c>
      <c r="G58" s="8">
        <f t="shared" si="3"/>
        <v>2901575.097</v>
      </c>
      <c r="H58" s="8">
        <f t="shared" si="4"/>
        <v>17517226.43</v>
      </c>
      <c r="J58" s="5"/>
    </row>
    <row r="59" ht="15.75" customHeight="1">
      <c r="B59" s="2"/>
      <c r="C59" s="30">
        <v>47177.0</v>
      </c>
      <c r="D59" s="8">
        <f t="shared" si="1"/>
        <v>3105763.112</v>
      </c>
      <c r="E59" s="8"/>
      <c r="F59" s="8">
        <f t="shared" si="2"/>
        <v>175172.2643</v>
      </c>
      <c r="G59" s="8">
        <f t="shared" si="3"/>
        <v>2930590.848</v>
      </c>
      <c r="H59" s="8">
        <f t="shared" si="4"/>
        <v>14586635.58</v>
      </c>
      <c r="J59" s="5"/>
    </row>
    <row r="60" ht="15.75" customHeight="1">
      <c r="B60" s="2"/>
      <c r="C60" s="30">
        <v>47207.0</v>
      </c>
      <c r="D60" s="8">
        <f t="shared" si="1"/>
        <v>3105763.112</v>
      </c>
      <c r="E60" s="8"/>
      <c r="F60" s="8">
        <f t="shared" si="2"/>
        <v>145866.3558</v>
      </c>
      <c r="G60" s="8">
        <f t="shared" si="3"/>
        <v>2959896.757</v>
      </c>
      <c r="H60" s="8">
        <f t="shared" si="4"/>
        <v>11626738.82</v>
      </c>
      <c r="J60" s="5"/>
    </row>
    <row r="61" ht="15.75" customHeight="1">
      <c r="B61" s="2"/>
      <c r="C61" s="30">
        <v>47238.0</v>
      </c>
      <c r="D61" s="8">
        <f t="shared" si="1"/>
        <v>3105763.112</v>
      </c>
      <c r="E61" s="8"/>
      <c r="F61" s="8">
        <f t="shared" si="2"/>
        <v>116267.3882</v>
      </c>
      <c r="G61" s="8">
        <f t="shared" si="3"/>
        <v>2989495.724</v>
      </c>
      <c r="H61" s="8">
        <f t="shared" si="4"/>
        <v>8637243.097</v>
      </c>
      <c r="J61" s="5"/>
    </row>
    <row r="62" ht="15.75" customHeight="1">
      <c r="B62" s="2"/>
      <c r="C62" s="30">
        <v>47268.0</v>
      </c>
      <c r="D62" s="8">
        <f t="shared" si="1"/>
        <v>3105763.112</v>
      </c>
      <c r="E62" s="8"/>
      <c r="F62" s="8">
        <f t="shared" si="2"/>
        <v>86372.43097</v>
      </c>
      <c r="G62" s="8">
        <f t="shared" si="3"/>
        <v>3019390.681</v>
      </c>
      <c r="H62" s="8">
        <f t="shared" si="4"/>
        <v>5617852.415</v>
      </c>
      <c r="J62" s="5"/>
    </row>
    <row r="63" ht="15.75" customHeight="1">
      <c r="B63" s="2"/>
      <c r="C63" s="30">
        <v>47299.0</v>
      </c>
      <c r="D63" s="8">
        <f t="shared" si="1"/>
        <v>3105763.112</v>
      </c>
      <c r="E63" s="8"/>
      <c r="F63" s="8">
        <f t="shared" si="2"/>
        <v>56178.52415</v>
      </c>
      <c r="G63" s="8">
        <f t="shared" si="3"/>
        <v>3049584.588</v>
      </c>
      <c r="H63" s="8">
        <f t="shared" si="4"/>
        <v>2568267.827</v>
      </c>
      <c r="J63" s="5"/>
    </row>
    <row r="64" ht="15.75" customHeight="1">
      <c r="A64" s="47"/>
      <c r="B64" s="48"/>
      <c r="C64" s="49">
        <v>47329.0</v>
      </c>
      <c r="D64" s="50">
        <f t="shared" si="1"/>
        <v>3105763.112</v>
      </c>
      <c r="E64" s="50"/>
      <c r="F64" s="50">
        <f t="shared" si="2"/>
        <v>25682.67827</v>
      </c>
      <c r="G64" s="50">
        <f t="shared" si="3"/>
        <v>3080080.434</v>
      </c>
      <c r="H64" s="50">
        <f t="shared" si="4"/>
        <v>-511812.6074</v>
      </c>
      <c r="J64" s="5"/>
    </row>
    <row r="65" ht="15.75" customHeight="1">
      <c r="A65" s="47"/>
      <c r="B65" s="48"/>
      <c r="C65" s="49">
        <v>47360.0</v>
      </c>
      <c r="D65" s="50">
        <f t="shared" si="1"/>
        <v>3105763.112</v>
      </c>
      <c r="E65" s="50"/>
      <c r="F65" s="50">
        <f t="shared" si="2"/>
        <v>-5118.126074</v>
      </c>
      <c r="G65" s="50">
        <f t="shared" si="3"/>
        <v>3110881.239</v>
      </c>
      <c r="H65" s="50">
        <f t="shared" si="4"/>
        <v>-3622693.846</v>
      </c>
      <c r="J65" s="5"/>
    </row>
    <row r="66" ht="15.75" customHeight="1">
      <c r="A66" s="47"/>
      <c r="B66" s="48"/>
      <c r="C66" s="49">
        <v>47391.0</v>
      </c>
      <c r="D66" s="50">
        <f t="shared" si="1"/>
        <v>3105763.112</v>
      </c>
      <c r="E66" s="50"/>
      <c r="F66" s="50">
        <f t="shared" si="2"/>
        <v>-36226.93846</v>
      </c>
      <c r="G66" s="50">
        <f t="shared" si="3"/>
        <v>3141990.051</v>
      </c>
      <c r="H66" s="50">
        <f t="shared" si="4"/>
        <v>-6764683.897</v>
      </c>
      <c r="J66" s="5"/>
    </row>
    <row r="67" ht="15.75" customHeight="1">
      <c r="A67" s="47"/>
      <c r="B67" s="48"/>
      <c r="C67" s="49">
        <v>47421.0</v>
      </c>
      <c r="D67" s="50">
        <f t="shared" si="1"/>
        <v>3105763.112</v>
      </c>
      <c r="E67" s="50"/>
      <c r="F67" s="50">
        <f t="shared" si="2"/>
        <v>-67646.83897</v>
      </c>
      <c r="G67" s="50">
        <f t="shared" si="3"/>
        <v>3173409.951</v>
      </c>
      <c r="H67" s="50">
        <f t="shared" si="4"/>
        <v>-9938093.848</v>
      </c>
      <c r="J67" s="5"/>
    </row>
    <row r="68" ht="15.75" customHeight="1">
      <c r="A68" s="47"/>
      <c r="B68" s="48"/>
      <c r="C68" s="49">
        <v>47452.0</v>
      </c>
      <c r="D68" s="50">
        <f t="shared" si="1"/>
        <v>3105763.112</v>
      </c>
      <c r="E68" s="50"/>
      <c r="F68" s="50">
        <f t="shared" si="2"/>
        <v>-99380.93848</v>
      </c>
      <c r="G68" s="50">
        <f t="shared" si="3"/>
        <v>3205144.051</v>
      </c>
      <c r="H68" s="50">
        <f t="shared" si="4"/>
        <v>-13143237.9</v>
      </c>
      <c r="J68" s="5"/>
    </row>
    <row r="69" ht="15.75" customHeight="1">
      <c r="A69" s="47"/>
      <c r="B69" s="48"/>
      <c r="C69" s="49">
        <v>47482.0</v>
      </c>
      <c r="D69" s="50">
        <f t="shared" si="1"/>
        <v>3105763.112</v>
      </c>
      <c r="E69" s="50"/>
      <c r="F69" s="50">
        <f t="shared" si="2"/>
        <v>-131432.379</v>
      </c>
      <c r="G69" s="50">
        <f t="shared" si="3"/>
        <v>3237195.491</v>
      </c>
      <c r="H69" s="50">
        <f t="shared" si="4"/>
        <v>-16380433.39</v>
      </c>
      <c r="J69" s="5"/>
    </row>
    <row r="70" ht="15.75" customHeight="1">
      <c r="A70" s="47"/>
      <c r="B70" s="48"/>
      <c r="C70" s="49">
        <v>47513.0</v>
      </c>
      <c r="D70" s="50">
        <f t="shared" si="1"/>
        <v>3105763.112</v>
      </c>
      <c r="E70" s="50"/>
      <c r="F70" s="50">
        <f t="shared" si="2"/>
        <v>-163804.3339</v>
      </c>
      <c r="G70" s="50">
        <f t="shared" si="3"/>
        <v>3269567.446</v>
      </c>
      <c r="H70" s="50">
        <f t="shared" si="4"/>
        <v>-19650000.84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22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423</v>
      </c>
      <c r="J1" s="5"/>
    </row>
    <row r="2" ht="15.75" customHeight="1">
      <c r="B2" s="2"/>
      <c r="C2" s="1" t="s">
        <v>6</v>
      </c>
      <c r="D2" s="6">
        <f>+A5*10%</f>
        <v>9000000</v>
      </c>
      <c r="E2" s="7"/>
      <c r="J2" s="5"/>
    </row>
    <row r="3" ht="15.75" customHeight="1">
      <c r="B3" s="2"/>
      <c r="C3" s="1" t="s">
        <v>7</v>
      </c>
      <c r="D3" s="8">
        <f>+A5-D2</f>
        <v>81000000</v>
      </c>
      <c r="E3" s="9"/>
      <c r="H3" s="5"/>
      <c r="J3" s="5"/>
    </row>
    <row r="4" ht="15.75" hidden="1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hidden="1" customHeight="1">
      <c r="A5" s="8">
        <v>9.0E7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1801800.262</v>
      </c>
      <c r="E6" s="12"/>
      <c r="H6" s="5"/>
      <c r="J6" s="5"/>
    </row>
    <row r="7" ht="36.75" customHeight="1">
      <c r="B7" s="2"/>
      <c r="C7" s="1" t="s">
        <v>12</v>
      </c>
      <c r="D7" s="64" t="s">
        <v>424</v>
      </c>
      <c r="H7" s="5"/>
      <c r="J7" s="5"/>
    </row>
    <row r="8" ht="15.75" customHeight="1">
      <c r="B8" s="2"/>
      <c r="C8" s="1" t="s">
        <v>16</v>
      </c>
      <c r="D8" s="68" t="s">
        <v>425</v>
      </c>
      <c r="H8" s="5"/>
      <c r="I8" s="17"/>
      <c r="J8" s="19"/>
      <c r="K8" s="17"/>
      <c r="L8" s="21" t="s">
        <v>426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81000000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1.17108016E8</v>
      </c>
      <c r="U10" s="25"/>
    </row>
    <row r="11" ht="15.75" customHeight="1">
      <c r="A11" s="29">
        <v>45730.0</v>
      </c>
      <c r="B11" s="2" t="s">
        <v>427</v>
      </c>
      <c r="C11" s="30">
        <v>45716.0</v>
      </c>
      <c r="D11" s="8">
        <f t="shared" ref="D11:D70" si="1">$D$6</f>
        <v>1801800.262</v>
      </c>
      <c r="E11" s="15"/>
      <c r="F11" s="8">
        <f t="shared" ref="F11:F70" si="2">+H10*$D$4</f>
        <v>810000</v>
      </c>
      <c r="G11" s="8">
        <f t="shared" ref="G11:G70" si="3">+D11+E11-F11</f>
        <v>991800.2625</v>
      </c>
      <c r="H11" s="8">
        <f t="shared" ref="H11:H70" si="4">+H10-G11</f>
        <v>80008199.74</v>
      </c>
      <c r="J11" s="5"/>
      <c r="L11" s="33">
        <v>45656.0</v>
      </c>
      <c r="M11" s="34" t="s">
        <v>44</v>
      </c>
      <c r="N11" s="35" t="s">
        <v>428</v>
      </c>
      <c r="O11" s="36"/>
      <c r="P11" s="36">
        <v>4000000.0</v>
      </c>
      <c r="Q11" s="36"/>
      <c r="R11" s="36"/>
      <c r="S11" s="36">
        <f t="shared" ref="S11:S24" si="5">SUM(O11:R11)</f>
        <v>4000000</v>
      </c>
      <c r="T11" s="36">
        <f t="shared" ref="T11:T24" si="6">T10-S11</f>
        <v>113108016</v>
      </c>
      <c r="U11" s="34"/>
    </row>
    <row r="12" ht="15.75" customHeight="1">
      <c r="A12" s="29">
        <v>45730.0</v>
      </c>
      <c r="B12" s="2" t="s">
        <v>427</v>
      </c>
      <c r="C12" s="30">
        <v>45747.0</v>
      </c>
      <c r="D12" s="8">
        <f t="shared" si="1"/>
        <v>1801800.262</v>
      </c>
      <c r="E12" s="15"/>
      <c r="F12" s="8">
        <f t="shared" si="2"/>
        <v>800081.9974</v>
      </c>
      <c r="G12" s="8">
        <f t="shared" si="3"/>
        <v>1001718.265</v>
      </c>
      <c r="H12" s="8">
        <f t="shared" si="4"/>
        <v>79006481.47</v>
      </c>
      <c r="J12" s="5"/>
      <c r="L12" s="33">
        <v>45666.0</v>
      </c>
      <c r="M12" s="34" t="s">
        <v>44</v>
      </c>
      <c r="N12" s="35" t="s">
        <v>429</v>
      </c>
      <c r="O12" s="36"/>
      <c r="P12" s="36">
        <v>4000000.0</v>
      </c>
      <c r="Q12" s="36"/>
      <c r="R12" s="36"/>
      <c r="S12" s="36">
        <f t="shared" si="5"/>
        <v>4000000</v>
      </c>
      <c r="T12" s="36">
        <f t="shared" si="6"/>
        <v>109108016</v>
      </c>
      <c r="U12" s="34"/>
    </row>
    <row r="13" ht="15.75" customHeight="1">
      <c r="A13" s="29">
        <v>45771.0</v>
      </c>
      <c r="B13" s="2" t="s">
        <v>430</v>
      </c>
      <c r="C13" s="30">
        <v>45777.0</v>
      </c>
      <c r="D13" s="8">
        <f t="shared" si="1"/>
        <v>1801800.262</v>
      </c>
      <c r="E13" s="15"/>
      <c r="F13" s="8">
        <f t="shared" si="2"/>
        <v>790064.8147</v>
      </c>
      <c r="G13" s="8">
        <f t="shared" si="3"/>
        <v>1011735.448</v>
      </c>
      <c r="H13" s="8">
        <f t="shared" si="4"/>
        <v>77994746.02</v>
      </c>
      <c r="J13" s="5" t="s">
        <v>56</v>
      </c>
      <c r="L13" s="33">
        <v>45728.0</v>
      </c>
      <c r="M13" s="34" t="s">
        <v>44</v>
      </c>
      <c r="N13" s="35" t="s">
        <v>431</v>
      </c>
      <c r="O13" s="36"/>
      <c r="P13" s="36">
        <v>1000000.0</v>
      </c>
      <c r="Q13" s="36"/>
      <c r="R13" s="36"/>
      <c r="S13" s="36">
        <f t="shared" si="5"/>
        <v>1000000</v>
      </c>
      <c r="T13" s="36">
        <f t="shared" si="6"/>
        <v>108108016</v>
      </c>
      <c r="U13" s="34"/>
    </row>
    <row r="14" ht="15.75" customHeight="1">
      <c r="A14" s="29">
        <v>45771.0</v>
      </c>
      <c r="B14" s="2" t="s">
        <v>430</v>
      </c>
      <c r="C14" s="30">
        <v>45808.0</v>
      </c>
      <c r="D14" s="8">
        <f t="shared" si="1"/>
        <v>1801800.262</v>
      </c>
      <c r="E14" s="15">
        <f>3602179-D14</f>
        <v>1800378.738</v>
      </c>
      <c r="F14" s="8">
        <f t="shared" si="2"/>
        <v>779947.4602</v>
      </c>
      <c r="G14" s="8">
        <f t="shared" si="3"/>
        <v>2822231.54</v>
      </c>
      <c r="H14" s="8">
        <f t="shared" si="4"/>
        <v>75172514.48</v>
      </c>
      <c r="J14" s="8">
        <f>+H10</f>
        <v>81000000</v>
      </c>
      <c r="L14" s="33">
        <v>45730.0</v>
      </c>
      <c r="M14" s="34" t="s">
        <v>432</v>
      </c>
      <c r="N14" s="35" t="s">
        <v>427</v>
      </c>
      <c r="O14" s="36"/>
      <c r="P14" s="36">
        <v>3603600.0</v>
      </c>
      <c r="Q14" s="36"/>
      <c r="R14" s="36"/>
      <c r="S14" s="36">
        <f t="shared" si="5"/>
        <v>3603600</v>
      </c>
      <c r="T14" s="36">
        <f t="shared" si="6"/>
        <v>104504416</v>
      </c>
      <c r="U14" s="34"/>
    </row>
    <row r="15" ht="15.75" customHeight="1">
      <c r="A15" s="29">
        <v>45821.0</v>
      </c>
      <c r="B15" s="2" t="s">
        <v>433</v>
      </c>
      <c r="C15" s="30">
        <v>45838.0</v>
      </c>
      <c r="D15" s="8">
        <f t="shared" si="1"/>
        <v>1801800.262</v>
      </c>
      <c r="E15" s="15"/>
      <c r="F15" s="8">
        <f t="shared" si="2"/>
        <v>751725.1448</v>
      </c>
      <c r="G15" s="8">
        <f t="shared" si="3"/>
        <v>1050075.118</v>
      </c>
      <c r="H15" s="8">
        <f t="shared" si="4"/>
        <v>74122439.37</v>
      </c>
      <c r="J15" s="5"/>
      <c r="L15" s="33">
        <v>45771.0</v>
      </c>
      <c r="M15" s="34" t="s">
        <v>434</v>
      </c>
      <c r="N15" s="35" t="s">
        <v>430</v>
      </c>
      <c r="O15" s="36"/>
      <c r="P15" s="36">
        <v>5403979.0</v>
      </c>
      <c r="Q15" s="36"/>
      <c r="R15" s="36"/>
      <c r="S15" s="36">
        <f t="shared" si="5"/>
        <v>5403979</v>
      </c>
      <c r="T15" s="36">
        <f t="shared" si="6"/>
        <v>99100437</v>
      </c>
      <c r="U15" s="34"/>
    </row>
    <row r="16" ht="15.75" customHeight="1">
      <c r="A16" s="29">
        <v>45852.0</v>
      </c>
      <c r="B16" s="2" t="s">
        <v>435</v>
      </c>
      <c r="C16" s="30">
        <v>45869.0</v>
      </c>
      <c r="D16" s="8">
        <f t="shared" si="1"/>
        <v>1801800.262</v>
      </c>
      <c r="E16" s="15">
        <v>1.16E7</v>
      </c>
      <c r="F16" s="8">
        <f t="shared" si="2"/>
        <v>741224.3937</v>
      </c>
      <c r="G16" s="8">
        <f t="shared" si="3"/>
        <v>12660575.87</v>
      </c>
      <c r="H16" s="8">
        <f t="shared" si="4"/>
        <v>61461863.5</v>
      </c>
      <c r="J16" s="5"/>
      <c r="L16" s="33">
        <v>45851.0</v>
      </c>
      <c r="M16" s="34" t="s">
        <v>436</v>
      </c>
      <c r="N16" s="35" t="s">
        <v>433</v>
      </c>
      <c r="O16" s="36"/>
      <c r="P16" s="36">
        <v>3603600.0</v>
      </c>
      <c r="Q16" s="36"/>
      <c r="R16" s="36"/>
      <c r="S16" s="36">
        <f t="shared" si="5"/>
        <v>3603600</v>
      </c>
      <c r="T16" s="36">
        <f t="shared" si="6"/>
        <v>95496837</v>
      </c>
      <c r="U16" s="34"/>
    </row>
    <row r="17" ht="15.75" customHeight="1">
      <c r="A17" s="29">
        <v>45922.0</v>
      </c>
      <c r="B17" s="2" t="s">
        <v>437</v>
      </c>
      <c r="C17" s="30">
        <v>45900.0</v>
      </c>
      <c r="D17" s="8">
        <f t="shared" si="1"/>
        <v>1801800.262</v>
      </c>
      <c r="E17" s="15">
        <f>11260374-D17</f>
        <v>9458573.738</v>
      </c>
      <c r="F17" s="8">
        <f t="shared" si="2"/>
        <v>614618.635</v>
      </c>
      <c r="G17" s="8">
        <f t="shared" si="3"/>
        <v>10645755.37</v>
      </c>
      <c r="H17" s="8">
        <f t="shared" si="4"/>
        <v>50816108.13</v>
      </c>
      <c r="J17" s="5"/>
      <c r="L17" s="33">
        <v>45852.0</v>
      </c>
      <c r="M17" s="34" t="s">
        <v>438</v>
      </c>
      <c r="N17" s="35" t="s">
        <v>435</v>
      </c>
      <c r="O17" s="36"/>
      <c r="P17" s="36">
        <v>1.16E7</v>
      </c>
      <c r="Q17" s="36"/>
      <c r="R17" s="36"/>
      <c r="S17" s="36">
        <f t="shared" si="5"/>
        <v>11600000</v>
      </c>
      <c r="T17" s="36">
        <f t="shared" si="6"/>
        <v>83896837</v>
      </c>
      <c r="U17" s="34"/>
    </row>
    <row r="18" ht="15.75" customHeight="1">
      <c r="A18" s="29">
        <v>45993.0</v>
      </c>
      <c r="B18" s="2" t="s">
        <v>439</v>
      </c>
      <c r="C18" s="30">
        <v>45930.0</v>
      </c>
      <c r="D18" s="8">
        <f t="shared" si="1"/>
        <v>1801800.262</v>
      </c>
      <c r="E18" s="15"/>
      <c r="F18" s="8">
        <f t="shared" si="2"/>
        <v>508161.0813</v>
      </c>
      <c r="G18" s="8">
        <f t="shared" si="3"/>
        <v>1293639.181</v>
      </c>
      <c r="H18" s="8">
        <f t="shared" si="4"/>
        <v>49522468.95</v>
      </c>
      <c r="J18" s="5"/>
      <c r="L18" s="33">
        <v>45922.0</v>
      </c>
      <c r="M18" s="34" t="s">
        <v>96</v>
      </c>
      <c r="N18" s="35" t="s">
        <v>437</v>
      </c>
      <c r="O18" s="36"/>
      <c r="P18" s="36">
        <v>1.1260374E7</v>
      </c>
      <c r="Q18" s="36"/>
      <c r="R18" s="36"/>
      <c r="S18" s="36">
        <f t="shared" si="5"/>
        <v>11260374</v>
      </c>
      <c r="T18" s="36">
        <f t="shared" si="6"/>
        <v>72636463</v>
      </c>
      <c r="U18" s="34"/>
    </row>
    <row r="19" ht="15.75" customHeight="1">
      <c r="A19" s="29">
        <v>45993.0</v>
      </c>
      <c r="B19" s="2" t="s">
        <v>439</v>
      </c>
      <c r="C19" s="30">
        <v>45961.0</v>
      </c>
      <c r="D19" s="8">
        <f t="shared" si="1"/>
        <v>1801800.262</v>
      </c>
      <c r="E19" s="15"/>
      <c r="F19" s="8">
        <f t="shared" si="2"/>
        <v>495224.6895</v>
      </c>
      <c r="G19" s="8">
        <f t="shared" si="3"/>
        <v>1306575.573</v>
      </c>
      <c r="H19" s="8">
        <f t="shared" si="4"/>
        <v>48215893.38</v>
      </c>
      <c r="I19" s="1"/>
      <c r="J19" s="41"/>
      <c r="K19" s="1"/>
      <c r="L19" s="42">
        <v>45993.0</v>
      </c>
      <c r="M19" s="43" t="s">
        <v>100</v>
      </c>
      <c r="N19" s="44" t="s">
        <v>439</v>
      </c>
      <c r="O19" s="45"/>
      <c r="P19" s="45">
        <v>5460000.0</v>
      </c>
      <c r="Q19" s="45"/>
      <c r="R19" s="45"/>
      <c r="S19" s="45">
        <f t="shared" si="5"/>
        <v>5460000</v>
      </c>
      <c r="T19" s="45">
        <f t="shared" si="6"/>
        <v>67176463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45993.0</v>
      </c>
      <c r="B20" s="2" t="s">
        <v>439</v>
      </c>
      <c r="C20" s="30">
        <v>45991.0</v>
      </c>
      <c r="D20" s="8">
        <f t="shared" si="1"/>
        <v>1801800.262</v>
      </c>
      <c r="E20" s="15">
        <f>5460000-D18-D19-D20</f>
        <v>54599.21257</v>
      </c>
      <c r="F20" s="8">
        <f t="shared" si="2"/>
        <v>482158.9338</v>
      </c>
      <c r="G20" s="8">
        <f t="shared" si="3"/>
        <v>1374240.541</v>
      </c>
      <c r="H20" s="8">
        <f t="shared" si="4"/>
        <v>46841652.84</v>
      </c>
      <c r="J20" s="5"/>
      <c r="L20" s="33">
        <v>46060.0</v>
      </c>
      <c r="M20" s="34" t="s">
        <v>103</v>
      </c>
      <c r="N20" s="35" t="s">
        <v>440</v>
      </c>
      <c r="O20" s="36"/>
      <c r="P20" s="36">
        <v>3965000.0</v>
      </c>
      <c r="Q20" s="36"/>
      <c r="R20" s="36"/>
      <c r="S20" s="36">
        <f t="shared" si="5"/>
        <v>3965000</v>
      </c>
      <c r="T20" s="36">
        <f t="shared" si="6"/>
        <v>63211463</v>
      </c>
      <c r="U20" s="34"/>
    </row>
    <row r="21" ht="15.75" customHeight="1">
      <c r="A21" s="29">
        <v>46060.0</v>
      </c>
      <c r="B21" s="2" t="s">
        <v>440</v>
      </c>
      <c r="C21" s="30">
        <v>46022.0</v>
      </c>
      <c r="D21" s="8">
        <f t="shared" si="1"/>
        <v>1801800.262</v>
      </c>
      <c r="E21" s="15"/>
      <c r="F21" s="8">
        <f t="shared" si="2"/>
        <v>468416.5284</v>
      </c>
      <c r="G21" s="8">
        <f t="shared" si="3"/>
        <v>1333383.734</v>
      </c>
      <c r="H21" s="8">
        <f t="shared" si="4"/>
        <v>45508269.1</v>
      </c>
      <c r="J21" s="5"/>
      <c r="L21" s="33">
        <v>46118.0</v>
      </c>
      <c r="M21" s="34" t="s">
        <v>107</v>
      </c>
      <c r="N21" s="35" t="s">
        <v>441</v>
      </c>
      <c r="O21" s="36"/>
      <c r="P21" s="36">
        <v>3800000.0</v>
      </c>
      <c r="Q21" s="36"/>
      <c r="R21" s="36"/>
      <c r="S21" s="36">
        <f t="shared" si="5"/>
        <v>3800000</v>
      </c>
      <c r="T21" s="36">
        <f t="shared" si="6"/>
        <v>59411463</v>
      </c>
      <c r="U21" s="34"/>
    </row>
    <row r="22" ht="15.75" customHeight="1">
      <c r="A22" s="29">
        <v>46060.0</v>
      </c>
      <c r="B22" s="2" t="s">
        <v>440</v>
      </c>
      <c r="C22" s="30">
        <v>46053.0</v>
      </c>
      <c r="D22" s="8">
        <f t="shared" si="1"/>
        <v>1801800.262</v>
      </c>
      <c r="E22" s="15">
        <f>3965000-D21-D22</f>
        <v>361399.475</v>
      </c>
      <c r="F22" s="8">
        <f t="shared" si="2"/>
        <v>455082.691</v>
      </c>
      <c r="G22" s="8">
        <f t="shared" si="3"/>
        <v>1708117.046</v>
      </c>
      <c r="H22" s="8">
        <f t="shared" si="4"/>
        <v>43800152.06</v>
      </c>
      <c r="J22" s="5"/>
      <c r="L22" s="33">
        <v>46195.0</v>
      </c>
      <c r="M22" s="34" t="s">
        <v>442</v>
      </c>
      <c r="N22" s="35" t="s">
        <v>443</v>
      </c>
      <c r="O22" s="36"/>
      <c r="P22" s="36">
        <v>3900000.0</v>
      </c>
      <c r="Q22" s="36"/>
      <c r="R22" s="36"/>
      <c r="S22" s="36">
        <f t="shared" si="5"/>
        <v>3900000</v>
      </c>
      <c r="T22" s="36">
        <f t="shared" si="6"/>
        <v>55511463</v>
      </c>
      <c r="U22" s="34"/>
    </row>
    <row r="23" ht="15.75" customHeight="1">
      <c r="A23" s="29">
        <v>46118.0</v>
      </c>
      <c r="B23" s="2" t="s">
        <v>441</v>
      </c>
      <c r="C23" s="30">
        <v>46081.0</v>
      </c>
      <c r="D23" s="8">
        <f t="shared" si="1"/>
        <v>1801800.262</v>
      </c>
      <c r="E23" s="46"/>
      <c r="F23" s="8">
        <f t="shared" si="2"/>
        <v>438001.5206</v>
      </c>
      <c r="G23" s="8">
        <f t="shared" si="3"/>
        <v>1363798.742</v>
      </c>
      <c r="H23" s="8">
        <f t="shared" si="4"/>
        <v>42436353.32</v>
      </c>
      <c r="J23" s="5"/>
      <c r="L23" s="33">
        <v>46231.0</v>
      </c>
      <c r="M23" s="34" t="s">
        <v>116</v>
      </c>
      <c r="N23" s="35" t="s">
        <v>444</v>
      </c>
      <c r="O23" s="36"/>
      <c r="P23" s="36">
        <v>1802000.0</v>
      </c>
      <c r="Q23" s="36"/>
      <c r="R23" s="36"/>
      <c r="S23" s="36">
        <f t="shared" si="5"/>
        <v>1802000</v>
      </c>
      <c r="T23" s="36">
        <f t="shared" si="6"/>
        <v>53709463</v>
      </c>
      <c r="U23" s="34"/>
    </row>
    <row r="24" ht="15.75" customHeight="1">
      <c r="A24" s="29">
        <v>46118.0</v>
      </c>
      <c r="B24" s="2" t="s">
        <v>441</v>
      </c>
      <c r="C24" s="30">
        <v>46112.0</v>
      </c>
      <c r="D24" s="8">
        <f t="shared" si="1"/>
        <v>1801800.262</v>
      </c>
      <c r="E24" s="8">
        <f>3800000-D23-D24</f>
        <v>196399.475</v>
      </c>
      <c r="F24" s="8">
        <f t="shared" si="2"/>
        <v>424363.5332</v>
      </c>
      <c r="G24" s="8">
        <f t="shared" si="3"/>
        <v>1573836.204</v>
      </c>
      <c r="H24" s="8">
        <f t="shared" si="4"/>
        <v>40862517.11</v>
      </c>
      <c r="J24" s="5"/>
      <c r="L24" s="40">
        <v>46260.0</v>
      </c>
      <c r="M24" s="34" t="s">
        <v>422</v>
      </c>
      <c r="N24" s="35" t="s">
        <v>445</v>
      </c>
      <c r="O24" s="36"/>
      <c r="P24" s="36"/>
      <c r="Q24" s="36"/>
      <c r="R24" s="36">
        <v>1820000.0</v>
      </c>
      <c r="S24" s="36">
        <f t="shared" si="5"/>
        <v>1820000</v>
      </c>
      <c r="T24" s="36">
        <f t="shared" si="6"/>
        <v>51889463</v>
      </c>
      <c r="U24" s="34" t="s">
        <v>125</v>
      </c>
    </row>
    <row r="25" ht="15.75" customHeight="1">
      <c r="A25" s="29">
        <v>46195.0</v>
      </c>
      <c r="B25" s="2" t="s">
        <v>443</v>
      </c>
      <c r="C25" s="30">
        <v>46142.0</v>
      </c>
      <c r="D25" s="8">
        <f t="shared" si="1"/>
        <v>1801800.262</v>
      </c>
      <c r="E25" s="8"/>
      <c r="F25" s="8">
        <f t="shared" si="2"/>
        <v>408625.1711</v>
      </c>
      <c r="G25" s="8">
        <f t="shared" si="3"/>
        <v>1393175.091</v>
      </c>
      <c r="H25" s="8">
        <f t="shared" si="4"/>
        <v>39469342.02</v>
      </c>
      <c r="J25" s="5"/>
      <c r="L25" s="25"/>
      <c r="M25" s="38" t="s">
        <v>69</v>
      </c>
      <c r="N25" s="39"/>
      <c r="O25" s="27">
        <f t="shared" ref="O25:S25" si="7">SUM(O11:O24)</f>
        <v>0</v>
      </c>
      <c r="P25" s="27">
        <f t="shared" si="7"/>
        <v>63398553</v>
      </c>
      <c r="Q25" s="27">
        <f t="shared" si="7"/>
        <v>0</v>
      </c>
      <c r="R25" s="27">
        <f t="shared" si="7"/>
        <v>1820000</v>
      </c>
      <c r="S25" s="27">
        <f t="shared" si="7"/>
        <v>65218553</v>
      </c>
      <c r="T25" s="27">
        <f>T24</f>
        <v>51889463</v>
      </c>
      <c r="U25" s="25"/>
    </row>
    <row r="26" ht="15.75" customHeight="1">
      <c r="A26" s="29">
        <v>46195.0</v>
      </c>
      <c r="B26" s="2" t="s">
        <v>443</v>
      </c>
      <c r="C26" s="30">
        <v>46173.0</v>
      </c>
      <c r="D26" s="8">
        <f t="shared" si="1"/>
        <v>1801800.262</v>
      </c>
      <c r="E26" s="8">
        <f>3900000-D25-D26</f>
        <v>296399.475</v>
      </c>
      <c r="F26" s="8">
        <f t="shared" si="2"/>
        <v>394693.4202</v>
      </c>
      <c r="G26" s="8">
        <f t="shared" si="3"/>
        <v>1703506.317</v>
      </c>
      <c r="H26" s="8">
        <f t="shared" si="4"/>
        <v>37765835.7</v>
      </c>
      <c r="J26" s="5"/>
    </row>
    <row r="27" ht="15.75" customHeight="1">
      <c r="A27" s="29">
        <v>46231.0</v>
      </c>
      <c r="B27" s="2" t="s">
        <v>444</v>
      </c>
      <c r="C27" s="30">
        <v>46203.0</v>
      </c>
      <c r="D27" s="8">
        <f t="shared" si="1"/>
        <v>1801800.262</v>
      </c>
      <c r="E27" s="8">
        <f>1802000-D27</f>
        <v>199.737523</v>
      </c>
      <c r="F27" s="8">
        <f t="shared" si="2"/>
        <v>377658.357</v>
      </c>
      <c r="G27" s="8">
        <f t="shared" si="3"/>
        <v>1424341.643</v>
      </c>
      <c r="H27" s="8">
        <f t="shared" si="4"/>
        <v>36341494.06</v>
      </c>
      <c r="J27" s="5"/>
    </row>
    <row r="28" ht="15.75" customHeight="1">
      <c r="A28" s="29">
        <v>46260.0</v>
      </c>
      <c r="B28" s="2" t="s">
        <v>445</v>
      </c>
      <c r="C28" s="30">
        <v>46234.0</v>
      </c>
      <c r="D28" s="8">
        <f t="shared" si="1"/>
        <v>1801800.262</v>
      </c>
      <c r="E28" s="8">
        <f>1820000-D28</f>
        <v>18199.73752</v>
      </c>
      <c r="F28" s="8">
        <f t="shared" si="2"/>
        <v>363414.9406</v>
      </c>
      <c r="G28" s="8">
        <f t="shared" si="3"/>
        <v>1456585.059</v>
      </c>
      <c r="H28" s="8">
        <f t="shared" si="4"/>
        <v>34884909</v>
      </c>
      <c r="J28" s="5"/>
    </row>
    <row r="29" ht="15.75" customHeight="1">
      <c r="B29" s="2"/>
      <c r="C29" s="30">
        <v>46265.0</v>
      </c>
      <c r="D29" s="8">
        <f t="shared" si="1"/>
        <v>1801800.262</v>
      </c>
      <c r="E29" s="8"/>
      <c r="F29" s="8">
        <f t="shared" si="2"/>
        <v>348849.09</v>
      </c>
      <c r="G29" s="8">
        <f t="shared" si="3"/>
        <v>1452951.172</v>
      </c>
      <c r="H29" s="8">
        <f t="shared" si="4"/>
        <v>33431957.83</v>
      </c>
      <c r="J29" s="5"/>
    </row>
    <row r="30" ht="15.75" customHeight="1">
      <c r="B30" s="2"/>
      <c r="C30" s="30">
        <v>46295.0</v>
      </c>
      <c r="D30" s="8">
        <f t="shared" si="1"/>
        <v>1801800.262</v>
      </c>
      <c r="E30" s="8"/>
      <c r="F30" s="8">
        <f t="shared" si="2"/>
        <v>334319.5783</v>
      </c>
      <c r="G30" s="8">
        <f t="shared" si="3"/>
        <v>1467480.684</v>
      </c>
      <c r="H30" s="8">
        <f t="shared" si="4"/>
        <v>31964477.14</v>
      </c>
      <c r="J30" s="5"/>
    </row>
    <row r="31" ht="15.75" customHeight="1">
      <c r="B31" s="2"/>
      <c r="C31" s="30">
        <v>46326.0</v>
      </c>
      <c r="D31" s="8">
        <f t="shared" si="1"/>
        <v>1801800.262</v>
      </c>
      <c r="E31" s="8"/>
      <c r="F31" s="8">
        <f t="shared" si="2"/>
        <v>319644.7714</v>
      </c>
      <c r="G31" s="8">
        <f t="shared" si="3"/>
        <v>1482155.491</v>
      </c>
      <c r="H31" s="8">
        <f t="shared" si="4"/>
        <v>30482321.65</v>
      </c>
      <c r="J31" s="5"/>
    </row>
    <row r="32" ht="15.75" customHeight="1">
      <c r="B32" s="2"/>
      <c r="C32" s="30">
        <v>46356.0</v>
      </c>
      <c r="D32" s="8">
        <f t="shared" si="1"/>
        <v>1801800.262</v>
      </c>
      <c r="E32" s="8"/>
      <c r="F32" s="8">
        <f t="shared" si="2"/>
        <v>304823.2165</v>
      </c>
      <c r="G32" s="8">
        <f t="shared" si="3"/>
        <v>1496977.046</v>
      </c>
      <c r="H32" s="8">
        <f t="shared" si="4"/>
        <v>28985344.61</v>
      </c>
      <c r="J32" s="5"/>
    </row>
    <row r="33" ht="15.75" customHeight="1">
      <c r="B33" s="2"/>
      <c r="C33" s="30">
        <v>46387.0</v>
      </c>
      <c r="D33" s="8">
        <f t="shared" si="1"/>
        <v>1801800.262</v>
      </c>
      <c r="E33" s="8"/>
      <c r="F33" s="8">
        <f t="shared" si="2"/>
        <v>289853.4461</v>
      </c>
      <c r="G33" s="8">
        <f t="shared" si="3"/>
        <v>1511946.816</v>
      </c>
      <c r="H33" s="8">
        <f t="shared" si="4"/>
        <v>27473397.79</v>
      </c>
      <c r="J33" s="5"/>
    </row>
    <row r="34" ht="15.75" customHeight="1">
      <c r="B34" s="2"/>
      <c r="C34" s="30">
        <v>46418.0</v>
      </c>
      <c r="D34" s="8">
        <f t="shared" si="1"/>
        <v>1801800.262</v>
      </c>
      <c r="E34" s="8"/>
      <c r="F34" s="8">
        <f t="shared" si="2"/>
        <v>274733.9779</v>
      </c>
      <c r="G34" s="8">
        <f t="shared" si="3"/>
        <v>1527066.285</v>
      </c>
      <c r="H34" s="8">
        <f t="shared" si="4"/>
        <v>25946331.51</v>
      </c>
      <c r="J34" s="5"/>
    </row>
    <row r="35" ht="15.75" customHeight="1">
      <c r="B35" s="2"/>
      <c r="C35" s="30">
        <v>46446.0</v>
      </c>
      <c r="D35" s="8">
        <f t="shared" si="1"/>
        <v>1801800.262</v>
      </c>
      <c r="E35" s="8"/>
      <c r="F35" s="8">
        <f t="shared" si="2"/>
        <v>259463.3151</v>
      </c>
      <c r="G35" s="8">
        <f t="shared" si="3"/>
        <v>1542336.947</v>
      </c>
      <c r="H35" s="8">
        <f t="shared" si="4"/>
        <v>24403994.56</v>
      </c>
      <c r="J35" s="5"/>
    </row>
    <row r="36" ht="15.75" customHeight="1">
      <c r="B36" s="2"/>
      <c r="C36" s="30">
        <v>46477.0</v>
      </c>
      <c r="D36" s="8">
        <f t="shared" si="1"/>
        <v>1801800.262</v>
      </c>
      <c r="E36" s="8"/>
      <c r="F36" s="8">
        <f t="shared" si="2"/>
        <v>244039.9456</v>
      </c>
      <c r="G36" s="8">
        <f t="shared" si="3"/>
        <v>1557760.317</v>
      </c>
      <c r="H36" s="8">
        <f t="shared" si="4"/>
        <v>22846234.24</v>
      </c>
      <c r="J36" s="5"/>
    </row>
    <row r="37" ht="15.75" customHeight="1">
      <c r="B37" s="2"/>
      <c r="C37" s="30">
        <v>46507.0</v>
      </c>
      <c r="D37" s="8">
        <f t="shared" si="1"/>
        <v>1801800.262</v>
      </c>
      <c r="E37" s="8"/>
      <c r="F37" s="8">
        <f t="shared" si="2"/>
        <v>228462.3424</v>
      </c>
      <c r="G37" s="8">
        <f t="shared" si="3"/>
        <v>1573337.92</v>
      </c>
      <c r="H37" s="8">
        <f t="shared" si="4"/>
        <v>21272896.32</v>
      </c>
      <c r="J37" s="5"/>
    </row>
    <row r="38" ht="15.75" customHeight="1">
      <c r="B38" s="2"/>
      <c r="C38" s="30">
        <v>46538.0</v>
      </c>
      <c r="D38" s="8">
        <f t="shared" si="1"/>
        <v>1801800.262</v>
      </c>
      <c r="E38" s="8"/>
      <c r="F38" s="8">
        <f t="shared" si="2"/>
        <v>212728.9632</v>
      </c>
      <c r="G38" s="8">
        <f t="shared" si="3"/>
        <v>1589071.299</v>
      </c>
      <c r="H38" s="8">
        <f t="shared" si="4"/>
        <v>19683825.02</v>
      </c>
      <c r="J38" s="5"/>
    </row>
    <row r="39" ht="15.75" customHeight="1">
      <c r="B39" s="2"/>
      <c r="C39" s="30">
        <v>46568.0</v>
      </c>
      <c r="D39" s="8">
        <f t="shared" si="1"/>
        <v>1801800.262</v>
      </c>
      <c r="E39" s="8"/>
      <c r="F39" s="8">
        <f t="shared" si="2"/>
        <v>196838.2502</v>
      </c>
      <c r="G39" s="8">
        <f t="shared" si="3"/>
        <v>1604962.012</v>
      </c>
      <c r="H39" s="8">
        <f t="shared" si="4"/>
        <v>18078863.01</v>
      </c>
      <c r="J39" s="5"/>
    </row>
    <row r="40" ht="15.75" customHeight="1">
      <c r="B40" s="2"/>
      <c r="C40" s="30">
        <v>46599.0</v>
      </c>
      <c r="D40" s="8">
        <f t="shared" si="1"/>
        <v>1801800.262</v>
      </c>
      <c r="E40" s="8"/>
      <c r="F40" s="8">
        <f t="shared" si="2"/>
        <v>180788.6301</v>
      </c>
      <c r="G40" s="8">
        <f t="shared" si="3"/>
        <v>1621011.632</v>
      </c>
      <c r="H40" s="8">
        <f t="shared" si="4"/>
        <v>16457851.38</v>
      </c>
      <c r="J40" s="5"/>
    </row>
    <row r="41" ht="15.75" customHeight="1">
      <c r="B41" s="2"/>
      <c r="C41" s="30">
        <v>46630.0</v>
      </c>
      <c r="D41" s="8">
        <f t="shared" si="1"/>
        <v>1801800.262</v>
      </c>
      <c r="E41" s="8"/>
      <c r="F41" s="8">
        <f t="shared" si="2"/>
        <v>164578.5138</v>
      </c>
      <c r="G41" s="8">
        <f t="shared" si="3"/>
        <v>1637221.749</v>
      </c>
      <c r="H41" s="8">
        <f t="shared" si="4"/>
        <v>14820629.63</v>
      </c>
      <c r="J41" s="5"/>
    </row>
    <row r="42" ht="15.75" customHeight="1">
      <c r="B42" s="2"/>
      <c r="C42" s="30">
        <v>46660.0</v>
      </c>
      <c r="D42" s="8">
        <f t="shared" si="1"/>
        <v>1801800.262</v>
      </c>
      <c r="E42" s="8"/>
      <c r="F42" s="8">
        <f t="shared" si="2"/>
        <v>148206.2963</v>
      </c>
      <c r="G42" s="8">
        <f t="shared" si="3"/>
        <v>1653593.966</v>
      </c>
      <c r="H42" s="8">
        <f t="shared" si="4"/>
        <v>13167035.66</v>
      </c>
      <c r="J42" s="5"/>
    </row>
    <row r="43" ht="15.75" customHeight="1">
      <c r="B43" s="2"/>
      <c r="C43" s="30">
        <v>46691.0</v>
      </c>
      <c r="D43" s="8">
        <f t="shared" si="1"/>
        <v>1801800.262</v>
      </c>
      <c r="E43" s="8"/>
      <c r="F43" s="8">
        <f t="shared" si="2"/>
        <v>131670.3566</v>
      </c>
      <c r="G43" s="8">
        <f t="shared" si="3"/>
        <v>1670129.906</v>
      </c>
      <c r="H43" s="8">
        <f t="shared" si="4"/>
        <v>11496905.76</v>
      </c>
      <c r="J43" s="5"/>
    </row>
    <row r="44" ht="15.75" customHeight="1">
      <c r="B44" s="2"/>
      <c r="C44" s="30">
        <v>46721.0</v>
      </c>
      <c r="D44" s="8">
        <f t="shared" si="1"/>
        <v>1801800.262</v>
      </c>
      <c r="E44" s="8"/>
      <c r="F44" s="8">
        <f t="shared" si="2"/>
        <v>114969.0576</v>
      </c>
      <c r="G44" s="8">
        <f t="shared" si="3"/>
        <v>1686831.205</v>
      </c>
      <c r="H44" s="8">
        <f t="shared" si="4"/>
        <v>9810074.552</v>
      </c>
      <c r="J44" s="5"/>
    </row>
    <row r="45" ht="15.75" customHeight="1">
      <c r="B45" s="2"/>
      <c r="C45" s="30">
        <v>46752.0</v>
      </c>
      <c r="D45" s="8">
        <f t="shared" si="1"/>
        <v>1801800.262</v>
      </c>
      <c r="E45" s="8"/>
      <c r="F45" s="8">
        <f t="shared" si="2"/>
        <v>98100.74552</v>
      </c>
      <c r="G45" s="8">
        <f t="shared" si="3"/>
        <v>1703699.517</v>
      </c>
      <c r="H45" s="8">
        <f t="shared" si="4"/>
        <v>8106375.035</v>
      </c>
      <c r="J45" s="5"/>
    </row>
    <row r="46" ht="15.75" customHeight="1">
      <c r="B46" s="2"/>
      <c r="C46" s="30">
        <v>46783.0</v>
      </c>
      <c r="D46" s="8">
        <f t="shared" si="1"/>
        <v>1801800.262</v>
      </c>
      <c r="E46" s="8"/>
      <c r="F46" s="8">
        <f t="shared" si="2"/>
        <v>81063.75035</v>
      </c>
      <c r="G46" s="8">
        <f t="shared" si="3"/>
        <v>1720736.512</v>
      </c>
      <c r="H46" s="8">
        <f t="shared" si="4"/>
        <v>6385638.523</v>
      </c>
      <c r="J46" s="5"/>
    </row>
    <row r="47" ht="15.75" customHeight="1">
      <c r="B47" s="2"/>
      <c r="C47" s="30">
        <v>46812.0</v>
      </c>
      <c r="D47" s="8">
        <f t="shared" si="1"/>
        <v>1801800.262</v>
      </c>
      <c r="E47" s="8"/>
      <c r="F47" s="8">
        <f t="shared" si="2"/>
        <v>63856.38523</v>
      </c>
      <c r="G47" s="8">
        <f t="shared" si="3"/>
        <v>1737943.877</v>
      </c>
      <c r="H47" s="8">
        <f t="shared" si="4"/>
        <v>4647694.645</v>
      </c>
      <c r="J47" s="5"/>
    </row>
    <row r="48" ht="15.75" customHeight="1">
      <c r="B48" s="2"/>
      <c r="C48" s="30">
        <v>46843.0</v>
      </c>
      <c r="D48" s="8">
        <f t="shared" si="1"/>
        <v>1801800.262</v>
      </c>
      <c r="E48" s="8"/>
      <c r="F48" s="8">
        <f t="shared" si="2"/>
        <v>46476.94645</v>
      </c>
      <c r="G48" s="8">
        <f t="shared" si="3"/>
        <v>1755323.316</v>
      </c>
      <c r="H48" s="8">
        <f t="shared" si="4"/>
        <v>2892371.329</v>
      </c>
      <c r="J48" s="5"/>
    </row>
    <row r="49" ht="15.75" customHeight="1">
      <c r="B49" s="2"/>
      <c r="C49" s="30">
        <v>46873.0</v>
      </c>
      <c r="D49" s="8">
        <f t="shared" si="1"/>
        <v>1801800.262</v>
      </c>
      <c r="E49" s="8"/>
      <c r="F49" s="8">
        <f t="shared" si="2"/>
        <v>28923.71329</v>
      </c>
      <c r="G49" s="8">
        <f t="shared" si="3"/>
        <v>1772876.549</v>
      </c>
      <c r="H49" s="8">
        <f t="shared" si="4"/>
        <v>1119494.78</v>
      </c>
      <c r="J49" s="5"/>
    </row>
    <row r="50" ht="15.75" customHeight="1">
      <c r="B50" s="2"/>
      <c r="C50" s="30">
        <v>46904.0</v>
      </c>
      <c r="D50" s="8">
        <f t="shared" si="1"/>
        <v>1801800.262</v>
      </c>
      <c r="E50" s="8"/>
      <c r="F50" s="8">
        <f t="shared" si="2"/>
        <v>11194.9478</v>
      </c>
      <c r="G50" s="8">
        <f t="shared" si="3"/>
        <v>1790605.315</v>
      </c>
      <c r="H50" s="8">
        <f t="shared" si="4"/>
        <v>-671110.5346</v>
      </c>
      <c r="J50" s="5"/>
    </row>
    <row r="51" ht="15.75" customHeight="1">
      <c r="B51" s="2"/>
      <c r="C51" s="30">
        <v>46934.0</v>
      </c>
      <c r="D51" s="8">
        <f t="shared" si="1"/>
        <v>1801800.262</v>
      </c>
      <c r="E51" s="8"/>
      <c r="F51" s="8">
        <f t="shared" si="2"/>
        <v>-6711.105346</v>
      </c>
      <c r="G51" s="8">
        <f t="shared" si="3"/>
        <v>1808511.368</v>
      </c>
      <c r="H51" s="8">
        <f t="shared" si="4"/>
        <v>-2479621.902</v>
      </c>
      <c r="J51" s="5"/>
    </row>
    <row r="52" ht="15.75" customHeight="1">
      <c r="B52" s="2"/>
      <c r="C52" s="30">
        <v>46965.0</v>
      </c>
      <c r="D52" s="8">
        <f t="shared" si="1"/>
        <v>1801800.262</v>
      </c>
      <c r="E52" s="8"/>
      <c r="F52" s="8">
        <f t="shared" si="2"/>
        <v>-24796.21902</v>
      </c>
      <c r="G52" s="8">
        <f t="shared" si="3"/>
        <v>1826596.482</v>
      </c>
      <c r="H52" s="8">
        <f t="shared" si="4"/>
        <v>-4306218.384</v>
      </c>
      <c r="J52" s="5"/>
    </row>
    <row r="53" ht="15.75" customHeight="1">
      <c r="B53" s="2"/>
      <c r="C53" s="30">
        <v>46996.0</v>
      </c>
      <c r="D53" s="8">
        <f t="shared" si="1"/>
        <v>1801800.262</v>
      </c>
      <c r="E53" s="8"/>
      <c r="F53" s="8">
        <f t="shared" si="2"/>
        <v>-43062.18384</v>
      </c>
      <c r="G53" s="8">
        <f t="shared" si="3"/>
        <v>1844862.446</v>
      </c>
      <c r="H53" s="8">
        <f t="shared" si="4"/>
        <v>-6151080.83</v>
      </c>
      <c r="J53" s="5"/>
    </row>
    <row r="54" ht="15.75" customHeight="1">
      <c r="B54" s="2"/>
      <c r="C54" s="30">
        <v>47026.0</v>
      </c>
      <c r="D54" s="8">
        <f t="shared" si="1"/>
        <v>1801800.262</v>
      </c>
      <c r="E54" s="8"/>
      <c r="F54" s="8">
        <f t="shared" si="2"/>
        <v>-61510.8083</v>
      </c>
      <c r="G54" s="8">
        <f t="shared" si="3"/>
        <v>1863311.071</v>
      </c>
      <c r="H54" s="8">
        <f t="shared" si="4"/>
        <v>-8014391.901</v>
      </c>
      <c r="J54" s="5"/>
    </row>
    <row r="55" ht="15.75" customHeight="1">
      <c r="B55" s="2"/>
      <c r="C55" s="30">
        <v>47057.0</v>
      </c>
      <c r="D55" s="8">
        <f t="shared" si="1"/>
        <v>1801800.262</v>
      </c>
      <c r="E55" s="8"/>
      <c r="F55" s="8">
        <f t="shared" si="2"/>
        <v>-80143.91901</v>
      </c>
      <c r="G55" s="8">
        <f t="shared" si="3"/>
        <v>1881944.181</v>
      </c>
      <c r="H55" s="8">
        <f t="shared" si="4"/>
        <v>-9896336.083</v>
      </c>
      <c r="J55" s="5"/>
    </row>
    <row r="56" ht="15.75" customHeight="1">
      <c r="B56" s="2"/>
      <c r="C56" s="30">
        <v>47087.0</v>
      </c>
      <c r="D56" s="8">
        <f t="shared" si="1"/>
        <v>1801800.262</v>
      </c>
      <c r="E56" s="8"/>
      <c r="F56" s="8">
        <f t="shared" si="2"/>
        <v>-98963.36083</v>
      </c>
      <c r="G56" s="8">
        <f t="shared" si="3"/>
        <v>1900763.623</v>
      </c>
      <c r="H56" s="8">
        <f t="shared" si="4"/>
        <v>-11797099.71</v>
      </c>
      <c r="J56" s="5"/>
    </row>
    <row r="57" ht="15.75" customHeight="1">
      <c r="B57" s="2"/>
      <c r="C57" s="30">
        <v>47118.0</v>
      </c>
      <c r="D57" s="8">
        <f t="shared" si="1"/>
        <v>1801800.262</v>
      </c>
      <c r="E57" s="8"/>
      <c r="F57" s="8">
        <f t="shared" si="2"/>
        <v>-117970.9971</v>
      </c>
      <c r="G57" s="8">
        <f t="shared" si="3"/>
        <v>1919771.26</v>
      </c>
      <c r="H57" s="8">
        <f t="shared" si="4"/>
        <v>-13716870.97</v>
      </c>
      <c r="J57" s="5"/>
    </row>
    <row r="58" ht="15.75" customHeight="1">
      <c r="B58" s="2"/>
      <c r="C58" s="30">
        <v>47149.0</v>
      </c>
      <c r="D58" s="8">
        <f t="shared" si="1"/>
        <v>1801800.262</v>
      </c>
      <c r="E58" s="8"/>
      <c r="F58" s="8">
        <f t="shared" si="2"/>
        <v>-137168.7097</v>
      </c>
      <c r="G58" s="8">
        <f t="shared" si="3"/>
        <v>1938968.972</v>
      </c>
      <c r="H58" s="8">
        <f t="shared" si="4"/>
        <v>-15655839.94</v>
      </c>
      <c r="J58" s="5"/>
    </row>
    <row r="59" ht="15.75" customHeight="1">
      <c r="B59" s="2"/>
      <c r="C59" s="30">
        <v>47177.0</v>
      </c>
      <c r="D59" s="8">
        <f t="shared" si="1"/>
        <v>1801800.262</v>
      </c>
      <c r="E59" s="8"/>
      <c r="F59" s="8">
        <f t="shared" si="2"/>
        <v>-156558.3994</v>
      </c>
      <c r="G59" s="8">
        <f t="shared" si="3"/>
        <v>1958358.662</v>
      </c>
      <c r="H59" s="8">
        <f t="shared" si="4"/>
        <v>-17614198.6</v>
      </c>
      <c r="J59" s="5"/>
    </row>
    <row r="60" ht="15.75" customHeight="1">
      <c r="B60" s="2"/>
      <c r="C60" s="30">
        <v>47208.0</v>
      </c>
      <c r="D60" s="8">
        <f t="shared" si="1"/>
        <v>1801800.262</v>
      </c>
      <c r="E60" s="8"/>
      <c r="F60" s="8">
        <f t="shared" si="2"/>
        <v>-176141.986</v>
      </c>
      <c r="G60" s="8">
        <f t="shared" si="3"/>
        <v>1977942.248</v>
      </c>
      <c r="H60" s="8">
        <f t="shared" si="4"/>
        <v>-19592140.85</v>
      </c>
      <c r="J60" s="5"/>
    </row>
    <row r="61" ht="15.75" customHeight="1">
      <c r="B61" s="2"/>
      <c r="C61" s="30">
        <v>47238.0</v>
      </c>
      <c r="D61" s="8">
        <f t="shared" si="1"/>
        <v>1801800.262</v>
      </c>
      <c r="E61" s="8"/>
      <c r="F61" s="8">
        <f t="shared" si="2"/>
        <v>-195921.4085</v>
      </c>
      <c r="G61" s="8">
        <f t="shared" si="3"/>
        <v>1997721.671</v>
      </c>
      <c r="H61" s="8">
        <f t="shared" si="4"/>
        <v>-21589862.52</v>
      </c>
      <c r="J61" s="5"/>
    </row>
    <row r="62" ht="15.75" customHeight="1">
      <c r="B62" s="2"/>
      <c r="C62" s="30">
        <v>47269.0</v>
      </c>
      <c r="D62" s="8">
        <f t="shared" si="1"/>
        <v>1801800.262</v>
      </c>
      <c r="E62" s="8"/>
      <c r="F62" s="8">
        <f t="shared" si="2"/>
        <v>-215898.6252</v>
      </c>
      <c r="G62" s="8">
        <f t="shared" si="3"/>
        <v>2017698.888</v>
      </c>
      <c r="H62" s="8">
        <f t="shared" si="4"/>
        <v>-23607561.41</v>
      </c>
      <c r="J62" s="5"/>
    </row>
    <row r="63" ht="15.75" customHeight="1">
      <c r="B63" s="2"/>
      <c r="C63" s="30">
        <v>47299.0</v>
      </c>
      <c r="D63" s="8">
        <f t="shared" si="1"/>
        <v>1801800.262</v>
      </c>
      <c r="E63" s="8"/>
      <c r="F63" s="8">
        <f t="shared" si="2"/>
        <v>-236075.6141</v>
      </c>
      <c r="G63" s="8">
        <f t="shared" si="3"/>
        <v>2037875.877</v>
      </c>
      <c r="H63" s="8">
        <f t="shared" si="4"/>
        <v>-25645437.28</v>
      </c>
      <c r="J63" s="5"/>
    </row>
    <row r="64" ht="15.75" customHeight="1">
      <c r="B64" s="2"/>
      <c r="C64" s="30">
        <v>47330.0</v>
      </c>
      <c r="D64" s="8">
        <f t="shared" si="1"/>
        <v>1801800.262</v>
      </c>
      <c r="E64" s="8"/>
      <c r="F64" s="8">
        <f t="shared" si="2"/>
        <v>-256454.3728</v>
      </c>
      <c r="G64" s="8">
        <f t="shared" si="3"/>
        <v>2058254.635</v>
      </c>
      <c r="H64" s="8">
        <f t="shared" si="4"/>
        <v>-27703691.92</v>
      </c>
      <c r="J64" s="5"/>
    </row>
    <row r="65" ht="15.75" customHeight="1">
      <c r="B65" s="2"/>
      <c r="C65" s="30">
        <v>47361.0</v>
      </c>
      <c r="D65" s="8">
        <f t="shared" si="1"/>
        <v>1801800.262</v>
      </c>
      <c r="E65" s="8"/>
      <c r="F65" s="8">
        <f t="shared" si="2"/>
        <v>-277036.9192</v>
      </c>
      <c r="G65" s="8">
        <f t="shared" si="3"/>
        <v>2078837.182</v>
      </c>
      <c r="H65" s="8">
        <f t="shared" si="4"/>
        <v>-29782529.1</v>
      </c>
      <c r="J65" s="5"/>
    </row>
    <row r="66" ht="15.75" customHeight="1">
      <c r="B66" s="2"/>
      <c r="C66" s="30">
        <v>47391.0</v>
      </c>
      <c r="D66" s="8">
        <f t="shared" si="1"/>
        <v>1801800.262</v>
      </c>
      <c r="E66" s="8"/>
      <c r="F66" s="8">
        <f t="shared" si="2"/>
        <v>-297825.291</v>
      </c>
      <c r="G66" s="8">
        <f t="shared" si="3"/>
        <v>2099625.553</v>
      </c>
      <c r="H66" s="8">
        <f t="shared" si="4"/>
        <v>-31882154.65</v>
      </c>
      <c r="J66" s="5"/>
    </row>
    <row r="67" ht="15.75" customHeight="1">
      <c r="B67" s="2"/>
      <c r="C67" s="30">
        <v>47422.0</v>
      </c>
      <c r="D67" s="8">
        <f t="shared" si="1"/>
        <v>1801800.262</v>
      </c>
      <c r="E67" s="8"/>
      <c r="F67" s="8">
        <f t="shared" si="2"/>
        <v>-318821.5465</v>
      </c>
      <c r="G67" s="8">
        <f t="shared" si="3"/>
        <v>2120621.809</v>
      </c>
      <c r="H67" s="8">
        <f t="shared" si="4"/>
        <v>-34002776.46</v>
      </c>
      <c r="J67" s="5"/>
    </row>
    <row r="68" ht="15.75" customHeight="1">
      <c r="B68" s="2"/>
      <c r="C68" s="30">
        <v>47452.0</v>
      </c>
      <c r="D68" s="8">
        <f t="shared" si="1"/>
        <v>1801800.262</v>
      </c>
      <c r="E68" s="8"/>
      <c r="F68" s="8">
        <f t="shared" si="2"/>
        <v>-340027.7646</v>
      </c>
      <c r="G68" s="8">
        <f t="shared" si="3"/>
        <v>2141828.027</v>
      </c>
      <c r="H68" s="8">
        <f t="shared" si="4"/>
        <v>-36144604.49</v>
      </c>
      <c r="J68" s="5"/>
    </row>
    <row r="69" ht="15.75" customHeight="1">
      <c r="B69" s="2"/>
      <c r="C69" s="30">
        <v>47483.0</v>
      </c>
      <c r="D69" s="8">
        <f t="shared" si="1"/>
        <v>1801800.262</v>
      </c>
      <c r="E69" s="8"/>
      <c r="F69" s="8">
        <f t="shared" si="2"/>
        <v>-361446.0449</v>
      </c>
      <c r="G69" s="8">
        <f t="shared" si="3"/>
        <v>2163246.307</v>
      </c>
      <c r="H69" s="8">
        <f t="shared" si="4"/>
        <v>-38307850.8</v>
      </c>
      <c r="J69" s="5"/>
    </row>
    <row r="70" ht="15.75" customHeight="1">
      <c r="B70" s="2"/>
      <c r="C70" s="30">
        <v>47514.0</v>
      </c>
      <c r="D70" s="8">
        <f t="shared" si="1"/>
        <v>1801800.262</v>
      </c>
      <c r="E70" s="8"/>
      <c r="F70" s="8">
        <f t="shared" si="2"/>
        <v>-383078.508</v>
      </c>
      <c r="G70" s="8">
        <f t="shared" si="3"/>
        <v>2184878.77</v>
      </c>
      <c r="H70" s="8">
        <f t="shared" si="4"/>
        <v>-40492729.57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5.0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446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447</v>
      </c>
      <c r="H7" s="5"/>
      <c r="J7" s="5"/>
    </row>
    <row r="8" ht="15.75" customHeight="1">
      <c r="B8" s="2"/>
      <c r="C8" s="1" t="s">
        <v>16</v>
      </c>
      <c r="D8" s="16">
        <v>1.130656237E9</v>
      </c>
      <c r="H8" s="5"/>
      <c r="I8" s="17"/>
      <c r="J8" s="19"/>
      <c r="K8" s="17"/>
      <c r="L8" s="21" t="s">
        <v>448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45997.0</v>
      </c>
      <c r="B11" s="2" t="s">
        <v>449</v>
      </c>
      <c r="C11" s="30">
        <v>45960.0</v>
      </c>
      <c r="D11" s="8">
        <f t="shared" ref="D11:D70" si="1">$D$6</f>
        <v>1951950.284</v>
      </c>
      <c r="E11" s="15">
        <f t="shared" ref="E11:E12" si="2">1952000-D11</f>
        <v>49.71564987</v>
      </c>
      <c r="F11" s="8">
        <f t="shared" ref="F11:F70" si="3">+H10*$D$4</f>
        <v>877500</v>
      </c>
      <c r="G11" s="8">
        <f t="shared" ref="G11:G70" si="4">+D11+E11-F11</f>
        <v>1074500</v>
      </c>
      <c r="H11" s="8">
        <f t="shared" ref="H11:H70" si="5">+H10-G11</f>
        <v>86675500</v>
      </c>
      <c r="J11" s="5"/>
      <c r="L11" s="33">
        <v>45889.0</v>
      </c>
      <c r="M11" s="34" t="s">
        <v>44</v>
      </c>
      <c r="N11" s="35" t="s">
        <v>450</v>
      </c>
      <c r="O11" s="36"/>
      <c r="P11" s="36">
        <v>3000000.0</v>
      </c>
      <c r="Q11" s="36"/>
      <c r="R11" s="36"/>
      <c r="S11" s="36">
        <f t="shared" ref="S11:S23" si="6">SUM(O11:R11)</f>
        <v>3000000</v>
      </c>
      <c r="T11" s="36">
        <f t="shared" ref="T11:T23" si="7">T10-S11</f>
        <v>123867017</v>
      </c>
      <c r="U11" s="34"/>
    </row>
    <row r="12" ht="15.75" customHeight="1">
      <c r="A12" s="29">
        <v>46006.0</v>
      </c>
      <c r="B12" s="2" t="s">
        <v>451</v>
      </c>
      <c r="C12" s="30">
        <v>45991.0</v>
      </c>
      <c r="D12" s="8">
        <f t="shared" si="1"/>
        <v>1951950.284</v>
      </c>
      <c r="E12" s="15">
        <f t="shared" si="2"/>
        <v>49.71564987</v>
      </c>
      <c r="F12" s="8">
        <f t="shared" si="3"/>
        <v>866755</v>
      </c>
      <c r="G12" s="8">
        <f t="shared" si="4"/>
        <v>1085245</v>
      </c>
      <c r="H12" s="8">
        <f t="shared" si="5"/>
        <v>85590255</v>
      </c>
      <c r="J12" s="5"/>
      <c r="L12" s="33">
        <v>45920.0</v>
      </c>
      <c r="M12" s="34" t="s">
        <v>44</v>
      </c>
      <c r="N12" s="35" t="s">
        <v>452</v>
      </c>
      <c r="O12" s="36"/>
      <c r="P12" s="36">
        <v>4000000.0</v>
      </c>
      <c r="Q12" s="36"/>
      <c r="R12" s="36"/>
      <c r="S12" s="36">
        <f t="shared" si="6"/>
        <v>4000000</v>
      </c>
      <c r="T12" s="36">
        <f t="shared" si="7"/>
        <v>119867017</v>
      </c>
      <c r="U12" s="34"/>
    </row>
    <row r="13" ht="15.75" customHeight="1">
      <c r="A13" s="29">
        <v>46032.0</v>
      </c>
      <c r="B13" s="2" t="s">
        <v>453</v>
      </c>
      <c r="C13" s="30">
        <v>46021.0</v>
      </c>
      <c r="D13" s="8">
        <f t="shared" si="1"/>
        <v>1951950.284</v>
      </c>
      <c r="E13" s="15">
        <f>1970000-D13</f>
        <v>18049.71565</v>
      </c>
      <c r="F13" s="8">
        <f t="shared" si="3"/>
        <v>855902.55</v>
      </c>
      <c r="G13" s="8">
        <f t="shared" si="4"/>
        <v>1114097.45</v>
      </c>
      <c r="H13" s="8">
        <f t="shared" si="5"/>
        <v>84476157.55</v>
      </c>
      <c r="J13" s="5" t="s">
        <v>56</v>
      </c>
      <c r="L13" s="33">
        <v>45969.0</v>
      </c>
      <c r="M13" s="34" t="s">
        <v>44</v>
      </c>
      <c r="N13" s="35" t="s">
        <v>454</v>
      </c>
      <c r="O13" s="36"/>
      <c r="P13" s="36">
        <v>2750000.0</v>
      </c>
      <c r="Q13" s="36"/>
      <c r="R13" s="36"/>
      <c r="S13" s="36">
        <f t="shared" si="6"/>
        <v>2750000</v>
      </c>
      <c r="T13" s="36">
        <f t="shared" si="7"/>
        <v>117117017</v>
      </c>
      <c r="U13" s="34"/>
    </row>
    <row r="14" ht="15.75" customHeight="1">
      <c r="A14" s="29">
        <v>46070.0</v>
      </c>
      <c r="B14" s="2" t="s">
        <v>455</v>
      </c>
      <c r="C14" s="30">
        <v>46052.0</v>
      </c>
      <c r="D14" s="8">
        <f t="shared" si="1"/>
        <v>1951950.284</v>
      </c>
      <c r="E14" s="15">
        <f t="shared" ref="E14:E20" si="8">1952000-D14</f>
        <v>49.71564987</v>
      </c>
      <c r="F14" s="8">
        <f t="shared" si="3"/>
        <v>844761.5755</v>
      </c>
      <c r="G14" s="8">
        <f t="shared" si="4"/>
        <v>1107238.425</v>
      </c>
      <c r="H14" s="8">
        <f t="shared" si="5"/>
        <v>83368919.13</v>
      </c>
      <c r="J14" s="8">
        <f>+H10</f>
        <v>87750000</v>
      </c>
      <c r="L14" s="40">
        <v>45997.0</v>
      </c>
      <c r="M14" s="34" t="s">
        <v>73</v>
      </c>
      <c r="N14" s="35" t="s">
        <v>449</v>
      </c>
      <c r="O14" s="36"/>
      <c r="P14" s="36">
        <v>1952000.0</v>
      </c>
      <c r="Q14" s="36"/>
      <c r="R14" s="36"/>
      <c r="S14" s="36">
        <f t="shared" si="6"/>
        <v>1952000</v>
      </c>
      <c r="T14" s="36">
        <f t="shared" si="7"/>
        <v>115165017</v>
      </c>
      <c r="U14" s="34" t="s">
        <v>456</v>
      </c>
    </row>
    <row r="15" ht="15.75" customHeight="1">
      <c r="A15" s="29">
        <v>46088.0</v>
      </c>
      <c r="B15" s="2" t="s">
        <v>457</v>
      </c>
      <c r="C15" s="30">
        <v>46081.0</v>
      </c>
      <c r="D15" s="8">
        <f t="shared" si="1"/>
        <v>1951950.284</v>
      </c>
      <c r="E15" s="15">
        <f t="shared" si="8"/>
        <v>49.71564987</v>
      </c>
      <c r="F15" s="8">
        <f t="shared" si="3"/>
        <v>833689.1913</v>
      </c>
      <c r="G15" s="8">
        <f t="shared" si="4"/>
        <v>1118310.809</v>
      </c>
      <c r="H15" s="8">
        <f t="shared" si="5"/>
        <v>82250608.32</v>
      </c>
      <c r="J15" s="5"/>
      <c r="L15" s="33">
        <v>46006.0</v>
      </c>
      <c r="M15" s="34" t="s">
        <v>78</v>
      </c>
      <c r="N15" s="35" t="s">
        <v>451</v>
      </c>
      <c r="O15" s="36"/>
      <c r="P15" s="36">
        <v>1952000.0</v>
      </c>
      <c r="Q15" s="36"/>
      <c r="R15" s="36"/>
      <c r="S15" s="36">
        <f t="shared" si="6"/>
        <v>1952000</v>
      </c>
      <c r="T15" s="36">
        <f t="shared" si="7"/>
        <v>113213017</v>
      </c>
      <c r="U15" s="34"/>
    </row>
    <row r="16" ht="15.75" customHeight="1">
      <c r="A16" s="29">
        <v>46127.0</v>
      </c>
      <c r="B16" s="2" t="s">
        <v>458</v>
      </c>
      <c r="C16" s="30">
        <v>46111.0</v>
      </c>
      <c r="D16" s="8">
        <f t="shared" si="1"/>
        <v>1951950.284</v>
      </c>
      <c r="E16" s="15">
        <f t="shared" si="8"/>
        <v>49.71564987</v>
      </c>
      <c r="F16" s="8">
        <f t="shared" si="3"/>
        <v>822506.0832</v>
      </c>
      <c r="G16" s="8">
        <f t="shared" si="4"/>
        <v>1129493.917</v>
      </c>
      <c r="H16" s="8">
        <f t="shared" si="5"/>
        <v>81121114.4</v>
      </c>
      <c r="J16" s="5"/>
      <c r="L16" s="33">
        <v>46032.0</v>
      </c>
      <c r="M16" s="34" t="s">
        <v>83</v>
      </c>
      <c r="N16" s="35" t="s">
        <v>453</v>
      </c>
      <c r="O16" s="36"/>
      <c r="P16" s="36">
        <v>1970000.0</v>
      </c>
      <c r="Q16" s="36"/>
      <c r="R16" s="36"/>
      <c r="S16" s="36">
        <f t="shared" si="6"/>
        <v>1970000</v>
      </c>
      <c r="T16" s="36">
        <f t="shared" si="7"/>
        <v>111243017</v>
      </c>
      <c r="U16" s="34"/>
    </row>
    <row r="17" ht="15.75" customHeight="1">
      <c r="A17" s="29">
        <v>46157.0</v>
      </c>
      <c r="B17" s="2" t="s">
        <v>459</v>
      </c>
      <c r="C17" s="30">
        <v>46142.0</v>
      </c>
      <c r="D17" s="8">
        <f t="shared" si="1"/>
        <v>1951950.284</v>
      </c>
      <c r="E17" s="15">
        <f t="shared" si="8"/>
        <v>49.71564987</v>
      </c>
      <c r="F17" s="8">
        <f t="shared" si="3"/>
        <v>811211.144</v>
      </c>
      <c r="G17" s="8">
        <f t="shared" si="4"/>
        <v>1140788.856</v>
      </c>
      <c r="H17" s="8">
        <f t="shared" si="5"/>
        <v>79980325.54</v>
      </c>
      <c r="J17" s="5"/>
      <c r="L17" s="33">
        <v>46070.0</v>
      </c>
      <c r="M17" s="34" t="s">
        <v>85</v>
      </c>
      <c r="N17" s="35" t="s">
        <v>455</v>
      </c>
      <c r="O17" s="36"/>
      <c r="P17" s="36">
        <v>1952000.0</v>
      </c>
      <c r="Q17" s="36"/>
      <c r="R17" s="36"/>
      <c r="S17" s="36">
        <f t="shared" si="6"/>
        <v>1952000</v>
      </c>
      <c r="T17" s="36">
        <f t="shared" si="7"/>
        <v>109291017</v>
      </c>
      <c r="U17" s="34"/>
    </row>
    <row r="18" ht="15.75" customHeight="1">
      <c r="A18" s="29">
        <v>46186.0</v>
      </c>
      <c r="B18" s="2" t="s">
        <v>460</v>
      </c>
      <c r="C18" s="30">
        <v>46172.0</v>
      </c>
      <c r="D18" s="8">
        <f t="shared" si="1"/>
        <v>1951950.284</v>
      </c>
      <c r="E18" s="15">
        <f t="shared" si="8"/>
        <v>49.71564987</v>
      </c>
      <c r="F18" s="8">
        <f t="shared" si="3"/>
        <v>799803.2554</v>
      </c>
      <c r="G18" s="8">
        <f t="shared" si="4"/>
        <v>1152196.745</v>
      </c>
      <c r="H18" s="8">
        <f t="shared" si="5"/>
        <v>78828128.8</v>
      </c>
      <c r="J18" s="5"/>
      <c r="L18" s="33">
        <v>46088.0</v>
      </c>
      <c r="M18" s="34" t="s">
        <v>89</v>
      </c>
      <c r="N18" s="35" t="s">
        <v>457</v>
      </c>
      <c r="O18" s="36"/>
      <c r="P18" s="36">
        <v>1952000.0</v>
      </c>
      <c r="Q18" s="36"/>
      <c r="R18" s="36"/>
      <c r="S18" s="36">
        <f t="shared" si="6"/>
        <v>1952000</v>
      </c>
      <c r="T18" s="36">
        <f t="shared" si="7"/>
        <v>107339017</v>
      </c>
      <c r="U18" s="34"/>
    </row>
    <row r="19" ht="15.75" customHeight="1">
      <c r="A19" s="29">
        <v>46224.0</v>
      </c>
      <c r="B19" s="2" t="s">
        <v>461</v>
      </c>
      <c r="C19" s="30">
        <v>46203.0</v>
      </c>
      <c r="D19" s="8">
        <f t="shared" si="1"/>
        <v>1951950.284</v>
      </c>
      <c r="E19" s="15">
        <f t="shared" si="8"/>
        <v>49.71564987</v>
      </c>
      <c r="F19" s="8">
        <f t="shared" si="3"/>
        <v>788281.288</v>
      </c>
      <c r="G19" s="8">
        <f t="shared" si="4"/>
        <v>1163718.712</v>
      </c>
      <c r="H19" s="8">
        <f t="shared" si="5"/>
        <v>77664410.09</v>
      </c>
      <c r="I19" s="1"/>
      <c r="J19" s="41"/>
      <c r="K19" s="1"/>
      <c r="L19" s="42">
        <v>46127.0</v>
      </c>
      <c r="M19" s="43" t="s">
        <v>93</v>
      </c>
      <c r="N19" s="44" t="s">
        <v>458</v>
      </c>
      <c r="O19" s="45"/>
      <c r="P19" s="45">
        <v>1952000.0</v>
      </c>
      <c r="Q19" s="45"/>
      <c r="R19" s="45"/>
      <c r="S19" s="45">
        <f t="shared" si="6"/>
        <v>1952000</v>
      </c>
      <c r="T19" s="45">
        <f t="shared" si="7"/>
        <v>105387017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46249.0</v>
      </c>
      <c r="B20" s="2" t="s">
        <v>462</v>
      </c>
      <c r="C20" s="30">
        <v>46233.0</v>
      </c>
      <c r="D20" s="8">
        <f t="shared" si="1"/>
        <v>1951950.284</v>
      </c>
      <c r="E20" s="15">
        <f t="shared" si="8"/>
        <v>49.71564987</v>
      </c>
      <c r="F20" s="8">
        <f t="shared" si="3"/>
        <v>776644.1009</v>
      </c>
      <c r="G20" s="8">
        <f t="shared" si="4"/>
        <v>1175355.899</v>
      </c>
      <c r="H20" s="8">
        <f t="shared" si="5"/>
        <v>76489054.19</v>
      </c>
      <c r="J20" s="5"/>
      <c r="L20" s="33">
        <v>46157.0</v>
      </c>
      <c r="M20" s="34" t="s">
        <v>96</v>
      </c>
      <c r="N20" s="35" t="s">
        <v>459</v>
      </c>
      <c r="O20" s="36"/>
      <c r="P20" s="36">
        <v>1952000.0</v>
      </c>
      <c r="Q20" s="36"/>
      <c r="R20" s="36"/>
      <c r="S20" s="36">
        <f t="shared" si="6"/>
        <v>1952000</v>
      </c>
      <c r="T20" s="36">
        <f t="shared" si="7"/>
        <v>103435017</v>
      </c>
      <c r="U20" s="34"/>
    </row>
    <row r="21" ht="15.75" customHeight="1">
      <c r="A21" s="37"/>
      <c r="B21" s="2"/>
      <c r="C21" s="30">
        <v>46264.0</v>
      </c>
      <c r="D21" s="8">
        <f t="shared" si="1"/>
        <v>1951950.284</v>
      </c>
      <c r="E21" s="15"/>
      <c r="F21" s="8">
        <f t="shared" si="3"/>
        <v>764890.5419</v>
      </c>
      <c r="G21" s="8">
        <f t="shared" si="4"/>
        <v>1187059.742</v>
      </c>
      <c r="H21" s="8">
        <f t="shared" si="5"/>
        <v>75301994.45</v>
      </c>
      <c r="J21" s="5"/>
      <c r="L21" s="33">
        <v>46186.0</v>
      </c>
      <c r="M21" s="34" t="s">
        <v>100</v>
      </c>
      <c r="N21" s="35" t="s">
        <v>460</v>
      </c>
      <c r="O21" s="36"/>
      <c r="P21" s="36">
        <v>1952000.0</v>
      </c>
      <c r="Q21" s="36"/>
      <c r="R21" s="36"/>
      <c r="S21" s="36">
        <f t="shared" si="6"/>
        <v>1952000</v>
      </c>
      <c r="T21" s="36">
        <f t="shared" si="7"/>
        <v>101483017</v>
      </c>
      <c r="U21" s="34"/>
    </row>
    <row r="22" ht="15.75" customHeight="1">
      <c r="A22" s="37"/>
      <c r="B22" s="2"/>
      <c r="C22" s="30">
        <v>46295.0</v>
      </c>
      <c r="D22" s="8">
        <f t="shared" si="1"/>
        <v>1951950.284</v>
      </c>
      <c r="E22" s="15"/>
      <c r="F22" s="8">
        <f t="shared" si="3"/>
        <v>753019.9445</v>
      </c>
      <c r="G22" s="8">
        <f t="shared" si="4"/>
        <v>1198930.34</v>
      </c>
      <c r="H22" s="8">
        <f t="shared" si="5"/>
        <v>74103064.11</v>
      </c>
      <c r="J22" s="5"/>
      <c r="L22" s="33">
        <v>46224.0</v>
      </c>
      <c r="M22" s="34" t="s">
        <v>103</v>
      </c>
      <c r="N22" s="35" t="s">
        <v>461</v>
      </c>
      <c r="O22" s="36"/>
      <c r="P22" s="36">
        <v>1952000.0</v>
      </c>
      <c r="Q22" s="36"/>
      <c r="R22" s="36"/>
      <c r="S22" s="36">
        <f t="shared" si="6"/>
        <v>1952000</v>
      </c>
      <c r="T22" s="36">
        <f t="shared" si="7"/>
        <v>99531017</v>
      </c>
      <c r="U22" s="34"/>
    </row>
    <row r="23" ht="15.75" customHeight="1">
      <c r="A23" s="37"/>
      <c r="B23" s="2"/>
      <c r="C23" s="30">
        <v>46325.0</v>
      </c>
      <c r="D23" s="8">
        <f t="shared" si="1"/>
        <v>1951950.284</v>
      </c>
      <c r="E23" s="46"/>
      <c r="F23" s="8">
        <f t="shared" si="3"/>
        <v>741030.6411</v>
      </c>
      <c r="G23" s="8">
        <f t="shared" si="4"/>
        <v>1210919.643</v>
      </c>
      <c r="H23" s="8">
        <f t="shared" si="5"/>
        <v>72892144.46</v>
      </c>
      <c r="J23" s="5"/>
      <c r="L23" s="40">
        <v>46249.0</v>
      </c>
      <c r="M23" s="34" t="s">
        <v>107</v>
      </c>
      <c r="N23" s="35" t="s">
        <v>462</v>
      </c>
      <c r="O23" s="36"/>
      <c r="P23" s="36"/>
      <c r="Q23" s="36"/>
      <c r="R23" s="36">
        <v>1952000.0</v>
      </c>
      <c r="S23" s="36">
        <f t="shared" si="6"/>
        <v>1952000</v>
      </c>
      <c r="T23" s="36">
        <f t="shared" si="7"/>
        <v>97579017</v>
      </c>
      <c r="U23" s="34" t="s">
        <v>125</v>
      </c>
    </row>
    <row r="24" ht="15.75" customHeight="1">
      <c r="A24" s="37"/>
      <c r="B24" s="2"/>
      <c r="C24" s="30">
        <v>46356.0</v>
      </c>
      <c r="D24" s="8">
        <f t="shared" si="1"/>
        <v>1951950.284</v>
      </c>
      <c r="E24" s="46"/>
      <c r="F24" s="8">
        <f t="shared" si="3"/>
        <v>728921.4446</v>
      </c>
      <c r="G24" s="8">
        <f t="shared" si="4"/>
        <v>1223028.84</v>
      </c>
      <c r="H24" s="8">
        <f t="shared" si="5"/>
        <v>71669115.62</v>
      </c>
      <c r="J24" s="5"/>
      <c r="L24" s="25"/>
      <c r="M24" s="38" t="s">
        <v>69</v>
      </c>
      <c r="N24" s="39"/>
      <c r="O24" s="27">
        <f t="shared" ref="O24:S24" si="9">SUM(O11:O23)</f>
        <v>0</v>
      </c>
      <c r="P24" s="27">
        <f t="shared" si="9"/>
        <v>27336000</v>
      </c>
      <c r="Q24" s="27">
        <f t="shared" si="9"/>
        <v>0</v>
      </c>
      <c r="R24" s="27">
        <f t="shared" si="9"/>
        <v>1952000</v>
      </c>
      <c r="S24" s="27">
        <f t="shared" si="9"/>
        <v>29288000</v>
      </c>
      <c r="T24" s="27">
        <f>T23</f>
        <v>97579017</v>
      </c>
      <c r="U24" s="25"/>
    </row>
    <row r="25" ht="15.75" customHeight="1">
      <c r="B25" s="2"/>
      <c r="C25" s="30">
        <v>46386.0</v>
      </c>
      <c r="D25" s="8">
        <f t="shared" si="1"/>
        <v>1951950.284</v>
      </c>
      <c r="E25" s="46"/>
      <c r="F25" s="8">
        <f t="shared" si="3"/>
        <v>716691.1562</v>
      </c>
      <c r="G25" s="8">
        <f t="shared" si="4"/>
        <v>1235259.128</v>
      </c>
      <c r="H25" s="8">
        <f t="shared" si="5"/>
        <v>70433856.49</v>
      </c>
      <c r="J25" s="5"/>
    </row>
    <row r="26" ht="15.75" customHeight="1">
      <c r="B26" s="2"/>
      <c r="C26" s="30">
        <v>46417.0</v>
      </c>
      <c r="D26" s="8">
        <f t="shared" si="1"/>
        <v>1951950.284</v>
      </c>
      <c r="E26" s="46"/>
      <c r="F26" s="8">
        <f t="shared" si="3"/>
        <v>704338.5649</v>
      </c>
      <c r="G26" s="8">
        <f t="shared" si="4"/>
        <v>1247611.719</v>
      </c>
      <c r="H26" s="8">
        <f t="shared" si="5"/>
        <v>69186244.78</v>
      </c>
      <c r="J26" s="5"/>
    </row>
    <row r="27" ht="15.75" customHeight="1">
      <c r="B27" s="2"/>
      <c r="C27" s="30">
        <v>46446.0</v>
      </c>
      <c r="D27" s="8">
        <f t="shared" si="1"/>
        <v>1951950.284</v>
      </c>
      <c r="E27" s="46"/>
      <c r="F27" s="8">
        <f t="shared" si="3"/>
        <v>691862.4478</v>
      </c>
      <c r="G27" s="8">
        <f t="shared" si="4"/>
        <v>1260087.837</v>
      </c>
      <c r="H27" s="8">
        <f t="shared" si="5"/>
        <v>67926156.94</v>
      </c>
      <c r="J27" s="5"/>
    </row>
    <row r="28" ht="15.75" customHeight="1">
      <c r="B28" s="2"/>
      <c r="C28" s="30">
        <v>46476.0</v>
      </c>
      <c r="D28" s="8">
        <f t="shared" si="1"/>
        <v>1951950.284</v>
      </c>
      <c r="E28" s="46"/>
      <c r="F28" s="8">
        <f t="shared" si="3"/>
        <v>679261.5694</v>
      </c>
      <c r="G28" s="8">
        <f t="shared" si="4"/>
        <v>1272688.715</v>
      </c>
      <c r="H28" s="8">
        <f t="shared" si="5"/>
        <v>66653468.22</v>
      </c>
      <c r="J28" s="5"/>
    </row>
    <row r="29" ht="15.75" customHeight="1">
      <c r="B29" s="2"/>
      <c r="C29" s="30">
        <v>46507.0</v>
      </c>
      <c r="D29" s="8">
        <f t="shared" si="1"/>
        <v>1951950.284</v>
      </c>
      <c r="E29" s="46"/>
      <c r="F29" s="8">
        <f t="shared" si="3"/>
        <v>666534.6822</v>
      </c>
      <c r="G29" s="8">
        <f t="shared" si="4"/>
        <v>1285415.602</v>
      </c>
      <c r="H29" s="8">
        <f t="shared" si="5"/>
        <v>65368052.62</v>
      </c>
      <c r="J29" s="5"/>
    </row>
    <row r="30" ht="15.75" customHeight="1">
      <c r="B30" s="2"/>
      <c r="C30" s="30">
        <v>46537.0</v>
      </c>
      <c r="D30" s="8">
        <f t="shared" si="1"/>
        <v>1951950.284</v>
      </c>
      <c r="E30" s="46"/>
      <c r="F30" s="8">
        <f t="shared" si="3"/>
        <v>653680.5262</v>
      </c>
      <c r="G30" s="8">
        <f t="shared" si="4"/>
        <v>1298269.758</v>
      </c>
      <c r="H30" s="8">
        <f t="shared" si="5"/>
        <v>64069782.86</v>
      </c>
      <c r="J30" s="5"/>
    </row>
    <row r="31" ht="15.75" customHeight="1">
      <c r="B31" s="2"/>
      <c r="C31" s="30">
        <v>46568.0</v>
      </c>
      <c r="D31" s="8">
        <f t="shared" si="1"/>
        <v>1951950.284</v>
      </c>
      <c r="E31" s="46"/>
      <c r="F31" s="8">
        <f t="shared" si="3"/>
        <v>640697.8286</v>
      </c>
      <c r="G31" s="8">
        <f t="shared" si="4"/>
        <v>1311252.456</v>
      </c>
      <c r="H31" s="8">
        <f t="shared" si="5"/>
        <v>62758530.41</v>
      </c>
      <c r="J31" s="5"/>
    </row>
    <row r="32" ht="15.75" customHeight="1">
      <c r="B32" s="2"/>
      <c r="C32" s="30">
        <v>46598.0</v>
      </c>
      <c r="D32" s="8">
        <f t="shared" si="1"/>
        <v>1951950.284</v>
      </c>
      <c r="E32" s="46"/>
      <c r="F32" s="8">
        <f t="shared" si="3"/>
        <v>627585.3041</v>
      </c>
      <c r="G32" s="8">
        <f t="shared" si="4"/>
        <v>1324364.98</v>
      </c>
      <c r="H32" s="8">
        <f t="shared" si="5"/>
        <v>61434165.43</v>
      </c>
      <c r="J32" s="5"/>
    </row>
    <row r="33" ht="15.75" customHeight="1">
      <c r="B33" s="2"/>
      <c r="C33" s="30">
        <v>46629.0</v>
      </c>
      <c r="D33" s="8">
        <f t="shared" si="1"/>
        <v>1951950.284</v>
      </c>
      <c r="E33" s="46"/>
      <c r="F33" s="8">
        <f t="shared" si="3"/>
        <v>614341.6543</v>
      </c>
      <c r="G33" s="8">
        <f t="shared" si="4"/>
        <v>1337608.63</v>
      </c>
      <c r="H33" s="8">
        <f t="shared" si="5"/>
        <v>60096556.8</v>
      </c>
      <c r="J33" s="5"/>
    </row>
    <row r="34" ht="15.75" customHeight="1">
      <c r="B34" s="2"/>
      <c r="C34" s="30">
        <v>46660.0</v>
      </c>
      <c r="D34" s="8">
        <f t="shared" si="1"/>
        <v>1951950.284</v>
      </c>
      <c r="E34" s="46"/>
      <c r="F34" s="8">
        <f t="shared" si="3"/>
        <v>600965.568</v>
      </c>
      <c r="G34" s="8">
        <f t="shared" si="4"/>
        <v>1350984.716</v>
      </c>
      <c r="H34" s="8">
        <f t="shared" si="5"/>
        <v>58745572.08</v>
      </c>
      <c r="J34" s="5"/>
    </row>
    <row r="35" ht="15.75" customHeight="1">
      <c r="B35" s="2"/>
      <c r="C35" s="30">
        <v>46690.0</v>
      </c>
      <c r="D35" s="8">
        <f t="shared" si="1"/>
        <v>1951950.284</v>
      </c>
      <c r="E35" s="46"/>
      <c r="F35" s="8">
        <f t="shared" si="3"/>
        <v>587455.7208</v>
      </c>
      <c r="G35" s="8">
        <f t="shared" si="4"/>
        <v>1364494.564</v>
      </c>
      <c r="H35" s="8">
        <f t="shared" si="5"/>
        <v>57381077.52</v>
      </c>
      <c r="J35" s="5"/>
    </row>
    <row r="36" ht="15.75" customHeight="1">
      <c r="B36" s="2"/>
      <c r="C36" s="30">
        <v>46721.0</v>
      </c>
      <c r="D36" s="8">
        <f t="shared" si="1"/>
        <v>1951950.284</v>
      </c>
      <c r="E36" s="46"/>
      <c r="F36" s="8">
        <f t="shared" si="3"/>
        <v>573810.7752</v>
      </c>
      <c r="G36" s="8">
        <f t="shared" si="4"/>
        <v>1378139.509</v>
      </c>
      <c r="H36" s="8">
        <f t="shared" si="5"/>
        <v>56002938.01</v>
      </c>
      <c r="J36" s="5"/>
    </row>
    <row r="37" ht="15.75" customHeight="1">
      <c r="B37" s="2"/>
      <c r="C37" s="30">
        <v>46751.0</v>
      </c>
      <c r="D37" s="8">
        <f t="shared" si="1"/>
        <v>1951950.284</v>
      </c>
      <c r="E37" s="46"/>
      <c r="F37" s="8">
        <f t="shared" si="3"/>
        <v>560029.3801</v>
      </c>
      <c r="G37" s="8">
        <f t="shared" si="4"/>
        <v>1391920.904</v>
      </c>
      <c r="H37" s="8">
        <f t="shared" si="5"/>
        <v>54611017.1</v>
      </c>
      <c r="J37" s="5"/>
    </row>
    <row r="38" ht="15.75" customHeight="1">
      <c r="B38" s="2"/>
      <c r="C38" s="30">
        <v>46782.0</v>
      </c>
      <c r="D38" s="8">
        <f t="shared" si="1"/>
        <v>1951950.284</v>
      </c>
      <c r="E38" s="46"/>
      <c r="F38" s="8">
        <f t="shared" si="3"/>
        <v>546110.171</v>
      </c>
      <c r="G38" s="8">
        <f t="shared" si="4"/>
        <v>1405840.113</v>
      </c>
      <c r="H38" s="8">
        <f t="shared" si="5"/>
        <v>53205176.99</v>
      </c>
      <c r="J38" s="5"/>
    </row>
    <row r="39" ht="15.75" customHeight="1">
      <c r="B39" s="2"/>
      <c r="C39" s="30">
        <v>46812.0</v>
      </c>
      <c r="D39" s="8">
        <f t="shared" si="1"/>
        <v>1951950.284</v>
      </c>
      <c r="E39" s="46"/>
      <c r="F39" s="8">
        <f t="shared" si="3"/>
        <v>532051.7699</v>
      </c>
      <c r="G39" s="8">
        <f t="shared" si="4"/>
        <v>1419898.514</v>
      </c>
      <c r="H39" s="8">
        <f t="shared" si="5"/>
        <v>51785278.48</v>
      </c>
      <c r="J39" s="5"/>
    </row>
    <row r="40" ht="15.75" customHeight="1">
      <c r="B40" s="2"/>
      <c r="C40" s="30">
        <v>46842.0</v>
      </c>
      <c r="D40" s="8">
        <f t="shared" si="1"/>
        <v>1951950.284</v>
      </c>
      <c r="E40" s="46"/>
      <c r="F40" s="8">
        <f t="shared" si="3"/>
        <v>517852.7848</v>
      </c>
      <c r="G40" s="8">
        <f t="shared" si="4"/>
        <v>1434097.5</v>
      </c>
      <c r="H40" s="8">
        <f t="shared" si="5"/>
        <v>50351180.98</v>
      </c>
      <c r="J40" s="5"/>
    </row>
    <row r="41" ht="15.75" customHeight="1">
      <c r="B41" s="2"/>
      <c r="C41" s="30">
        <v>46873.0</v>
      </c>
      <c r="D41" s="8">
        <f t="shared" si="1"/>
        <v>1951950.284</v>
      </c>
      <c r="E41" s="46"/>
      <c r="F41" s="8">
        <f t="shared" si="3"/>
        <v>503511.8098</v>
      </c>
      <c r="G41" s="8">
        <f t="shared" si="4"/>
        <v>1448438.475</v>
      </c>
      <c r="H41" s="8">
        <f t="shared" si="5"/>
        <v>48902742.5</v>
      </c>
      <c r="J41" s="5"/>
    </row>
    <row r="42" ht="15.75" customHeight="1">
      <c r="B42" s="2"/>
      <c r="C42" s="30">
        <v>46903.0</v>
      </c>
      <c r="D42" s="8">
        <f t="shared" si="1"/>
        <v>1951950.284</v>
      </c>
      <c r="E42" s="46"/>
      <c r="F42" s="8">
        <f t="shared" si="3"/>
        <v>489027.425</v>
      </c>
      <c r="G42" s="8">
        <f t="shared" si="4"/>
        <v>1462922.859</v>
      </c>
      <c r="H42" s="8">
        <f t="shared" si="5"/>
        <v>47439819.64</v>
      </c>
      <c r="J42" s="5"/>
    </row>
    <row r="43" ht="15.75" customHeight="1">
      <c r="B43" s="2"/>
      <c r="C43" s="30">
        <v>46934.0</v>
      </c>
      <c r="D43" s="8">
        <f t="shared" si="1"/>
        <v>1951950.284</v>
      </c>
      <c r="E43" s="46"/>
      <c r="F43" s="8">
        <f t="shared" si="3"/>
        <v>474398.1964</v>
      </c>
      <c r="G43" s="8">
        <f t="shared" si="4"/>
        <v>1477552.088</v>
      </c>
      <c r="H43" s="8">
        <f t="shared" si="5"/>
        <v>45962267.55</v>
      </c>
      <c r="J43" s="5"/>
    </row>
    <row r="44" ht="15.75" customHeight="1">
      <c r="B44" s="2"/>
      <c r="C44" s="30">
        <v>46964.0</v>
      </c>
      <c r="D44" s="8">
        <f t="shared" si="1"/>
        <v>1951950.284</v>
      </c>
      <c r="E44" s="46"/>
      <c r="F44" s="8">
        <f t="shared" si="3"/>
        <v>459622.6755</v>
      </c>
      <c r="G44" s="8">
        <f t="shared" si="4"/>
        <v>1492327.609</v>
      </c>
      <c r="H44" s="8">
        <f t="shared" si="5"/>
        <v>44469939.95</v>
      </c>
      <c r="J44" s="5"/>
    </row>
    <row r="45" ht="15.75" customHeight="1">
      <c r="B45" s="2"/>
      <c r="C45" s="30">
        <v>46995.0</v>
      </c>
      <c r="D45" s="8">
        <f t="shared" si="1"/>
        <v>1951950.284</v>
      </c>
      <c r="E45" s="46"/>
      <c r="F45" s="8">
        <f t="shared" si="3"/>
        <v>444699.3995</v>
      </c>
      <c r="G45" s="8">
        <f t="shared" si="4"/>
        <v>1507250.885</v>
      </c>
      <c r="H45" s="8">
        <f t="shared" si="5"/>
        <v>42962689.06</v>
      </c>
      <c r="J45" s="5"/>
    </row>
    <row r="46" ht="15.75" customHeight="1">
      <c r="B46" s="2"/>
      <c r="C46" s="30">
        <v>47026.0</v>
      </c>
      <c r="D46" s="8">
        <f t="shared" si="1"/>
        <v>1951950.284</v>
      </c>
      <c r="E46" s="46"/>
      <c r="F46" s="8">
        <f t="shared" si="3"/>
        <v>429626.8906</v>
      </c>
      <c r="G46" s="8">
        <f t="shared" si="4"/>
        <v>1522323.394</v>
      </c>
      <c r="H46" s="8">
        <f t="shared" si="5"/>
        <v>41440365.67</v>
      </c>
      <c r="J46" s="5"/>
    </row>
    <row r="47" ht="15.75" customHeight="1">
      <c r="B47" s="2"/>
      <c r="C47" s="30">
        <v>47056.0</v>
      </c>
      <c r="D47" s="8">
        <f t="shared" si="1"/>
        <v>1951950.284</v>
      </c>
      <c r="E47" s="46"/>
      <c r="F47" s="8">
        <f t="shared" si="3"/>
        <v>414403.6567</v>
      </c>
      <c r="G47" s="8">
        <f t="shared" si="4"/>
        <v>1537546.628</v>
      </c>
      <c r="H47" s="8">
        <f t="shared" si="5"/>
        <v>39902819.04</v>
      </c>
      <c r="J47" s="5"/>
    </row>
    <row r="48" ht="15.75" customHeight="1">
      <c r="B48" s="2"/>
      <c r="C48" s="30">
        <v>47087.0</v>
      </c>
      <c r="D48" s="8">
        <f t="shared" si="1"/>
        <v>1951950.284</v>
      </c>
      <c r="E48" s="46"/>
      <c r="F48" s="8">
        <f t="shared" si="3"/>
        <v>399028.1904</v>
      </c>
      <c r="G48" s="8">
        <f t="shared" si="4"/>
        <v>1552922.094</v>
      </c>
      <c r="H48" s="8">
        <f t="shared" si="5"/>
        <v>38349896.95</v>
      </c>
      <c r="J48" s="5"/>
    </row>
    <row r="49" ht="15.75" customHeight="1">
      <c r="B49" s="2"/>
      <c r="C49" s="30">
        <v>47117.0</v>
      </c>
      <c r="D49" s="8">
        <f t="shared" si="1"/>
        <v>1951950.284</v>
      </c>
      <c r="E49" s="46"/>
      <c r="F49" s="8">
        <f t="shared" si="3"/>
        <v>383498.9695</v>
      </c>
      <c r="G49" s="8">
        <f t="shared" si="4"/>
        <v>1568451.315</v>
      </c>
      <c r="H49" s="8">
        <f t="shared" si="5"/>
        <v>36781445.63</v>
      </c>
      <c r="J49" s="5"/>
    </row>
    <row r="50" ht="15.75" customHeight="1">
      <c r="B50" s="2"/>
      <c r="C50" s="30">
        <v>47148.0</v>
      </c>
      <c r="D50" s="8">
        <f t="shared" si="1"/>
        <v>1951950.284</v>
      </c>
      <c r="E50" s="46"/>
      <c r="F50" s="8">
        <f t="shared" si="3"/>
        <v>367814.4563</v>
      </c>
      <c r="G50" s="8">
        <f t="shared" si="4"/>
        <v>1584135.828</v>
      </c>
      <c r="H50" s="8">
        <f t="shared" si="5"/>
        <v>35197309.8</v>
      </c>
      <c r="J50" s="5"/>
    </row>
    <row r="51" ht="15.75" customHeight="1">
      <c r="B51" s="2"/>
      <c r="C51" s="30">
        <v>47177.0</v>
      </c>
      <c r="D51" s="8">
        <f t="shared" si="1"/>
        <v>1951950.284</v>
      </c>
      <c r="E51" s="46"/>
      <c r="F51" s="8">
        <f t="shared" si="3"/>
        <v>351973.098</v>
      </c>
      <c r="G51" s="8">
        <f t="shared" si="4"/>
        <v>1599977.186</v>
      </c>
      <c r="H51" s="8">
        <f t="shared" si="5"/>
        <v>33597332.62</v>
      </c>
      <c r="J51" s="5"/>
    </row>
    <row r="52" ht="15.75" customHeight="1">
      <c r="B52" s="2"/>
      <c r="C52" s="30">
        <v>47207.0</v>
      </c>
      <c r="D52" s="8">
        <f t="shared" si="1"/>
        <v>1951950.284</v>
      </c>
      <c r="E52" s="46"/>
      <c r="F52" s="8">
        <f t="shared" si="3"/>
        <v>335973.3262</v>
      </c>
      <c r="G52" s="8">
        <f t="shared" si="4"/>
        <v>1615976.958</v>
      </c>
      <c r="H52" s="8">
        <f t="shared" si="5"/>
        <v>31981355.66</v>
      </c>
      <c r="J52" s="5"/>
    </row>
    <row r="53" ht="15.75" customHeight="1">
      <c r="B53" s="2"/>
      <c r="C53" s="30">
        <v>47238.0</v>
      </c>
      <c r="D53" s="8">
        <f t="shared" si="1"/>
        <v>1951950.284</v>
      </c>
      <c r="E53" s="46"/>
      <c r="F53" s="8">
        <f t="shared" si="3"/>
        <v>319813.5566</v>
      </c>
      <c r="G53" s="8">
        <f t="shared" si="4"/>
        <v>1632136.728</v>
      </c>
      <c r="H53" s="8">
        <f t="shared" si="5"/>
        <v>30349218.93</v>
      </c>
      <c r="J53" s="5"/>
    </row>
    <row r="54" ht="15.75" customHeight="1">
      <c r="B54" s="2"/>
      <c r="C54" s="30">
        <v>47268.0</v>
      </c>
      <c r="D54" s="8">
        <f t="shared" si="1"/>
        <v>1951950.284</v>
      </c>
      <c r="E54" s="46"/>
      <c r="F54" s="8">
        <f t="shared" si="3"/>
        <v>303492.1893</v>
      </c>
      <c r="G54" s="8">
        <f t="shared" si="4"/>
        <v>1648458.095</v>
      </c>
      <c r="H54" s="8">
        <f t="shared" si="5"/>
        <v>28700760.84</v>
      </c>
      <c r="J54" s="5"/>
    </row>
    <row r="55" ht="15.75" customHeight="1">
      <c r="B55" s="2"/>
      <c r="C55" s="30">
        <v>47299.0</v>
      </c>
      <c r="D55" s="8">
        <f t="shared" si="1"/>
        <v>1951950.284</v>
      </c>
      <c r="E55" s="46"/>
      <c r="F55" s="8">
        <f t="shared" si="3"/>
        <v>287007.6084</v>
      </c>
      <c r="G55" s="8">
        <f t="shared" si="4"/>
        <v>1664942.676</v>
      </c>
      <c r="H55" s="8">
        <f t="shared" si="5"/>
        <v>27035818.16</v>
      </c>
      <c r="J55" s="5"/>
    </row>
    <row r="56" ht="15.75" customHeight="1">
      <c r="B56" s="2"/>
      <c r="C56" s="30">
        <v>47329.0</v>
      </c>
      <c r="D56" s="8">
        <f t="shared" si="1"/>
        <v>1951950.284</v>
      </c>
      <c r="E56" s="46"/>
      <c r="F56" s="8">
        <f t="shared" si="3"/>
        <v>270358.1816</v>
      </c>
      <c r="G56" s="8">
        <f t="shared" si="4"/>
        <v>1681592.103</v>
      </c>
      <c r="H56" s="8">
        <f t="shared" si="5"/>
        <v>25354226.06</v>
      </c>
      <c r="J56" s="5"/>
    </row>
    <row r="57" ht="15.75" customHeight="1">
      <c r="B57" s="2"/>
      <c r="C57" s="30">
        <v>47360.0</v>
      </c>
      <c r="D57" s="8">
        <f t="shared" si="1"/>
        <v>1951950.284</v>
      </c>
      <c r="E57" s="46"/>
      <c r="F57" s="8">
        <f t="shared" si="3"/>
        <v>253542.2606</v>
      </c>
      <c r="G57" s="8">
        <f t="shared" si="4"/>
        <v>1698408.024</v>
      </c>
      <c r="H57" s="8">
        <f t="shared" si="5"/>
        <v>23655818.03</v>
      </c>
      <c r="J57" s="5"/>
    </row>
    <row r="58" ht="15.75" customHeight="1">
      <c r="B58" s="2"/>
      <c r="C58" s="30">
        <v>47391.0</v>
      </c>
      <c r="D58" s="8">
        <f t="shared" si="1"/>
        <v>1951950.284</v>
      </c>
      <c r="E58" s="46"/>
      <c r="F58" s="8">
        <f t="shared" si="3"/>
        <v>236558.1803</v>
      </c>
      <c r="G58" s="8">
        <f t="shared" si="4"/>
        <v>1715392.104</v>
      </c>
      <c r="H58" s="8">
        <f t="shared" si="5"/>
        <v>21940425.93</v>
      </c>
      <c r="J58" s="5"/>
    </row>
    <row r="59" ht="15.75" customHeight="1">
      <c r="B59" s="2"/>
      <c r="C59" s="30">
        <v>47421.0</v>
      </c>
      <c r="D59" s="8">
        <f t="shared" si="1"/>
        <v>1951950.284</v>
      </c>
      <c r="E59" s="46"/>
      <c r="F59" s="8">
        <f t="shared" si="3"/>
        <v>219404.2593</v>
      </c>
      <c r="G59" s="8">
        <f t="shared" si="4"/>
        <v>1732546.025</v>
      </c>
      <c r="H59" s="8">
        <f t="shared" si="5"/>
        <v>20207879.9</v>
      </c>
      <c r="J59" s="5"/>
    </row>
    <row r="60" ht="15.75" customHeight="1">
      <c r="B60" s="2"/>
      <c r="C60" s="30">
        <v>47452.0</v>
      </c>
      <c r="D60" s="8">
        <f t="shared" si="1"/>
        <v>1951950.284</v>
      </c>
      <c r="E60" s="46"/>
      <c r="F60" s="8">
        <f t="shared" si="3"/>
        <v>202078.799</v>
      </c>
      <c r="G60" s="8">
        <f t="shared" si="4"/>
        <v>1749871.485</v>
      </c>
      <c r="H60" s="8">
        <f t="shared" si="5"/>
        <v>18458008.42</v>
      </c>
      <c r="J60" s="5"/>
    </row>
    <row r="61" ht="15.75" customHeight="1">
      <c r="B61" s="2"/>
      <c r="C61" s="30">
        <v>47482.0</v>
      </c>
      <c r="D61" s="8">
        <f t="shared" si="1"/>
        <v>1951950.284</v>
      </c>
      <c r="E61" s="46"/>
      <c r="F61" s="8">
        <f t="shared" si="3"/>
        <v>184580.0842</v>
      </c>
      <c r="G61" s="8">
        <f t="shared" si="4"/>
        <v>1767370.2</v>
      </c>
      <c r="H61" s="8">
        <f t="shared" si="5"/>
        <v>16690638.22</v>
      </c>
      <c r="J61" s="5"/>
    </row>
    <row r="62" ht="15.75" customHeight="1">
      <c r="B62" s="2"/>
      <c r="C62" s="30">
        <v>47513.0</v>
      </c>
      <c r="D62" s="8">
        <f t="shared" si="1"/>
        <v>1951950.284</v>
      </c>
      <c r="E62" s="46"/>
      <c r="F62" s="8">
        <f t="shared" si="3"/>
        <v>166906.3822</v>
      </c>
      <c r="G62" s="8">
        <f t="shared" si="4"/>
        <v>1785043.902</v>
      </c>
      <c r="H62" s="8">
        <f t="shared" si="5"/>
        <v>14905594.32</v>
      </c>
      <c r="J62" s="5"/>
    </row>
    <row r="63" ht="15.75" customHeight="1">
      <c r="B63" s="2"/>
      <c r="C63" s="30">
        <v>47542.0</v>
      </c>
      <c r="D63" s="8">
        <f t="shared" si="1"/>
        <v>1951950.284</v>
      </c>
      <c r="E63" s="46"/>
      <c r="F63" s="8">
        <f t="shared" si="3"/>
        <v>149055.9432</v>
      </c>
      <c r="G63" s="8">
        <f t="shared" si="4"/>
        <v>1802894.341</v>
      </c>
      <c r="H63" s="8">
        <f t="shared" si="5"/>
        <v>13102699.98</v>
      </c>
      <c r="J63" s="5"/>
    </row>
    <row r="64" ht="15.75" customHeight="1">
      <c r="B64" s="2"/>
      <c r="C64" s="30">
        <v>47572.0</v>
      </c>
      <c r="D64" s="8">
        <f t="shared" si="1"/>
        <v>1951950.284</v>
      </c>
      <c r="E64" s="46"/>
      <c r="F64" s="8">
        <f t="shared" si="3"/>
        <v>131026.9998</v>
      </c>
      <c r="G64" s="8">
        <f t="shared" si="4"/>
        <v>1820923.285</v>
      </c>
      <c r="H64" s="8">
        <f t="shared" si="5"/>
        <v>11281776.69</v>
      </c>
      <c r="J64" s="5"/>
    </row>
    <row r="65" ht="15.75" customHeight="1">
      <c r="B65" s="2"/>
      <c r="C65" s="30">
        <v>47603.0</v>
      </c>
      <c r="D65" s="8">
        <f t="shared" si="1"/>
        <v>1951950.284</v>
      </c>
      <c r="E65" s="46"/>
      <c r="F65" s="8">
        <f t="shared" si="3"/>
        <v>112817.7669</v>
      </c>
      <c r="G65" s="8">
        <f t="shared" si="4"/>
        <v>1839132.517</v>
      </c>
      <c r="H65" s="8">
        <f t="shared" si="5"/>
        <v>9442644.173</v>
      </c>
      <c r="J65" s="5"/>
    </row>
    <row r="66" ht="15.75" customHeight="1">
      <c r="B66" s="2"/>
      <c r="C66" s="30">
        <v>47633.0</v>
      </c>
      <c r="D66" s="8">
        <f t="shared" si="1"/>
        <v>1951950.284</v>
      </c>
      <c r="E66" s="46"/>
      <c r="F66" s="8">
        <f t="shared" si="3"/>
        <v>94426.44173</v>
      </c>
      <c r="G66" s="8">
        <f t="shared" si="4"/>
        <v>1857523.843</v>
      </c>
      <c r="H66" s="8">
        <f t="shared" si="5"/>
        <v>7585120.331</v>
      </c>
      <c r="J66" s="5"/>
    </row>
    <row r="67" ht="15.75" customHeight="1">
      <c r="B67" s="2"/>
      <c r="C67" s="30">
        <v>47664.0</v>
      </c>
      <c r="D67" s="8">
        <f t="shared" si="1"/>
        <v>1951950.284</v>
      </c>
      <c r="E67" s="46"/>
      <c r="F67" s="8">
        <f t="shared" si="3"/>
        <v>75851.20331</v>
      </c>
      <c r="G67" s="8">
        <f t="shared" si="4"/>
        <v>1876099.081</v>
      </c>
      <c r="H67" s="8">
        <f t="shared" si="5"/>
        <v>5709021.249</v>
      </c>
      <c r="J67" s="5"/>
    </row>
    <row r="68" ht="15.75" customHeight="1">
      <c r="B68" s="2"/>
      <c r="C68" s="30">
        <v>47694.0</v>
      </c>
      <c r="D68" s="8">
        <f t="shared" si="1"/>
        <v>1951950.284</v>
      </c>
      <c r="E68" s="46"/>
      <c r="F68" s="8">
        <f t="shared" si="3"/>
        <v>57090.21249</v>
      </c>
      <c r="G68" s="8">
        <f t="shared" si="4"/>
        <v>1894860.072</v>
      </c>
      <c r="H68" s="8">
        <f t="shared" si="5"/>
        <v>3814161.178</v>
      </c>
      <c r="J68" s="5"/>
    </row>
    <row r="69" ht="15.75" customHeight="1">
      <c r="B69" s="2"/>
      <c r="C69" s="30">
        <v>47725.0</v>
      </c>
      <c r="D69" s="8">
        <f t="shared" si="1"/>
        <v>1951950.284</v>
      </c>
      <c r="E69" s="46"/>
      <c r="F69" s="8">
        <f t="shared" si="3"/>
        <v>38141.61178</v>
      </c>
      <c r="G69" s="8">
        <f t="shared" si="4"/>
        <v>1913808.673</v>
      </c>
      <c r="H69" s="8">
        <f t="shared" si="5"/>
        <v>1900352.505</v>
      </c>
      <c r="J69" s="5"/>
    </row>
    <row r="70" ht="15.75" customHeight="1">
      <c r="A70" s="47"/>
      <c r="B70" s="48"/>
      <c r="C70" s="49">
        <v>47756.0</v>
      </c>
      <c r="D70" s="50">
        <f t="shared" si="1"/>
        <v>1951950.284</v>
      </c>
      <c r="E70" s="51"/>
      <c r="F70" s="50">
        <f t="shared" si="3"/>
        <v>19003.52505</v>
      </c>
      <c r="G70" s="50">
        <f t="shared" si="4"/>
        <v>1932946.759</v>
      </c>
      <c r="H70" s="50">
        <f t="shared" si="5"/>
        <v>-32594.25423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21.78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463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8" t="s">
        <v>464</v>
      </c>
      <c r="E7" s="12"/>
      <c r="H7" s="5"/>
      <c r="J7" s="5"/>
    </row>
    <row r="8" ht="15.75" customHeight="1">
      <c r="B8" s="2"/>
      <c r="C8" s="1" t="s">
        <v>16</v>
      </c>
      <c r="D8" s="16">
        <v>1.118311868E9</v>
      </c>
      <c r="E8" s="12"/>
      <c r="H8" s="5"/>
      <c r="I8" s="17"/>
      <c r="J8" s="19"/>
      <c r="K8" s="17"/>
      <c r="L8" s="21" t="s">
        <v>465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45721.0</v>
      </c>
      <c r="B11" s="2" t="s">
        <v>467</v>
      </c>
      <c r="C11" s="30">
        <v>45721.0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45657.0</v>
      </c>
      <c r="M11" s="34" t="s">
        <v>44</v>
      </c>
      <c r="N11" s="35" t="s">
        <v>468</v>
      </c>
      <c r="O11" s="36"/>
      <c r="P11" s="36">
        <v>3500000.0</v>
      </c>
      <c r="Q11" s="36"/>
      <c r="R11" s="36"/>
      <c r="S11" s="36">
        <f t="shared" ref="S11:S18" si="5">SUM(O11:R11)</f>
        <v>3500000</v>
      </c>
      <c r="T11" s="36">
        <f t="shared" ref="T11:T18" si="6">T10-S11</f>
        <v>123367017</v>
      </c>
      <c r="U11" s="34"/>
    </row>
    <row r="12" ht="15.75" customHeight="1">
      <c r="A12" s="29">
        <v>45721.0</v>
      </c>
      <c r="B12" s="2" t="s">
        <v>467</v>
      </c>
      <c r="C12" s="30">
        <v>45752.0</v>
      </c>
      <c r="D12" s="8">
        <f t="shared" si="1"/>
        <v>1951950.284</v>
      </c>
      <c r="E12" s="15">
        <f>4130697-D11-D12</f>
        <v>226796.4313</v>
      </c>
      <c r="F12" s="8">
        <f t="shared" si="2"/>
        <v>866755.4972</v>
      </c>
      <c r="G12" s="8">
        <f t="shared" si="3"/>
        <v>1311991.218</v>
      </c>
      <c r="H12" s="8">
        <f t="shared" si="4"/>
        <v>85363558.5</v>
      </c>
      <c r="J12" s="5"/>
      <c r="L12" s="33">
        <v>45688.0</v>
      </c>
      <c r="M12" s="34" t="s">
        <v>44</v>
      </c>
      <c r="N12" s="35" t="s">
        <v>470</v>
      </c>
      <c r="O12" s="36"/>
      <c r="P12" s="36">
        <v>6250000.0</v>
      </c>
      <c r="Q12" s="36"/>
      <c r="R12" s="36"/>
      <c r="S12" s="36">
        <f t="shared" si="5"/>
        <v>6250000</v>
      </c>
      <c r="T12" s="36">
        <f t="shared" si="6"/>
        <v>117117017</v>
      </c>
      <c r="U12" s="34"/>
    </row>
    <row r="13" ht="15.75" customHeight="1">
      <c r="A13" s="29">
        <v>45749.0</v>
      </c>
      <c r="B13" s="2" t="s">
        <v>472</v>
      </c>
      <c r="C13" s="30">
        <v>45782.0</v>
      </c>
      <c r="D13" s="8">
        <f t="shared" si="1"/>
        <v>1951950.284</v>
      </c>
      <c r="E13" s="15"/>
      <c r="F13" s="8">
        <f t="shared" si="2"/>
        <v>853635.585</v>
      </c>
      <c r="G13" s="8">
        <f t="shared" si="3"/>
        <v>1098314.699</v>
      </c>
      <c r="H13" s="8">
        <f t="shared" si="4"/>
        <v>84265243.8</v>
      </c>
      <c r="J13" s="5" t="s">
        <v>56</v>
      </c>
      <c r="L13" s="33">
        <v>45721.0</v>
      </c>
      <c r="M13" s="34" t="s">
        <v>473</v>
      </c>
      <c r="N13" s="35" t="s">
        <v>467</v>
      </c>
      <c r="O13" s="36"/>
      <c r="P13" s="36">
        <v>4130697.0</v>
      </c>
      <c r="Q13" s="36"/>
      <c r="R13" s="36"/>
      <c r="S13" s="36">
        <f t="shared" si="5"/>
        <v>4130697</v>
      </c>
      <c r="T13" s="36">
        <f t="shared" si="6"/>
        <v>112986320</v>
      </c>
      <c r="U13" s="34"/>
    </row>
    <row r="14" ht="15.75" customHeight="1">
      <c r="A14" s="29">
        <v>45749.0</v>
      </c>
      <c r="B14" s="2" t="s">
        <v>472</v>
      </c>
      <c r="C14" s="30">
        <v>45813.0</v>
      </c>
      <c r="D14" s="8">
        <f t="shared" si="1"/>
        <v>1951950.284</v>
      </c>
      <c r="E14" s="15">
        <f>4130697-D13-D14</f>
        <v>226796.4313</v>
      </c>
      <c r="F14" s="8">
        <f t="shared" si="2"/>
        <v>842652.438</v>
      </c>
      <c r="G14" s="8">
        <f t="shared" si="3"/>
        <v>1336094.278</v>
      </c>
      <c r="H14" s="8">
        <f t="shared" si="4"/>
        <v>82929149.52</v>
      </c>
      <c r="J14" s="8">
        <f>+H10</f>
        <v>87750000</v>
      </c>
      <c r="L14" s="33">
        <v>45749.0</v>
      </c>
      <c r="M14" s="34" t="s">
        <v>254</v>
      </c>
      <c r="N14" s="35" t="s">
        <v>472</v>
      </c>
      <c r="O14" s="36"/>
      <c r="P14" s="36">
        <v>4130697.0</v>
      </c>
      <c r="Q14" s="36"/>
      <c r="R14" s="36"/>
      <c r="S14" s="36">
        <f t="shared" si="5"/>
        <v>4130697</v>
      </c>
      <c r="T14" s="36">
        <f t="shared" si="6"/>
        <v>108855623</v>
      </c>
      <c r="U14" s="34"/>
    </row>
    <row r="15" ht="15.75" customHeight="1">
      <c r="A15" s="29">
        <v>45853.0</v>
      </c>
      <c r="B15" s="2" t="s">
        <v>475</v>
      </c>
      <c r="C15" s="30">
        <v>45843.0</v>
      </c>
      <c r="D15" s="8">
        <f t="shared" si="1"/>
        <v>1951950.284</v>
      </c>
      <c r="E15" s="15"/>
      <c r="F15" s="8">
        <f t="shared" si="2"/>
        <v>829291.4952</v>
      </c>
      <c r="G15" s="8">
        <f t="shared" si="3"/>
        <v>1122658.789</v>
      </c>
      <c r="H15" s="8">
        <f t="shared" si="4"/>
        <v>81806490.73</v>
      </c>
      <c r="J15" s="5"/>
      <c r="L15" s="33">
        <v>45853.0</v>
      </c>
      <c r="M15" s="34" t="s">
        <v>476</v>
      </c>
      <c r="N15" s="35" t="s">
        <v>475</v>
      </c>
      <c r="O15" s="36"/>
      <c r="P15" s="36">
        <v>8261394.0</v>
      </c>
      <c r="Q15" s="36"/>
      <c r="R15" s="36"/>
      <c r="S15" s="36">
        <f t="shared" si="5"/>
        <v>8261394</v>
      </c>
      <c r="T15" s="36">
        <f t="shared" si="6"/>
        <v>100594229</v>
      </c>
      <c r="U15" s="34"/>
    </row>
    <row r="16" ht="15.75" customHeight="1">
      <c r="A16" s="29">
        <v>45853.0</v>
      </c>
      <c r="B16" s="2" t="s">
        <v>475</v>
      </c>
      <c r="C16" s="30">
        <v>45874.0</v>
      </c>
      <c r="D16" s="8">
        <f t="shared" si="1"/>
        <v>1951950.284</v>
      </c>
      <c r="E16" s="15"/>
      <c r="F16" s="8">
        <f t="shared" si="2"/>
        <v>818064.9073</v>
      </c>
      <c r="G16" s="8">
        <f t="shared" si="3"/>
        <v>1133885.377</v>
      </c>
      <c r="H16" s="8">
        <f t="shared" si="4"/>
        <v>80672605.35</v>
      </c>
      <c r="J16" s="5"/>
      <c r="L16" s="33">
        <v>45795.0</v>
      </c>
      <c r="M16" s="34" t="s">
        <v>258</v>
      </c>
      <c r="N16" s="35" t="s">
        <v>477</v>
      </c>
      <c r="O16" s="36"/>
      <c r="P16" s="36">
        <v>4130697.0</v>
      </c>
      <c r="Q16" s="36"/>
      <c r="R16" s="36"/>
      <c r="S16" s="36">
        <f t="shared" si="5"/>
        <v>4130697</v>
      </c>
      <c r="T16" s="36">
        <f t="shared" si="6"/>
        <v>96463532</v>
      </c>
      <c r="U16" s="34"/>
    </row>
    <row r="17" ht="15.75" customHeight="1">
      <c r="A17" s="29">
        <v>45853.0</v>
      </c>
      <c r="B17" s="2" t="s">
        <v>475</v>
      </c>
      <c r="C17" s="30">
        <v>45905.0</v>
      </c>
      <c r="D17" s="8">
        <f t="shared" si="1"/>
        <v>1951950.284</v>
      </c>
      <c r="E17" s="15"/>
      <c r="F17" s="8">
        <f t="shared" si="2"/>
        <v>806726.0535</v>
      </c>
      <c r="G17" s="8">
        <f t="shared" si="3"/>
        <v>1145224.231</v>
      </c>
      <c r="H17" s="8">
        <f t="shared" si="4"/>
        <v>79527381.12</v>
      </c>
      <c r="J17" s="5"/>
      <c r="L17" s="33">
        <v>45965.0</v>
      </c>
      <c r="M17" s="34" t="s">
        <v>442</v>
      </c>
      <c r="N17" s="35" t="s">
        <v>479</v>
      </c>
      <c r="O17" s="36"/>
      <c r="P17" s="36">
        <v>4130697.0</v>
      </c>
      <c r="Q17" s="36"/>
      <c r="R17" s="36"/>
      <c r="S17" s="36">
        <f t="shared" si="5"/>
        <v>4130697</v>
      </c>
      <c r="T17" s="36">
        <f t="shared" si="6"/>
        <v>92332835</v>
      </c>
      <c r="U17" s="34"/>
    </row>
    <row r="18" ht="15.75" customHeight="1">
      <c r="A18" s="29">
        <v>45853.0</v>
      </c>
      <c r="B18" s="2" t="s">
        <v>475</v>
      </c>
      <c r="C18" s="30">
        <v>45935.0</v>
      </c>
      <c r="D18" s="8">
        <f t="shared" si="1"/>
        <v>1951950.284</v>
      </c>
      <c r="E18" s="15">
        <f>8261394-D15-D16-D17-D18</f>
        <v>453592.8626</v>
      </c>
      <c r="F18" s="8">
        <f t="shared" si="2"/>
        <v>795273.8112</v>
      </c>
      <c r="G18" s="8">
        <f t="shared" si="3"/>
        <v>1610269.336</v>
      </c>
      <c r="H18" s="8">
        <f t="shared" si="4"/>
        <v>77917111.79</v>
      </c>
      <c r="J18" s="5"/>
      <c r="L18" s="33">
        <v>46174.0</v>
      </c>
      <c r="M18" s="34" t="s">
        <v>481</v>
      </c>
      <c r="N18" s="35" t="s">
        <v>482</v>
      </c>
      <c r="O18" s="36"/>
      <c r="P18" s="36">
        <v>6447018.0</v>
      </c>
      <c r="Q18" s="36"/>
      <c r="R18" s="36"/>
      <c r="S18" s="36">
        <f t="shared" si="5"/>
        <v>6447018</v>
      </c>
      <c r="T18" s="36">
        <f t="shared" si="6"/>
        <v>85885817</v>
      </c>
      <c r="U18" s="34"/>
    </row>
    <row r="19" ht="15.75" customHeight="1">
      <c r="A19" s="29">
        <v>45795.0</v>
      </c>
      <c r="B19" s="2" t="s">
        <v>477</v>
      </c>
      <c r="C19" s="30">
        <v>45966.0</v>
      </c>
      <c r="D19" s="8">
        <f t="shared" si="1"/>
        <v>1951950.284</v>
      </c>
      <c r="E19" s="15"/>
      <c r="F19" s="8">
        <f t="shared" si="2"/>
        <v>779171.1179</v>
      </c>
      <c r="G19" s="8">
        <f t="shared" si="3"/>
        <v>1172779.166</v>
      </c>
      <c r="H19" s="8">
        <f t="shared" si="4"/>
        <v>76744332.62</v>
      </c>
      <c r="I19" s="1"/>
      <c r="J19" s="41"/>
      <c r="K19" s="1"/>
      <c r="L19" s="38"/>
      <c r="M19" s="38" t="s">
        <v>69</v>
      </c>
      <c r="N19" s="69"/>
      <c r="O19" s="27">
        <f t="shared" ref="O19:S19" si="7">SUM(O11:O18)</f>
        <v>0</v>
      </c>
      <c r="P19" s="27">
        <f t="shared" si="7"/>
        <v>40981200</v>
      </c>
      <c r="Q19" s="27">
        <f t="shared" si="7"/>
        <v>0</v>
      </c>
      <c r="R19" s="27">
        <f t="shared" si="7"/>
        <v>0</v>
      </c>
      <c r="S19" s="27">
        <f t="shared" si="7"/>
        <v>40981200</v>
      </c>
      <c r="T19" s="27">
        <f>T18</f>
        <v>85885817</v>
      </c>
      <c r="U19" s="38"/>
      <c r="V19" s="1"/>
      <c r="W19" s="1"/>
      <c r="X19" s="1"/>
      <c r="Y19" s="1"/>
      <c r="Z19" s="1"/>
      <c r="AA19" s="1"/>
      <c r="AB19" s="1"/>
    </row>
    <row r="20" ht="15.75" customHeight="1">
      <c r="A20" s="29">
        <v>45795.0</v>
      </c>
      <c r="B20" s="2" t="s">
        <v>477</v>
      </c>
      <c r="C20" s="30">
        <v>45996.0</v>
      </c>
      <c r="D20" s="8">
        <f t="shared" si="1"/>
        <v>1951950.284</v>
      </c>
      <c r="E20" s="15">
        <f>4130697-D19-D20</f>
        <v>226796.4313</v>
      </c>
      <c r="F20" s="8">
        <f t="shared" si="2"/>
        <v>767443.3262</v>
      </c>
      <c r="G20" s="8">
        <f t="shared" si="3"/>
        <v>1411303.389</v>
      </c>
      <c r="H20" s="8">
        <f t="shared" si="4"/>
        <v>75333029.23</v>
      </c>
      <c r="J20" s="5"/>
    </row>
    <row r="21" ht="15.75" customHeight="1">
      <c r="A21" s="29">
        <v>45965.0</v>
      </c>
      <c r="B21" s="2" t="s">
        <v>479</v>
      </c>
      <c r="C21" s="30">
        <v>46027.0</v>
      </c>
      <c r="D21" s="8">
        <f t="shared" si="1"/>
        <v>1951950.284</v>
      </c>
      <c r="E21" s="15"/>
      <c r="F21" s="8">
        <f t="shared" si="2"/>
        <v>753330.2923</v>
      </c>
      <c r="G21" s="8">
        <f t="shared" si="3"/>
        <v>1198619.992</v>
      </c>
      <c r="H21" s="8">
        <f t="shared" si="4"/>
        <v>74134409.24</v>
      </c>
      <c r="J21" s="5"/>
    </row>
    <row r="22" ht="15.75" customHeight="1">
      <c r="A22" s="29">
        <v>45965.0</v>
      </c>
      <c r="B22" s="2" t="s">
        <v>479</v>
      </c>
      <c r="C22" s="30">
        <v>46058.0</v>
      </c>
      <c r="D22" s="8">
        <f t="shared" si="1"/>
        <v>1951950.284</v>
      </c>
      <c r="E22" s="15">
        <f>4130697-D21-D22</f>
        <v>226796.4313</v>
      </c>
      <c r="F22" s="8">
        <f t="shared" si="2"/>
        <v>741344.0924</v>
      </c>
      <c r="G22" s="8">
        <f t="shared" si="3"/>
        <v>1437402.623</v>
      </c>
      <c r="H22" s="8">
        <f t="shared" si="4"/>
        <v>72697006.62</v>
      </c>
      <c r="J22" s="5"/>
    </row>
    <row r="23" ht="15.75" customHeight="1">
      <c r="A23" s="29">
        <v>46174.0</v>
      </c>
      <c r="B23" s="2" t="s">
        <v>482</v>
      </c>
      <c r="C23" s="30">
        <v>46086.0</v>
      </c>
      <c r="D23" s="8">
        <f t="shared" si="1"/>
        <v>1951950.284</v>
      </c>
      <c r="E23" s="46"/>
      <c r="F23" s="8">
        <f t="shared" si="2"/>
        <v>726970.0662</v>
      </c>
      <c r="G23" s="8">
        <f t="shared" si="3"/>
        <v>1224980.218</v>
      </c>
      <c r="H23" s="8">
        <f t="shared" si="4"/>
        <v>71472026.4</v>
      </c>
      <c r="J23" s="5"/>
    </row>
    <row r="24" ht="15.75" customHeight="1">
      <c r="A24" s="29">
        <v>46174.0</v>
      </c>
      <c r="B24" s="2" t="s">
        <v>482</v>
      </c>
      <c r="C24" s="30">
        <v>46117.0</v>
      </c>
      <c r="D24" s="8">
        <f t="shared" si="1"/>
        <v>1951950.284</v>
      </c>
      <c r="E24" s="46"/>
      <c r="F24" s="8">
        <f t="shared" si="2"/>
        <v>714720.264</v>
      </c>
      <c r="G24" s="8">
        <f t="shared" si="3"/>
        <v>1237230.02</v>
      </c>
      <c r="H24" s="8">
        <f t="shared" si="4"/>
        <v>70234796.38</v>
      </c>
      <c r="J24" s="5"/>
    </row>
    <row r="25" ht="15.75" customHeight="1">
      <c r="A25" s="29">
        <v>46174.0</v>
      </c>
      <c r="B25" s="2" t="s">
        <v>482</v>
      </c>
      <c r="C25" s="30">
        <v>46147.0</v>
      </c>
      <c r="D25" s="8">
        <f t="shared" si="1"/>
        <v>1951950.284</v>
      </c>
      <c r="E25" s="8">
        <f>6447018-D23-D24-D25</f>
        <v>591167.1469</v>
      </c>
      <c r="F25" s="8">
        <f t="shared" si="2"/>
        <v>702347.9638</v>
      </c>
      <c r="G25" s="8">
        <f t="shared" si="3"/>
        <v>1840769.468</v>
      </c>
      <c r="H25" s="8">
        <f t="shared" si="4"/>
        <v>68394026.91</v>
      </c>
      <c r="J25" s="5"/>
    </row>
    <row r="26" ht="15.75" customHeight="1">
      <c r="B26" s="2"/>
      <c r="C26" s="30">
        <v>46178.0</v>
      </c>
      <c r="D26" s="8">
        <f t="shared" si="1"/>
        <v>1951950.284</v>
      </c>
      <c r="E26" s="46"/>
      <c r="F26" s="8">
        <f t="shared" si="2"/>
        <v>683940.2691</v>
      </c>
      <c r="G26" s="8">
        <f t="shared" si="3"/>
        <v>1268010.015</v>
      </c>
      <c r="H26" s="8">
        <f t="shared" si="4"/>
        <v>67126016.89</v>
      </c>
      <c r="J26" s="5"/>
    </row>
    <row r="27" ht="15.75" customHeight="1">
      <c r="B27" s="2"/>
      <c r="C27" s="30">
        <v>46208.0</v>
      </c>
      <c r="D27" s="8">
        <f t="shared" si="1"/>
        <v>1951950.284</v>
      </c>
      <c r="E27" s="46"/>
      <c r="F27" s="8">
        <f t="shared" si="2"/>
        <v>671260.1689</v>
      </c>
      <c r="G27" s="8">
        <f t="shared" si="3"/>
        <v>1280690.115</v>
      </c>
      <c r="H27" s="8">
        <f t="shared" si="4"/>
        <v>65845326.78</v>
      </c>
      <c r="J27" s="5"/>
    </row>
    <row r="28" ht="15.75" customHeight="1">
      <c r="B28" s="2"/>
      <c r="C28" s="30">
        <v>46239.0</v>
      </c>
      <c r="D28" s="8">
        <f t="shared" si="1"/>
        <v>1951950.284</v>
      </c>
      <c r="E28" s="46"/>
      <c r="F28" s="8">
        <f t="shared" si="2"/>
        <v>658453.2678</v>
      </c>
      <c r="G28" s="8">
        <f t="shared" si="3"/>
        <v>1293497.017</v>
      </c>
      <c r="H28" s="8">
        <f t="shared" si="4"/>
        <v>64551829.76</v>
      </c>
      <c r="J28" s="5"/>
    </row>
    <row r="29" ht="15.75" customHeight="1">
      <c r="B29" s="2"/>
      <c r="C29" s="30">
        <v>46270.0</v>
      </c>
      <c r="D29" s="8">
        <f t="shared" si="1"/>
        <v>1951950.284</v>
      </c>
      <c r="E29" s="46"/>
      <c r="F29" s="8">
        <f t="shared" si="2"/>
        <v>645518.2976</v>
      </c>
      <c r="G29" s="8">
        <f t="shared" si="3"/>
        <v>1306431.987</v>
      </c>
      <c r="H29" s="8">
        <f t="shared" si="4"/>
        <v>63245397.78</v>
      </c>
      <c r="J29" s="5"/>
    </row>
    <row r="30" ht="15.75" customHeight="1">
      <c r="B30" s="2"/>
      <c r="C30" s="30">
        <v>46300.0</v>
      </c>
      <c r="D30" s="8">
        <f t="shared" si="1"/>
        <v>1951950.284</v>
      </c>
      <c r="E30" s="46"/>
      <c r="F30" s="8">
        <f t="shared" si="2"/>
        <v>632453.9778</v>
      </c>
      <c r="G30" s="8">
        <f t="shared" si="3"/>
        <v>1319496.307</v>
      </c>
      <c r="H30" s="8">
        <f t="shared" si="4"/>
        <v>61925901.47</v>
      </c>
      <c r="J30" s="5"/>
    </row>
    <row r="31" ht="15.75" customHeight="1">
      <c r="B31" s="2"/>
      <c r="C31" s="30">
        <v>46331.0</v>
      </c>
      <c r="D31" s="8">
        <f t="shared" si="1"/>
        <v>1951950.284</v>
      </c>
      <c r="E31" s="46"/>
      <c r="F31" s="8">
        <f t="shared" si="2"/>
        <v>619259.0147</v>
      </c>
      <c r="G31" s="8">
        <f t="shared" si="3"/>
        <v>1332691.27</v>
      </c>
      <c r="H31" s="8">
        <f t="shared" si="4"/>
        <v>60593210.2</v>
      </c>
      <c r="J31" s="5"/>
    </row>
    <row r="32" ht="15.75" customHeight="1">
      <c r="B32" s="2"/>
      <c r="C32" s="30">
        <v>46361.0</v>
      </c>
      <c r="D32" s="8">
        <f t="shared" si="1"/>
        <v>1951950.284</v>
      </c>
      <c r="E32" s="46"/>
      <c r="F32" s="8">
        <f t="shared" si="2"/>
        <v>605932.102</v>
      </c>
      <c r="G32" s="8">
        <f t="shared" si="3"/>
        <v>1346018.182</v>
      </c>
      <c r="H32" s="8">
        <f t="shared" si="4"/>
        <v>59247192.02</v>
      </c>
      <c r="J32" s="5"/>
    </row>
    <row r="33" ht="15.75" customHeight="1">
      <c r="B33" s="2"/>
      <c r="C33" s="30">
        <v>46392.0</v>
      </c>
      <c r="D33" s="8">
        <f t="shared" si="1"/>
        <v>1951950.284</v>
      </c>
      <c r="E33" s="46"/>
      <c r="F33" s="8">
        <f t="shared" si="2"/>
        <v>592471.9202</v>
      </c>
      <c r="G33" s="8">
        <f t="shared" si="3"/>
        <v>1359478.364</v>
      </c>
      <c r="H33" s="8">
        <f t="shared" si="4"/>
        <v>57887713.65</v>
      </c>
      <c r="J33" s="5"/>
    </row>
    <row r="34" ht="15.75" customHeight="1">
      <c r="B34" s="2"/>
      <c r="C34" s="30">
        <v>46423.0</v>
      </c>
      <c r="D34" s="8">
        <f t="shared" si="1"/>
        <v>1951950.284</v>
      </c>
      <c r="E34" s="46"/>
      <c r="F34" s="8">
        <f t="shared" si="2"/>
        <v>578877.1365</v>
      </c>
      <c r="G34" s="8">
        <f t="shared" si="3"/>
        <v>1373073.148</v>
      </c>
      <c r="H34" s="8">
        <f t="shared" si="4"/>
        <v>56514640.51</v>
      </c>
      <c r="J34" s="5"/>
    </row>
    <row r="35" ht="15.75" customHeight="1">
      <c r="B35" s="2"/>
      <c r="C35" s="30">
        <v>46451.0</v>
      </c>
      <c r="D35" s="8">
        <f t="shared" si="1"/>
        <v>1951950.284</v>
      </c>
      <c r="E35" s="46"/>
      <c r="F35" s="8">
        <f t="shared" si="2"/>
        <v>565146.4051</v>
      </c>
      <c r="G35" s="8">
        <f t="shared" si="3"/>
        <v>1386803.879</v>
      </c>
      <c r="H35" s="8">
        <f t="shared" si="4"/>
        <v>55127836.63</v>
      </c>
      <c r="J35" s="5"/>
    </row>
    <row r="36" ht="15.75" customHeight="1">
      <c r="B36" s="2"/>
      <c r="C36" s="30">
        <v>46482.0</v>
      </c>
      <c r="D36" s="8">
        <f t="shared" si="1"/>
        <v>1951950.284</v>
      </c>
      <c r="E36" s="46"/>
      <c r="F36" s="8">
        <f t="shared" si="2"/>
        <v>551278.3663</v>
      </c>
      <c r="G36" s="8">
        <f t="shared" si="3"/>
        <v>1400671.918</v>
      </c>
      <c r="H36" s="8">
        <f t="shared" si="4"/>
        <v>53727164.71</v>
      </c>
      <c r="J36" s="5"/>
    </row>
    <row r="37" ht="15.75" customHeight="1">
      <c r="B37" s="2"/>
      <c r="C37" s="30">
        <v>46512.0</v>
      </c>
      <c r="D37" s="8">
        <f t="shared" si="1"/>
        <v>1951950.284</v>
      </c>
      <c r="E37" s="46"/>
      <c r="F37" s="8">
        <f t="shared" si="2"/>
        <v>537271.6471</v>
      </c>
      <c r="G37" s="8">
        <f t="shared" si="3"/>
        <v>1414678.637</v>
      </c>
      <c r="H37" s="8">
        <f t="shared" si="4"/>
        <v>52312486.07</v>
      </c>
      <c r="J37" s="5"/>
    </row>
    <row r="38" ht="15.75" customHeight="1">
      <c r="B38" s="2"/>
      <c r="C38" s="30">
        <v>46543.0</v>
      </c>
      <c r="D38" s="8">
        <f t="shared" si="1"/>
        <v>1951950.284</v>
      </c>
      <c r="E38" s="46"/>
      <c r="F38" s="8">
        <f t="shared" si="2"/>
        <v>523124.8607</v>
      </c>
      <c r="G38" s="8">
        <f t="shared" si="3"/>
        <v>1428825.424</v>
      </c>
      <c r="H38" s="8">
        <f t="shared" si="4"/>
        <v>50883660.65</v>
      </c>
      <c r="J38" s="5"/>
    </row>
    <row r="39" ht="15.75" customHeight="1">
      <c r="B39" s="2"/>
      <c r="C39" s="30">
        <v>46573.0</v>
      </c>
      <c r="D39" s="8">
        <f t="shared" si="1"/>
        <v>1951950.284</v>
      </c>
      <c r="E39" s="46"/>
      <c r="F39" s="8">
        <f t="shared" si="2"/>
        <v>508836.6065</v>
      </c>
      <c r="G39" s="8">
        <f t="shared" si="3"/>
        <v>1443113.678</v>
      </c>
      <c r="H39" s="8">
        <f t="shared" si="4"/>
        <v>49440546.97</v>
      </c>
      <c r="J39" s="5"/>
    </row>
    <row r="40" ht="15.75" customHeight="1">
      <c r="B40" s="2"/>
      <c r="C40" s="30">
        <v>46604.0</v>
      </c>
      <c r="D40" s="8">
        <f t="shared" si="1"/>
        <v>1951950.284</v>
      </c>
      <c r="E40" s="46"/>
      <c r="F40" s="8">
        <f t="shared" si="2"/>
        <v>494405.4697</v>
      </c>
      <c r="G40" s="8">
        <f t="shared" si="3"/>
        <v>1457544.815</v>
      </c>
      <c r="H40" s="8">
        <f t="shared" si="4"/>
        <v>47983002.15</v>
      </c>
      <c r="J40" s="5"/>
    </row>
    <row r="41" ht="15.75" customHeight="1">
      <c r="B41" s="2"/>
      <c r="C41" s="30">
        <v>46635.0</v>
      </c>
      <c r="D41" s="8">
        <f t="shared" si="1"/>
        <v>1951950.284</v>
      </c>
      <c r="E41" s="46"/>
      <c r="F41" s="8">
        <f t="shared" si="2"/>
        <v>479830.0215</v>
      </c>
      <c r="G41" s="8">
        <f t="shared" si="3"/>
        <v>1472120.263</v>
      </c>
      <c r="H41" s="8">
        <f t="shared" si="4"/>
        <v>46510881.89</v>
      </c>
      <c r="J41" s="5"/>
    </row>
    <row r="42" ht="15.75" customHeight="1">
      <c r="B42" s="2"/>
      <c r="C42" s="30">
        <v>46665.0</v>
      </c>
      <c r="D42" s="8">
        <f t="shared" si="1"/>
        <v>1951950.284</v>
      </c>
      <c r="E42" s="46"/>
      <c r="F42" s="8">
        <f t="shared" si="2"/>
        <v>465108.8189</v>
      </c>
      <c r="G42" s="8">
        <f t="shared" si="3"/>
        <v>1486841.465</v>
      </c>
      <c r="H42" s="8">
        <f t="shared" si="4"/>
        <v>45024040.43</v>
      </c>
      <c r="J42" s="5"/>
    </row>
    <row r="43" ht="15.75" customHeight="1">
      <c r="B43" s="2"/>
      <c r="C43" s="30">
        <v>46696.0</v>
      </c>
      <c r="D43" s="8">
        <f t="shared" si="1"/>
        <v>1951950.284</v>
      </c>
      <c r="E43" s="46"/>
      <c r="F43" s="8">
        <f t="shared" si="2"/>
        <v>450240.4043</v>
      </c>
      <c r="G43" s="8">
        <f t="shared" si="3"/>
        <v>1501709.88</v>
      </c>
      <c r="H43" s="8">
        <f t="shared" si="4"/>
        <v>43522330.55</v>
      </c>
      <c r="J43" s="5"/>
    </row>
    <row r="44" ht="15.75" customHeight="1">
      <c r="B44" s="2"/>
      <c r="C44" s="30">
        <v>46726.0</v>
      </c>
      <c r="D44" s="8">
        <f t="shared" si="1"/>
        <v>1951950.284</v>
      </c>
      <c r="E44" s="46"/>
      <c r="F44" s="8">
        <f t="shared" si="2"/>
        <v>435223.3055</v>
      </c>
      <c r="G44" s="8">
        <f t="shared" si="3"/>
        <v>1516726.979</v>
      </c>
      <c r="H44" s="8">
        <f t="shared" si="4"/>
        <v>42005603.57</v>
      </c>
      <c r="J44" s="5"/>
    </row>
    <row r="45" ht="15.75" customHeight="1">
      <c r="B45" s="2"/>
      <c r="C45" s="30">
        <v>46757.0</v>
      </c>
      <c r="D45" s="8">
        <f t="shared" si="1"/>
        <v>1951950.284</v>
      </c>
      <c r="E45" s="46"/>
      <c r="F45" s="8">
        <f t="shared" si="2"/>
        <v>420056.0357</v>
      </c>
      <c r="G45" s="8">
        <f t="shared" si="3"/>
        <v>1531894.249</v>
      </c>
      <c r="H45" s="8">
        <f t="shared" si="4"/>
        <v>40473709.32</v>
      </c>
      <c r="J45" s="5"/>
    </row>
    <row r="46" ht="15.75" customHeight="1">
      <c r="B46" s="2"/>
      <c r="C46" s="30">
        <v>46788.0</v>
      </c>
      <c r="D46" s="8">
        <f t="shared" si="1"/>
        <v>1951950.284</v>
      </c>
      <c r="E46" s="46"/>
      <c r="F46" s="8">
        <f t="shared" si="2"/>
        <v>404737.0932</v>
      </c>
      <c r="G46" s="8">
        <f t="shared" si="3"/>
        <v>1547213.191</v>
      </c>
      <c r="H46" s="8">
        <f t="shared" si="4"/>
        <v>38926496.13</v>
      </c>
      <c r="J46" s="5"/>
    </row>
    <row r="47" ht="15.75" customHeight="1">
      <c r="B47" s="2"/>
      <c r="C47" s="30">
        <v>46817.0</v>
      </c>
      <c r="D47" s="8">
        <f t="shared" si="1"/>
        <v>1951950.284</v>
      </c>
      <c r="E47" s="46"/>
      <c r="F47" s="8">
        <f t="shared" si="2"/>
        <v>389264.9613</v>
      </c>
      <c r="G47" s="8">
        <f t="shared" si="3"/>
        <v>1562685.323</v>
      </c>
      <c r="H47" s="8">
        <f t="shared" si="4"/>
        <v>37363810.8</v>
      </c>
      <c r="J47" s="5"/>
    </row>
    <row r="48" ht="15.75" customHeight="1">
      <c r="B48" s="2"/>
      <c r="C48" s="30">
        <v>46848.0</v>
      </c>
      <c r="D48" s="8">
        <f t="shared" si="1"/>
        <v>1951950.284</v>
      </c>
      <c r="E48" s="46"/>
      <c r="F48" s="8">
        <f t="shared" si="2"/>
        <v>373638.108</v>
      </c>
      <c r="G48" s="8">
        <f t="shared" si="3"/>
        <v>1578312.176</v>
      </c>
      <c r="H48" s="8">
        <f t="shared" si="4"/>
        <v>35785498.63</v>
      </c>
      <c r="J48" s="5"/>
    </row>
    <row r="49" ht="15.75" customHeight="1">
      <c r="B49" s="2"/>
      <c r="C49" s="30">
        <v>46878.0</v>
      </c>
      <c r="D49" s="8">
        <f t="shared" si="1"/>
        <v>1951950.284</v>
      </c>
      <c r="E49" s="46"/>
      <c r="F49" s="8">
        <f t="shared" si="2"/>
        <v>357854.9863</v>
      </c>
      <c r="G49" s="8">
        <f t="shared" si="3"/>
        <v>1594095.298</v>
      </c>
      <c r="H49" s="8">
        <f t="shared" si="4"/>
        <v>34191403.33</v>
      </c>
      <c r="J49" s="5"/>
    </row>
    <row r="50" ht="15.75" customHeight="1">
      <c r="B50" s="2"/>
      <c r="C50" s="30">
        <v>46909.0</v>
      </c>
      <c r="D50" s="8">
        <f t="shared" si="1"/>
        <v>1951950.284</v>
      </c>
      <c r="E50" s="46"/>
      <c r="F50" s="8">
        <f t="shared" si="2"/>
        <v>341914.0333</v>
      </c>
      <c r="G50" s="8">
        <f t="shared" si="3"/>
        <v>1610036.251</v>
      </c>
      <c r="H50" s="8">
        <f t="shared" si="4"/>
        <v>32581367.08</v>
      </c>
      <c r="J50" s="5"/>
    </row>
    <row r="51" ht="15.75" customHeight="1">
      <c r="B51" s="2"/>
      <c r="C51" s="30">
        <v>46939.0</v>
      </c>
      <c r="D51" s="8">
        <f t="shared" si="1"/>
        <v>1951950.284</v>
      </c>
      <c r="E51" s="46"/>
      <c r="F51" s="8">
        <f t="shared" si="2"/>
        <v>325813.6708</v>
      </c>
      <c r="G51" s="8">
        <f t="shared" si="3"/>
        <v>1626136.614</v>
      </c>
      <c r="H51" s="8">
        <f t="shared" si="4"/>
        <v>30955230.47</v>
      </c>
      <c r="J51" s="5"/>
    </row>
    <row r="52" ht="15.75" customHeight="1">
      <c r="B52" s="2"/>
      <c r="C52" s="30">
        <v>46970.0</v>
      </c>
      <c r="D52" s="8">
        <f t="shared" si="1"/>
        <v>1951950.284</v>
      </c>
      <c r="E52" s="46"/>
      <c r="F52" s="8">
        <f t="shared" si="2"/>
        <v>309552.3047</v>
      </c>
      <c r="G52" s="8">
        <f t="shared" si="3"/>
        <v>1642397.98</v>
      </c>
      <c r="H52" s="8">
        <f t="shared" si="4"/>
        <v>29312832.49</v>
      </c>
      <c r="J52" s="5"/>
    </row>
    <row r="53" ht="15.75" customHeight="1">
      <c r="B53" s="2"/>
      <c r="C53" s="30">
        <v>47001.0</v>
      </c>
      <c r="D53" s="8">
        <f t="shared" si="1"/>
        <v>1951950.284</v>
      </c>
      <c r="E53" s="46"/>
      <c r="F53" s="8">
        <f t="shared" si="2"/>
        <v>293128.3249</v>
      </c>
      <c r="G53" s="8">
        <f t="shared" si="3"/>
        <v>1658821.959</v>
      </c>
      <c r="H53" s="8">
        <f t="shared" si="4"/>
        <v>27654010.53</v>
      </c>
      <c r="J53" s="5"/>
    </row>
    <row r="54" ht="15.75" customHeight="1">
      <c r="B54" s="2"/>
      <c r="C54" s="30">
        <v>47031.0</v>
      </c>
      <c r="D54" s="8">
        <f t="shared" si="1"/>
        <v>1951950.284</v>
      </c>
      <c r="E54" s="46"/>
      <c r="F54" s="8">
        <f t="shared" si="2"/>
        <v>276540.1053</v>
      </c>
      <c r="G54" s="8">
        <f t="shared" si="3"/>
        <v>1675410.179</v>
      </c>
      <c r="H54" s="8">
        <f t="shared" si="4"/>
        <v>25978600.35</v>
      </c>
      <c r="J54" s="5"/>
    </row>
    <row r="55" ht="15.75" customHeight="1">
      <c r="B55" s="2"/>
      <c r="C55" s="30">
        <v>47062.0</v>
      </c>
      <c r="D55" s="8">
        <f t="shared" si="1"/>
        <v>1951950.284</v>
      </c>
      <c r="E55" s="46"/>
      <c r="F55" s="8">
        <f t="shared" si="2"/>
        <v>259786.0035</v>
      </c>
      <c r="G55" s="8">
        <f t="shared" si="3"/>
        <v>1692164.281</v>
      </c>
      <c r="H55" s="8">
        <f t="shared" si="4"/>
        <v>24286436.07</v>
      </c>
      <c r="J55" s="5"/>
    </row>
    <row r="56" ht="15.75" customHeight="1">
      <c r="B56" s="2"/>
      <c r="C56" s="30">
        <v>47092.0</v>
      </c>
      <c r="D56" s="8">
        <f t="shared" si="1"/>
        <v>1951950.284</v>
      </c>
      <c r="E56" s="46"/>
      <c r="F56" s="8">
        <f t="shared" si="2"/>
        <v>242864.3607</v>
      </c>
      <c r="G56" s="8">
        <f t="shared" si="3"/>
        <v>1709085.924</v>
      </c>
      <c r="H56" s="8">
        <f t="shared" si="4"/>
        <v>22577350.14</v>
      </c>
      <c r="J56" s="5"/>
    </row>
    <row r="57" ht="15.75" customHeight="1">
      <c r="B57" s="2"/>
      <c r="C57" s="30">
        <v>47123.0</v>
      </c>
      <c r="D57" s="8">
        <f t="shared" si="1"/>
        <v>1951950.284</v>
      </c>
      <c r="E57" s="46"/>
      <c r="F57" s="8">
        <f t="shared" si="2"/>
        <v>225773.5014</v>
      </c>
      <c r="G57" s="8">
        <f t="shared" si="3"/>
        <v>1726176.783</v>
      </c>
      <c r="H57" s="8">
        <f t="shared" si="4"/>
        <v>20851173.36</v>
      </c>
      <c r="J57" s="5"/>
    </row>
    <row r="58" ht="15.75" customHeight="1">
      <c r="B58" s="2"/>
      <c r="C58" s="30">
        <v>47154.0</v>
      </c>
      <c r="D58" s="8">
        <f t="shared" si="1"/>
        <v>1951950.284</v>
      </c>
      <c r="E58" s="46"/>
      <c r="F58" s="8">
        <f t="shared" si="2"/>
        <v>208511.7336</v>
      </c>
      <c r="G58" s="8">
        <f t="shared" si="3"/>
        <v>1743438.551</v>
      </c>
      <c r="H58" s="8">
        <f t="shared" si="4"/>
        <v>19107734.81</v>
      </c>
      <c r="J58" s="5"/>
    </row>
    <row r="59" ht="15.75" customHeight="1">
      <c r="B59" s="2"/>
      <c r="C59" s="30">
        <v>47182.0</v>
      </c>
      <c r="D59" s="8">
        <f t="shared" si="1"/>
        <v>1951950.284</v>
      </c>
      <c r="E59" s="46"/>
      <c r="F59" s="8">
        <f t="shared" si="2"/>
        <v>191077.3481</v>
      </c>
      <c r="G59" s="8">
        <f t="shared" si="3"/>
        <v>1760872.936</v>
      </c>
      <c r="H59" s="8">
        <f t="shared" si="4"/>
        <v>17346861.87</v>
      </c>
      <c r="J59" s="5"/>
    </row>
    <row r="60" ht="15.75" customHeight="1">
      <c r="B60" s="2"/>
      <c r="C60" s="30">
        <v>47213.0</v>
      </c>
      <c r="D60" s="8">
        <f t="shared" si="1"/>
        <v>1951950.284</v>
      </c>
      <c r="E60" s="46"/>
      <c r="F60" s="8">
        <f t="shared" si="2"/>
        <v>173468.6187</v>
      </c>
      <c r="G60" s="8">
        <f t="shared" si="3"/>
        <v>1778481.666</v>
      </c>
      <c r="H60" s="8">
        <f t="shared" si="4"/>
        <v>15568380.21</v>
      </c>
      <c r="J60" s="5"/>
    </row>
    <row r="61" ht="15.75" customHeight="1">
      <c r="B61" s="2"/>
      <c r="C61" s="30">
        <v>47243.0</v>
      </c>
      <c r="D61" s="8">
        <f t="shared" si="1"/>
        <v>1951950.284</v>
      </c>
      <c r="E61" s="46"/>
      <c r="F61" s="8">
        <f t="shared" si="2"/>
        <v>155683.8021</v>
      </c>
      <c r="G61" s="8">
        <f t="shared" si="3"/>
        <v>1796266.482</v>
      </c>
      <c r="H61" s="8">
        <f t="shared" si="4"/>
        <v>13772113.73</v>
      </c>
      <c r="J61" s="5"/>
    </row>
    <row r="62" ht="15.75" customHeight="1">
      <c r="B62" s="2"/>
      <c r="C62" s="30">
        <v>47274.0</v>
      </c>
      <c r="D62" s="8">
        <f t="shared" si="1"/>
        <v>1951950.284</v>
      </c>
      <c r="E62" s="46"/>
      <c r="F62" s="8">
        <f t="shared" si="2"/>
        <v>137721.1373</v>
      </c>
      <c r="G62" s="8">
        <f t="shared" si="3"/>
        <v>1814229.147</v>
      </c>
      <c r="H62" s="8">
        <f t="shared" si="4"/>
        <v>11957884.58</v>
      </c>
      <c r="J62" s="5"/>
    </row>
    <row r="63" ht="15.75" customHeight="1">
      <c r="B63" s="2"/>
      <c r="C63" s="30">
        <v>47304.0</v>
      </c>
      <c r="D63" s="8">
        <f t="shared" si="1"/>
        <v>1951950.284</v>
      </c>
      <c r="E63" s="46"/>
      <c r="F63" s="8">
        <f t="shared" si="2"/>
        <v>119578.8458</v>
      </c>
      <c r="G63" s="8">
        <f t="shared" si="3"/>
        <v>1832371.439</v>
      </c>
      <c r="H63" s="8">
        <f t="shared" si="4"/>
        <v>10125513.14</v>
      </c>
      <c r="J63" s="5"/>
    </row>
    <row r="64" ht="15.75" customHeight="1">
      <c r="B64" s="2"/>
      <c r="C64" s="30">
        <v>47335.0</v>
      </c>
      <c r="D64" s="8">
        <f t="shared" si="1"/>
        <v>1951950.284</v>
      </c>
      <c r="E64" s="46"/>
      <c r="F64" s="8">
        <f t="shared" si="2"/>
        <v>101255.1314</v>
      </c>
      <c r="G64" s="8">
        <f t="shared" si="3"/>
        <v>1850695.153</v>
      </c>
      <c r="H64" s="8">
        <f t="shared" si="4"/>
        <v>8274817.986</v>
      </c>
      <c r="J64" s="5"/>
    </row>
    <row r="65" ht="15.75" customHeight="1">
      <c r="B65" s="2"/>
      <c r="C65" s="30">
        <v>47366.0</v>
      </c>
      <c r="D65" s="8">
        <f t="shared" si="1"/>
        <v>1951950.284</v>
      </c>
      <c r="E65" s="46"/>
      <c r="F65" s="8">
        <f t="shared" si="2"/>
        <v>82748.17986</v>
      </c>
      <c r="G65" s="8">
        <f t="shared" si="3"/>
        <v>1869202.104</v>
      </c>
      <c r="H65" s="8">
        <f t="shared" si="4"/>
        <v>6405615.882</v>
      </c>
      <c r="J65" s="5"/>
    </row>
    <row r="66" ht="15.75" customHeight="1">
      <c r="B66" s="2"/>
      <c r="C66" s="30">
        <v>47396.0</v>
      </c>
      <c r="D66" s="8">
        <f t="shared" si="1"/>
        <v>1951950.284</v>
      </c>
      <c r="E66" s="46"/>
      <c r="F66" s="8">
        <f t="shared" si="2"/>
        <v>64056.15882</v>
      </c>
      <c r="G66" s="8">
        <f t="shared" si="3"/>
        <v>1887894.126</v>
      </c>
      <c r="H66" s="8">
        <f t="shared" si="4"/>
        <v>4517721.756</v>
      </c>
      <c r="J66" s="5"/>
    </row>
    <row r="67" ht="15.75" customHeight="1">
      <c r="B67" s="2"/>
      <c r="C67" s="30">
        <v>47427.0</v>
      </c>
      <c r="D67" s="8">
        <f t="shared" si="1"/>
        <v>1951950.284</v>
      </c>
      <c r="E67" s="46"/>
      <c r="F67" s="8">
        <f t="shared" si="2"/>
        <v>45177.21756</v>
      </c>
      <c r="G67" s="8">
        <f t="shared" si="3"/>
        <v>1906773.067</v>
      </c>
      <c r="H67" s="8">
        <f t="shared" si="4"/>
        <v>2610948.69</v>
      </c>
      <c r="J67" s="5"/>
    </row>
    <row r="68" ht="15.75" customHeight="1">
      <c r="B68" s="2"/>
      <c r="C68" s="30">
        <v>47457.0</v>
      </c>
      <c r="D68" s="8">
        <f t="shared" si="1"/>
        <v>1951950.284</v>
      </c>
      <c r="E68" s="46"/>
      <c r="F68" s="8">
        <f t="shared" si="2"/>
        <v>26109.4869</v>
      </c>
      <c r="G68" s="8">
        <f t="shared" si="3"/>
        <v>1925840.797</v>
      </c>
      <c r="H68" s="8">
        <f t="shared" si="4"/>
        <v>685107.8921</v>
      </c>
      <c r="J68" s="5"/>
    </row>
    <row r="69" ht="15.75" customHeight="1">
      <c r="B69" s="2"/>
      <c r="C69" s="30">
        <v>47488.0</v>
      </c>
      <c r="D69" s="8">
        <f t="shared" si="1"/>
        <v>1951950.284</v>
      </c>
      <c r="E69" s="46"/>
      <c r="F69" s="8">
        <f t="shared" si="2"/>
        <v>6851.078921</v>
      </c>
      <c r="G69" s="8">
        <f t="shared" si="3"/>
        <v>1945099.205</v>
      </c>
      <c r="H69" s="8">
        <f t="shared" si="4"/>
        <v>-1259991.313</v>
      </c>
      <c r="J69" s="5"/>
    </row>
    <row r="70" ht="15.75" customHeight="1">
      <c r="B70" s="2"/>
      <c r="C70" s="30">
        <v>47519.0</v>
      </c>
      <c r="D70" s="8">
        <f t="shared" si="1"/>
        <v>1951950.284</v>
      </c>
      <c r="E70" s="46"/>
      <c r="F70" s="8">
        <f t="shared" si="2"/>
        <v>-12599.91313</v>
      </c>
      <c r="G70" s="8">
        <f t="shared" si="3"/>
        <v>1964550.197</v>
      </c>
      <c r="H70" s="8">
        <f t="shared" si="4"/>
        <v>-3224541.511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1">
    <mergeCell ref="D1:E1"/>
  </mergeCells>
  <printOptions/>
  <pageMargins bottom="0.75" footer="0.0" header="0.0" left="0.7" right="0.7" top="0.75"/>
  <pageSetup fitToHeight="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466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469</v>
      </c>
      <c r="H7" s="5"/>
      <c r="J7" s="5"/>
    </row>
    <row r="8" ht="15.75" customHeight="1">
      <c r="B8" s="2"/>
      <c r="C8" s="1" t="s">
        <v>16</v>
      </c>
      <c r="D8" s="16">
        <v>1.118311869E9</v>
      </c>
      <c r="H8" s="5"/>
      <c r="I8" s="17"/>
      <c r="J8" s="19"/>
      <c r="K8" s="17"/>
      <c r="L8" s="21" t="s">
        <v>471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45721.0</v>
      </c>
      <c r="B11" s="2" t="s">
        <v>474</v>
      </c>
      <c r="C11" s="30">
        <v>45721.0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45657.0</v>
      </c>
      <c r="M11" s="34" t="s">
        <v>44</v>
      </c>
      <c r="N11" s="35" t="s">
        <v>478</v>
      </c>
      <c r="O11" s="36"/>
      <c r="P11" s="36">
        <v>3500000.0</v>
      </c>
      <c r="Q11" s="36"/>
      <c r="R11" s="36"/>
      <c r="S11" s="36">
        <f t="shared" ref="S11:S18" si="5">SUM(O11:R11)</f>
        <v>3500000</v>
      </c>
      <c r="T11" s="36">
        <f t="shared" ref="T11:T18" si="6">T10-S11</f>
        <v>123367017</v>
      </c>
      <c r="U11" s="34"/>
    </row>
    <row r="12" ht="15.75" customHeight="1">
      <c r="A12" s="29">
        <v>45721.0</v>
      </c>
      <c r="B12" s="2" t="s">
        <v>474</v>
      </c>
      <c r="C12" s="30">
        <v>45752.0</v>
      </c>
      <c r="D12" s="8">
        <f t="shared" si="1"/>
        <v>1951950.284</v>
      </c>
      <c r="E12" s="15">
        <f>4130697-D11-D12</f>
        <v>226796.4313</v>
      </c>
      <c r="F12" s="8">
        <f t="shared" si="2"/>
        <v>866755.4972</v>
      </c>
      <c r="G12" s="8">
        <f t="shared" si="3"/>
        <v>1311991.218</v>
      </c>
      <c r="H12" s="8">
        <f t="shared" si="4"/>
        <v>85363558.5</v>
      </c>
      <c r="J12" s="5"/>
      <c r="L12" s="33">
        <v>45688.0</v>
      </c>
      <c r="M12" s="34" t="s">
        <v>44</v>
      </c>
      <c r="N12" s="35" t="s">
        <v>480</v>
      </c>
      <c r="O12" s="36"/>
      <c r="P12" s="36">
        <v>6250000.0</v>
      </c>
      <c r="Q12" s="36"/>
      <c r="R12" s="36"/>
      <c r="S12" s="36">
        <f t="shared" si="5"/>
        <v>6250000</v>
      </c>
      <c r="T12" s="36">
        <f t="shared" si="6"/>
        <v>117117017</v>
      </c>
      <c r="U12" s="34"/>
    </row>
    <row r="13" ht="15.75" customHeight="1">
      <c r="A13" s="29">
        <v>45748.0</v>
      </c>
      <c r="B13" s="2" t="s">
        <v>483</v>
      </c>
      <c r="C13" s="30">
        <v>45782.0</v>
      </c>
      <c r="D13" s="8">
        <f t="shared" si="1"/>
        <v>1951950.284</v>
      </c>
      <c r="E13" s="15"/>
      <c r="F13" s="8">
        <f t="shared" si="2"/>
        <v>853635.585</v>
      </c>
      <c r="G13" s="8">
        <f t="shared" si="3"/>
        <v>1098314.699</v>
      </c>
      <c r="H13" s="8">
        <f t="shared" si="4"/>
        <v>84265243.8</v>
      </c>
      <c r="J13" s="5" t="s">
        <v>56</v>
      </c>
      <c r="L13" s="33">
        <v>45721.0</v>
      </c>
      <c r="M13" s="34" t="s">
        <v>252</v>
      </c>
      <c r="N13" s="35" t="s">
        <v>474</v>
      </c>
      <c r="O13" s="36"/>
      <c r="P13" s="36">
        <v>4130697.0</v>
      </c>
      <c r="Q13" s="36"/>
      <c r="R13" s="36"/>
      <c r="S13" s="36">
        <f t="shared" si="5"/>
        <v>4130697</v>
      </c>
      <c r="T13" s="36">
        <f t="shared" si="6"/>
        <v>112986320</v>
      </c>
      <c r="U13" s="34"/>
    </row>
    <row r="14" ht="15.75" customHeight="1">
      <c r="A14" s="29">
        <v>45748.0</v>
      </c>
      <c r="B14" s="2" t="s">
        <v>483</v>
      </c>
      <c r="C14" s="30">
        <v>45813.0</v>
      </c>
      <c r="D14" s="8">
        <f t="shared" si="1"/>
        <v>1951950.284</v>
      </c>
      <c r="E14" s="15">
        <f>4130697-D13-D14</f>
        <v>226796.4313</v>
      </c>
      <c r="F14" s="8">
        <f t="shared" si="2"/>
        <v>842652.438</v>
      </c>
      <c r="G14" s="8">
        <f t="shared" si="3"/>
        <v>1336094.278</v>
      </c>
      <c r="H14" s="8">
        <f t="shared" si="4"/>
        <v>82929149.52</v>
      </c>
      <c r="J14" s="8">
        <f>+H10</f>
        <v>87750000</v>
      </c>
      <c r="L14" s="33">
        <v>45748.0</v>
      </c>
      <c r="M14" s="34" t="s">
        <v>254</v>
      </c>
      <c r="N14" s="35" t="s">
        <v>483</v>
      </c>
      <c r="O14" s="36"/>
      <c r="P14" s="36">
        <v>4130697.0</v>
      </c>
      <c r="Q14" s="36"/>
      <c r="R14" s="36"/>
      <c r="S14" s="36">
        <f t="shared" si="5"/>
        <v>4130697</v>
      </c>
      <c r="T14" s="36">
        <f t="shared" si="6"/>
        <v>108855623</v>
      </c>
      <c r="U14" s="34"/>
    </row>
    <row r="15" ht="15.75" customHeight="1">
      <c r="A15" s="29">
        <v>45780.0</v>
      </c>
      <c r="B15" s="2" t="s">
        <v>484</v>
      </c>
      <c r="C15" s="30">
        <v>45843.0</v>
      </c>
      <c r="D15" s="8">
        <f t="shared" si="1"/>
        <v>1951950.284</v>
      </c>
      <c r="E15" s="15"/>
      <c r="F15" s="8">
        <f t="shared" si="2"/>
        <v>829291.4952</v>
      </c>
      <c r="G15" s="8">
        <f t="shared" si="3"/>
        <v>1122658.789</v>
      </c>
      <c r="H15" s="8">
        <f t="shared" si="4"/>
        <v>81806490.73</v>
      </c>
      <c r="J15" s="5"/>
      <c r="L15" s="33">
        <v>45780.0</v>
      </c>
      <c r="M15" s="34" t="s">
        <v>255</v>
      </c>
      <c r="N15" s="35" t="s">
        <v>484</v>
      </c>
      <c r="O15" s="36"/>
      <c r="P15" s="36">
        <v>4130697.0</v>
      </c>
      <c r="Q15" s="36"/>
      <c r="R15" s="36"/>
      <c r="S15" s="36">
        <f t="shared" si="5"/>
        <v>4130697</v>
      </c>
      <c r="T15" s="36">
        <f t="shared" si="6"/>
        <v>104724926</v>
      </c>
      <c r="U15" s="34"/>
    </row>
    <row r="16" ht="15.75" customHeight="1">
      <c r="A16" s="29">
        <v>45780.0</v>
      </c>
      <c r="B16" s="2" t="s">
        <v>484</v>
      </c>
      <c r="C16" s="30">
        <v>45874.0</v>
      </c>
      <c r="D16" s="8">
        <f t="shared" si="1"/>
        <v>1951950.284</v>
      </c>
      <c r="E16" s="15">
        <f>4130697-D15-D16</f>
        <v>226796.4313</v>
      </c>
      <c r="F16" s="8">
        <f t="shared" si="2"/>
        <v>818064.9073</v>
      </c>
      <c r="G16" s="8">
        <f t="shared" si="3"/>
        <v>1360681.808</v>
      </c>
      <c r="H16" s="8">
        <f t="shared" si="4"/>
        <v>80445808.92</v>
      </c>
      <c r="J16" s="5"/>
      <c r="L16" s="33">
        <v>45852.0</v>
      </c>
      <c r="M16" s="34" t="s">
        <v>485</v>
      </c>
      <c r="N16" s="35" t="s">
        <v>486</v>
      </c>
      <c r="O16" s="36"/>
      <c r="P16" s="36">
        <v>8261394.0</v>
      </c>
      <c r="Q16" s="36"/>
      <c r="R16" s="36"/>
      <c r="S16" s="36">
        <f t="shared" si="5"/>
        <v>8261394</v>
      </c>
      <c r="T16" s="36">
        <f t="shared" si="6"/>
        <v>96463532</v>
      </c>
      <c r="U16" s="34"/>
    </row>
    <row r="17" ht="15.75" customHeight="1">
      <c r="A17" s="29">
        <v>45852.0</v>
      </c>
      <c r="B17" s="2" t="s">
        <v>486</v>
      </c>
      <c r="C17" s="30">
        <v>45905.0</v>
      </c>
      <c r="D17" s="8">
        <f t="shared" si="1"/>
        <v>1951950.284</v>
      </c>
      <c r="E17" s="15"/>
      <c r="F17" s="8">
        <f t="shared" si="2"/>
        <v>804458.0892</v>
      </c>
      <c r="G17" s="8">
        <f t="shared" si="3"/>
        <v>1147492.195</v>
      </c>
      <c r="H17" s="8">
        <f t="shared" si="4"/>
        <v>79298316.73</v>
      </c>
      <c r="J17" s="5"/>
      <c r="L17" s="33">
        <v>46021.0</v>
      </c>
      <c r="M17" s="34" t="s">
        <v>442</v>
      </c>
      <c r="N17" s="35" t="s">
        <v>487</v>
      </c>
      <c r="O17" s="36"/>
      <c r="P17" s="36">
        <v>4800000.0</v>
      </c>
      <c r="Q17" s="36"/>
      <c r="R17" s="36"/>
      <c r="S17" s="36">
        <f t="shared" si="5"/>
        <v>4800000</v>
      </c>
      <c r="T17" s="36">
        <f t="shared" si="6"/>
        <v>91663532</v>
      </c>
      <c r="U17" s="34"/>
    </row>
    <row r="18" ht="15.75" customHeight="1">
      <c r="A18" s="29">
        <v>45852.0</v>
      </c>
      <c r="B18" s="2" t="s">
        <v>486</v>
      </c>
      <c r="C18" s="30">
        <v>45935.0</v>
      </c>
      <c r="D18" s="8">
        <f t="shared" si="1"/>
        <v>1951950.284</v>
      </c>
      <c r="E18" s="15"/>
      <c r="F18" s="8">
        <f t="shared" si="2"/>
        <v>792983.1673</v>
      </c>
      <c r="G18" s="8">
        <f t="shared" si="3"/>
        <v>1158967.117</v>
      </c>
      <c r="H18" s="8">
        <f t="shared" si="4"/>
        <v>78139349.61</v>
      </c>
      <c r="J18" s="5"/>
      <c r="L18" s="33">
        <v>46174.0</v>
      </c>
      <c r="M18" s="34" t="s">
        <v>481</v>
      </c>
      <c r="N18" s="35" t="s">
        <v>488</v>
      </c>
      <c r="O18" s="36"/>
      <c r="P18" s="36">
        <v>5777715.0</v>
      </c>
      <c r="Q18" s="36"/>
      <c r="R18" s="36"/>
      <c r="S18" s="36">
        <f t="shared" si="5"/>
        <v>5777715</v>
      </c>
      <c r="T18" s="36">
        <f t="shared" si="6"/>
        <v>85885817</v>
      </c>
      <c r="U18" s="34"/>
    </row>
    <row r="19" ht="15.75" customHeight="1">
      <c r="A19" s="29">
        <v>45852.0</v>
      </c>
      <c r="B19" s="2" t="s">
        <v>486</v>
      </c>
      <c r="C19" s="30">
        <v>45966.0</v>
      </c>
      <c r="D19" s="8">
        <f t="shared" si="1"/>
        <v>1951950.284</v>
      </c>
      <c r="E19" s="15"/>
      <c r="F19" s="8">
        <f t="shared" si="2"/>
        <v>781393.4961</v>
      </c>
      <c r="G19" s="8">
        <f t="shared" si="3"/>
        <v>1170556.788</v>
      </c>
      <c r="H19" s="8">
        <f t="shared" si="4"/>
        <v>76968792.82</v>
      </c>
      <c r="I19" s="1"/>
      <c r="J19" s="41"/>
      <c r="K19" s="1"/>
      <c r="L19" s="38"/>
      <c r="M19" s="38" t="s">
        <v>69</v>
      </c>
      <c r="N19" s="69"/>
      <c r="O19" s="27">
        <f t="shared" ref="O19:S19" si="7">SUM(O11:O18)</f>
        <v>0</v>
      </c>
      <c r="P19" s="27">
        <f t="shared" si="7"/>
        <v>40981200</v>
      </c>
      <c r="Q19" s="27">
        <f t="shared" si="7"/>
        <v>0</v>
      </c>
      <c r="R19" s="27">
        <f t="shared" si="7"/>
        <v>0</v>
      </c>
      <c r="S19" s="27">
        <f t="shared" si="7"/>
        <v>40981200</v>
      </c>
      <c r="T19" s="27">
        <f>T18</f>
        <v>85885817</v>
      </c>
      <c r="U19" s="38"/>
      <c r="V19" s="1"/>
      <c r="W19" s="1"/>
      <c r="X19" s="1"/>
      <c r="Y19" s="1"/>
      <c r="Z19" s="1"/>
      <c r="AA19" s="1"/>
      <c r="AB19" s="1"/>
    </row>
    <row r="20" ht="15.75" customHeight="1">
      <c r="A20" s="29">
        <v>45852.0</v>
      </c>
      <c r="B20" s="2" t="s">
        <v>486</v>
      </c>
      <c r="C20" s="30">
        <v>45996.0</v>
      </c>
      <c r="D20" s="8">
        <f t="shared" si="1"/>
        <v>1951950.284</v>
      </c>
      <c r="E20" s="15">
        <f>8261394-D17-D18-D19-D20</f>
        <v>453592.8626</v>
      </c>
      <c r="F20" s="8">
        <f t="shared" si="2"/>
        <v>769687.9282</v>
      </c>
      <c r="G20" s="8">
        <f t="shared" si="3"/>
        <v>1635855.219</v>
      </c>
      <c r="H20" s="8">
        <f t="shared" si="4"/>
        <v>75332937.6</v>
      </c>
      <c r="J20" s="5"/>
    </row>
    <row r="21" ht="15.75" customHeight="1">
      <c r="A21" s="29">
        <v>46021.0</v>
      </c>
      <c r="B21" s="2" t="s">
        <v>487</v>
      </c>
      <c r="C21" s="30">
        <v>46027.0</v>
      </c>
      <c r="D21" s="8">
        <f t="shared" si="1"/>
        <v>1951950.284</v>
      </c>
      <c r="E21" s="15"/>
      <c r="F21" s="8">
        <f t="shared" si="2"/>
        <v>753329.376</v>
      </c>
      <c r="G21" s="8">
        <f t="shared" si="3"/>
        <v>1198620.908</v>
      </c>
      <c r="H21" s="8">
        <f t="shared" si="4"/>
        <v>74134316.7</v>
      </c>
      <c r="J21" s="5"/>
    </row>
    <row r="22" ht="15.75" customHeight="1">
      <c r="A22" s="29">
        <v>46021.0</v>
      </c>
      <c r="B22" s="2" t="s">
        <v>487</v>
      </c>
      <c r="C22" s="30">
        <v>46058.0</v>
      </c>
      <c r="D22" s="8">
        <f t="shared" si="1"/>
        <v>1951950.284</v>
      </c>
      <c r="E22" s="15"/>
      <c r="F22" s="8">
        <f t="shared" si="2"/>
        <v>741343.167</v>
      </c>
      <c r="G22" s="8">
        <f t="shared" si="3"/>
        <v>1210607.117</v>
      </c>
      <c r="H22" s="8">
        <f t="shared" si="4"/>
        <v>72923709.58</v>
      </c>
      <c r="J22" s="5"/>
    </row>
    <row r="23" ht="15.75" customHeight="1">
      <c r="A23" s="29">
        <v>46174.0</v>
      </c>
      <c r="B23" s="2" t="s">
        <v>488</v>
      </c>
      <c r="C23" s="30">
        <v>46086.0</v>
      </c>
      <c r="D23" s="8">
        <f t="shared" si="1"/>
        <v>1951950.284</v>
      </c>
      <c r="E23" s="46"/>
      <c r="F23" s="8">
        <f t="shared" si="2"/>
        <v>729237.0958</v>
      </c>
      <c r="G23" s="8">
        <f t="shared" si="3"/>
        <v>1222713.189</v>
      </c>
      <c r="H23" s="8">
        <f t="shared" si="4"/>
        <v>71700996.39</v>
      </c>
      <c r="J23" s="5"/>
    </row>
    <row r="24" ht="15.75" customHeight="1">
      <c r="A24" s="29">
        <v>46174.0</v>
      </c>
      <c r="B24" s="2" t="s">
        <v>488</v>
      </c>
      <c r="C24" s="30">
        <v>46117.0</v>
      </c>
      <c r="D24" s="8">
        <f t="shared" si="1"/>
        <v>1951950.284</v>
      </c>
      <c r="E24" s="46"/>
      <c r="F24" s="8">
        <f t="shared" si="2"/>
        <v>717009.9639</v>
      </c>
      <c r="G24" s="8">
        <f t="shared" si="3"/>
        <v>1234940.32</v>
      </c>
      <c r="H24" s="8">
        <f t="shared" si="4"/>
        <v>70466056.07</v>
      </c>
      <c r="J24" s="5"/>
    </row>
    <row r="25" ht="15.75" customHeight="1">
      <c r="A25" s="29">
        <v>46174.0</v>
      </c>
      <c r="B25" s="2" t="s">
        <v>488</v>
      </c>
      <c r="C25" s="30">
        <v>46147.0</v>
      </c>
      <c r="D25" s="8">
        <f t="shared" si="1"/>
        <v>1951950.284</v>
      </c>
      <c r="E25" s="8">
        <f>5777715+896099-D23-D24-D25</f>
        <v>817963.1469</v>
      </c>
      <c r="F25" s="8">
        <f t="shared" si="2"/>
        <v>704660.5607</v>
      </c>
      <c r="G25" s="8">
        <f t="shared" si="3"/>
        <v>2065252.871</v>
      </c>
      <c r="H25" s="8">
        <f t="shared" si="4"/>
        <v>68400803.2</v>
      </c>
      <c r="J25" s="5"/>
    </row>
    <row r="26" ht="15.75" customHeight="1">
      <c r="B26" s="2"/>
      <c r="C26" s="30">
        <v>46178.0</v>
      </c>
      <c r="D26" s="8">
        <f t="shared" si="1"/>
        <v>1951950.284</v>
      </c>
      <c r="E26" s="46"/>
      <c r="F26" s="8">
        <f t="shared" si="2"/>
        <v>684008.032</v>
      </c>
      <c r="G26" s="8">
        <f t="shared" si="3"/>
        <v>1267942.252</v>
      </c>
      <c r="H26" s="8">
        <f t="shared" si="4"/>
        <v>67132860.95</v>
      </c>
      <c r="J26" s="5"/>
    </row>
    <row r="27" ht="15.75" customHeight="1">
      <c r="B27" s="2"/>
      <c r="C27" s="30">
        <v>46208.0</v>
      </c>
      <c r="D27" s="8">
        <f t="shared" si="1"/>
        <v>1951950.284</v>
      </c>
      <c r="E27" s="46"/>
      <c r="F27" s="8">
        <f t="shared" si="2"/>
        <v>671328.6095</v>
      </c>
      <c r="G27" s="8">
        <f t="shared" si="3"/>
        <v>1280621.675</v>
      </c>
      <c r="H27" s="8">
        <f t="shared" si="4"/>
        <v>65852239.27</v>
      </c>
      <c r="J27" s="5"/>
    </row>
    <row r="28" ht="15.75" customHeight="1">
      <c r="B28" s="2"/>
      <c r="C28" s="30">
        <v>46239.0</v>
      </c>
      <c r="D28" s="8">
        <f t="shared" si="1"/>
        <v>1951950.284</v>
      </c>
      <c r="E28" s="46"/>
      <c r="F28" s="8">
        <f t="shared" si="2"/>
        <v>658522.3927</v>
      </c>
      <c r="G28" s="8">
        <f t="shared" si="3"/>
        <v>1293427.892</v>
      </c>
      <c r="H28" s="8">
        <f t="shared" si="4"/>
        <v>64558811.38</v>
      </c>
      <c r="J28" s="5"/>
    </row>
    <row r="29" ht="15.75" customHeight="1">
      <c r="B29" s="2"/>
      <c r="C29" s="30">
        <v>46270.0</v>
      </c>
      <c r="D29" s="8">
        <f t="shared" si="1"/>
        <v>1951950.284</v>
      </c>
      <c r="E29" s="46"/>
      <c r="F29" s="8">
        <f t="shared" si="2"/>
        <v>645588.1138</v>
      </c>
      <c r="G29" s="8">
        <f t="shared" si="3"/>
        <v>1306362.171</v>
      </c>
      <c r="H29" s="8">
        <f t="shared" si="4"/>
        <v>63252449.21</v>
      </c>
      <c r="J29" s="5"/>
    </row>
    <row r="30" ht="15.75" customHeight="1">
      <c r="B30" s="2"/>
      <c r="C30" s="30">
        <v>46300.0</v>
      </c>
      <c r="D30" s="8">
        <f t="shared" si="1"/>
        <v>1951950.284</v>
      </c>
      <c r="E30" s="46"/>
      <c r="F30" s="8">
        <f t="shared" si="2"/>
        <v>632524.4921</v>
      </c>
      <c r="G30" s="8">
        <f t="shared" si="3"/>
        <v>1319425.792</v>
      </c>
      <c r="H30" s="8">
        <f t="shared" si="4"/>
        <v>61933023.42</v>
      </c>
      <c r="J30" s="5"/>
    </row>
    <row r="31" ht="15.75" customHeight="1">
      <c r="B31" s="2"/>
      <c r="C31" s="30">
        <v>46331.0</v>
      </c>
      <c r="D31" s="8">
        <f t="shared" si="1"/>
        <v>1951950.284</v>
      </c>
      <c r="E31" s="46"/>
      <c r="F31" s="8">
        <f t="shared" si="2"/>
        <v>619330.2342</v>
      </c>
      <c r="G31" s="8">
        <f t="shared" si="3"/>
        <v>1332620.05</v>
      </c>
      <c r="H31" s="8">
        <f t="shared" si="4"/>
        <v>60600403.37</v>
      </c>
      <c r="J31" s="5"/>
    </row>
    <row r="32" ht="15.75" customHeight="1">
      <c r="B32" s="2"/>
      <c r="C32" s="30">
        <v>46361.0</v>
      </c>
      <c r="D32" s="8">
        <f t="shared" si="1"/>
        <v>1951950.284</v>
      </c>
      <c r="E32" s="46"/>
      <c r="F32" s="8">
        <f t="shared" si="2"/>
        <v>606004.0337</v>
      </c>
      <c r="G32" s="8">
        <f t="shared" si="3"/>
        <v>1345946.251</v>
      </c>
      <c r="H32" s="8">
        <f t="shared" si="4"/>
        <v>59254457.12</v>
      </c>
      <c r="J32" s="5"/>
    </row>
    <row r="33" ht="15.75" customHeight="1">
      <c r="B33" s="2"/>
      <c r="C33" s="30">
        <v>46392.0</v>
      </c>
      <c r="D33" s="8">
        <f t="shared" si="1"/>
        <v>1951950.284</v>
      </c>
      <c r="E33" s="46"/>
      <c r="F33" s="8">
        <f t="shared" si="2"/>
        <v>592544.5712</v>
      </c>
      <c r="G33" s="8">
        <f t="shared" si="3"/>
        <v>1359405.713</v>
      </c>
      <c r="H33" s="8">
        <f t="shared" si="4"/>
        <v>57895051.4</v>
      </c>
      <c r="J33" s="5"/>
    </row>
    <row r="34" ht="15.75" customHeight="1">
      <c r="A34" s="47"/>
      <c r="B34" s="48"/>
      <c r="C34" s="30">
        <v>46423.0</v>
      </c>
      <c r="D34" s="50">
        <f t="shared" si="1"/>
        <v>1951950.284</v>
      </c>
      <c r="E34" s="51"/>
      <c r="F34" s="50">
        <f t="shared" si="2"/>
        <v>578950.514</v>
      </c>
      <c r="G34" s="50">
        <f t="shared" si="3"/>
        <v>1372999.77</v>
      </c>
      <c r="H34" s="50">
        <f t="shared" si="4"/>
        <v>56522051.63</v>
      </c>
      <c r="J34" s="5"/>
    </row>
    <row r="35" ht="15.75" customHeight="1">
      <c r="A35" s="47"/>
      <c r="B35" s="48"/>
      <c r="C35" s="30">
        <v>46451.0</v>
      </c>
      <c r="D35" s="50">
        <f t="shared" si="1"/>
        <v>1951950.284</v>
      </c>
      <c r="E35" s="51"/>
      <c r="F35" s="50">
        <f t="shared" si="2"/>
        <v>565220.5163</v>
      </c>
      <c r="G35" s="50">
        <f t="shared" si="3"/>
        <v>1386729.768</v>
      </c>
      <c r="H35" s="50">
        <f t="shared" si="4"/>
        <v>55135321.86</v>
      </c>
      <c r="J35" s="5"/>
    </row>
    <row r="36" ht="15.75" customHeight="1">
      <c r="A36" s="47"/>
      <c r="B36" s="48"/>
      <c r="C36" s="30">
        <v>46482.0</v>
      </c>
      <c r="D36" s="50">
        <f t="shared" si="1"/>
        <v>1951950.284</v>
      </c>
      <c r="E36" s="51"/>
      <c r="F36" s="50">
        <f t="shared" si="2"/>
        <v>551353.2186</v>
      </c>
      <c r="G36" s="50">
        <f t="shared" si="3"/>
        <v>1400597.066</v>
      </c>
      <c r="H36" s="50">
        <f t="shared" si="4"/>
        <v>53734724.8</v>
      </c>
      <c r="J36" s="5"/>
    </row>
    <row r="37" ht="15.75" customHeight="1">
      <c r="A37" s="47"/>
      <c r="B37" s="48"/>
      <c r="C37" s="30">
        <v>46512.0</v>
      </c>
      <c r="D37" s="50">
        <f t="shared" si="1"/>
        <v>1951950.284</v>
      </c>
      <c r="E37" s="51"/>
      <c r="F37" s="50">
        <f t="shared" si="2"/>
        <v>537347.248</v>
      </c>
      <c r="G37" s="50">
        <f t="shared" si="3"/>
        <v>1414603.036</v>
      </c>
      <c r="H37" s="50">
        <f t="shared" si="4"/>
        <v>52320121.76</v>
      </c>
      <c r="J37" s="5"/>
    </row>
    <row r="38" ht="15.75" customHeight="1">
      <c r="A38" s="47"/>
      <c r="B38" s="48"/>
      <c r="C38" s="30">
        <v>46543.0</v>
      </c>
      <c r="D38" s="50">
        <f t="shared" si="1"/>
        <v>1951950.284</v>
      </c>
      <c r="E38" s="51"/>
      <c r="F38" s="50">
        <f t="shared" si="2"/>
        <v>523201.2176</v>
      </c>
      <c r="G38" s="50">
        <f t="shared" si="3"/>
        <v>1428749.067</v>
      </c>
      <c r="H38" s="50">
        <f t="shared" si="4"/>
        <v>50891372.7</v>
      </c>
      <c r="J38" s="5"/>
    </row>
    <row r="39" ht="15.75" customHeight="1">
      <c r="A39" s="47"/>
      <c r="B39" s="48"/>
      <c r="C39" s="30">
        <v>46573.0</v>
      </c>
      <c r="D39" s="50">
        <f t="shared" si="1"/>
        <v>1951950.284</v>
      </c>
      <c r="E39" s="51"/>
      <c r="F39" s="50">
        <f t="shared" si="2"/>
        <v>508913.727</v>
      </c>
      <c r="G39" s="50">
        <f t="shared" si="3"/>
        <v>1443036.557</v>
      </c>
      <c r="H39" s="50">
        <f t="shared" si="4"/>
        <v>49448336.14</v>
      </c>
      <c r="J39" s="5"/>
    </row>
    <row r="40" ht="15.75" customHeight="1">
      <c r="A40" s="47"/>
      <c r="B40" s="48"/>
      <c r="C40" s="30">
        <v>46604.0</v>
      </c>
      <c r="D40" s="50">
        <f t="shared" si="1"/>
        <v>1951950.284</v>
      </c>
      <c r="E40" s="51"/>
      <c r="F40" s="50">
        <f t="shared" si="2"/>
        <v>494483.3614</v>
      </c>
      <c r="G40" s="50">
        <f t="shared" si="3"/>
        <v>1457466.923</v>
      </c>
      <c r="H40" s="50">
        <f t="shared" si="4"/>
        <v>47990869.21</v>
      </c>
      <c r="J40" s="5"/>
    </row>
    <row r="41" ht="15.75" customHeight="1">
      <c r="A41" s="47"/>
      <c r="B41" s="48"/>
      <c r="C41" s="30">
        <v>46635.0</v>
      </c>
      <c r="D41" s="50">
        <f t="shared" si="1"/>
        <v>1951950.284</v>
      </c>
      <c r="E41" s="51"/>
      <c r="F41" s="50">
        <f t="shared" si="2"/>
        <v>479908.6921</v>
      </c>
      <c r="G41" s="50">
        <f t="shared" si="3"/>
        <v>1472041.592</v>
      </c>
      <c r="H41" s="50">
        <f t="shared" si="4"/>
        <v>46518827.62</v>
      </c>
      <c r="J41" s="5"/>
    </row>
    <row r="42" ht="15.75" customHeight="1">
      <c r="A42" s="47"/>
      <c r="B42" s="48"/>
      <c r="C42" s="30">
        <v>46665.0</v>
      </c>
      <c r="D42" s="50">
        <f t="shared" si="1"/>
        <v>1951950.284</v>
      </c>
      <c r="E42" s="51"/>
      <c r="F42" s="50">
        <f t="shared" si="2"/>
        <v>465188.2762</v>
      </c>
      <c r="G42" s="50">
        <f t="shared" si="3"/>
        <v>1486762.008</v>
      </c>
      <c r="H42" s="50">
        <f t="shared" si="4"/>
        <v>45032065.61</v>
      </c>
      <c r="J42" s="5"/>
    </row>
    <row r="43" ht="15.75" customHeight="1">
      <c r="A43" s="47"/>
      <c r="B43" s="48"/>
      <c r="C43" s="30">
        <v>46696.0</v>
      </c>
      <c r="D43" s="50">
        <f t="shared" si="1"/>
        <v>1951950.284</v>
      </c>
      <c r="E43" s="51"/>
      <c r="F43" s="50">
        <f t="shared" si="2"/>
        <v>450320.6561</v>
      </c>
      <c r="G43" s="50">
        <f t="shared" si="3"/>
        <v>1501629.628</v>
      </c>
      <c r="H43" s="50">
        <f t="shared" si="4"/>
        <v>43530435.99</v>
      </c>
      <c r="J43" s="5"/>
    </row>
    <row r="44" ht="15.75" customHeight="1">
      <c r="A44" s="47"/>
      <c r="B44" s="48"/>
      <c r="C44" s="30">
        <v>46726.0</v>
      </c>
      <c r="D44" s="50">
        <f t="shared" si="1"/>
        <v>1951950.284</v>
      </c>
      <c r="E44" s="51"/>
      <c r="F44" s="50">
        <f t="shared" si="2"/>
        <v>435304.3599</v>
      </c>
      <c r="G44" s="50">
        <f t="shared" si="3"/>
        <v>1516645.924</v>
      </c>
      <c r="H44" s="50">
        <f t="shared" si="4"/>
        <v>42013790.06</v>
      </c>
      <c r="J44" s="5"/>
    </row>
    <row r="45" ht="15.75" customHeight="1">
      <c r="A45" s="47"/>
      <c r="B45" s="48"/>
      <c r="C45" s="30">
        <v>46757.0</v>
      </c>
      <c r="D45" s="50">
        <f t="shared" si="1"/>
        <v>1951950.284</v>
      </c>
      <c r="E45" s="51"/>
      <c r="F45" s="50">
        <f t="shared" si="2"/>
        <v>420137.9006</v>
      </c>
      <c r="G45" s="50">
        <f t="shared" si="3"/>
        <v>1531812.384</v>
      </c>
      <c r="H45" s="50">
        <f t="shared" si="4"/>
        <v>40481977.68</v>
      </c>
      <c r="J45" s="5"/>
    </row>
    <row r="46" ht="15.75" customHeight="1">
      <c r="A46" s="47"/>
      <c r="B46" s="48"/>
      <c r="C46" s="30">
        <v>46788.0</v>
      </c>
      <c r="D46" s="50">
        <f t="shared" si="1"/>
        <v>1951950.284</v>
      </c>
      <c r="E46" s="51"/>
      <c r="F46" s="50">
        <f t="shared" si="2"/>
        <v>404819.7768</v>
      </c>
      <c r="G46" s="50">
        <f t="shared" si="3"/>
        <v>1547130.508</v>
      </c>
      <c r="H46" s="50">
        <f t="shared" si="4"/>
        <v>38934847.17</v>
      </c>
      <c r="J46" s="5"/>
    </row>
    <row r="47" ht="15.75" customHeight="1">
      <c r="A47" s="47"/>
      <c r="B47" s="48"/>
      <c r="C47" s="30">
        <v>46817.0</v>
      </c>
      <c r="D47" s="50">
        <f t="shared" si="1"/>
        <v>1951950.284</v>
      </c>
      <c r="E47" s="51"/>
      <c r="F47" s="50">
        <f t="shared" si="2"/>
        <v>389348.4717</v>
      </c>
      <c r="G47" s="50">
        <f t="shared" si="3"/>
        <v>1562601.813</v>
      </c>
      <c r="H47" s="50">
        <f t="shared" si="4"/>
        <v>37372245.36</v>
      </c>
      <c r="J47" s="5"/>
    </row>
    <row r="48" ht="15.75" customHeight="1">
      <c r="A48" s="47"/>
      <c r="B48" s="48"/>
      <c r="C48" s="30">
        <v>46848.0</v>
      </c>
      <c r="D48" s="50">
        <f t="shared" si="1"/>
        <v>1951950.284</v>
      </c>
      <c r="E48" s="51"/>
      <c r="F48" s="50">
        <f t="shared" si="2"/>
        <v>373722.4536</v>
      </c>
      <c r="G48" s="50">
        <f t="shared" si="3"/>
        <v>1578227.831</v>
      </c>
      <c r="H48" s="50">
        <f t="shared" si="4"/>
        <v>35794017.53</v>
      </c>
      <c r="J48" s="5"/>
    </row>
    <row r="49" ht="15.75" customHeight="1">
      <c r="A49" s="47"/>
      <c r="B49" s="48"/>
      <c r="C49" s="30">
        <v>46878.0</v>
      </c>
      <c r="D49" s="50">
        <f t="shared" si="1"/>
        <v>1951950.284</v>
      </c>
      <c r="E49" s="51"/>
      <c r="F49" s="50">
        <f t="shared" si="2"/>
        <v>357940.1753</v>
      </c>
      <c r="G49" s="50">
        <f t="shared" si="3"/>
        <v>1594010.109</v>
      </c>
      <c r="H49" s="50">
        <f t="shared" si="4"/>
        <v>34200007.42</v>
      </c>
      <c r="J49" s="5"/>
    </row>
    <row r="50" ht="15.75" customHeight="1">
      <c r="A50" s="47"/>
      <c r="B50" s="48"/>
      <c r="C50" s="30">
        <v>46909.0</v>
      </c>
      <c r="D50" s="50">
        <f t="shared" si="1"/>
        <v>1951950.284</v>
      </c>
      <c r="E50" s="51"/>
      <c r="F50" s="50">
        <f t="shared" si="2"/>
        <v>342000.0742</v>
      </c>
      <c r="G50" s="50">
        <f t="shared" si="3"/>
        <v>1609950.21</v>
      </c>
      <c r="H50" s="50">
        <f t="shared" si="4"/>
        <v>32590057.21</v>
      </c>
      <c r="J50" s="5"/>
    </row>
    <row r="51" ht="15.75" customHeight="1">
      <c r="A51" s="47"/>
      <c r="B51" s="48"/>
      <c r="C51" s="30">
        <v>46939.0</v>
      </c>
      <c r="D51" s="50">
        <f t="shared" si="1"/>
        <v>1951950.284</v>
      </c>
      <c r="E51" s="51"/>
      <c r="F51" s="50">
        <f t="shared" si="2"/>
        <v>325900.5721</v>
      </c>
      <c r="G51" s="50">
        <f t="shared" si="3"/>
        <v>1626049.712</v>
      </c>
      <c r="H51" s="50">
        <f t="shared" si="4"/>
        <v>30964007.5</v>
      </c>
      <c r="J51" s="5"/>
    </row>
    <row r="52" ht="15.75" customHeight="1">
      <c r="A52" s="47"/>
      <c r="B52" s="48"/>
      <c r="C52" s="30">
        <v>46970.0</v>
      </c>
      <c r="D52" s="50">
        <f t="shared" si="1"/>
        <v>1951950.284</v>
      </c>
      <c r="E52" s="51"/>
      <c r="F52" s="50">
        <f t="shared" si="2"/>
        <v>309640.075</v>
      </c>
      <c r="G52" s="50">
        <f t="shared" si="3"/>
        <v>1642310.209</v>
      </c>
      <c r="H52" s="50">
        <f t="shared" si="4"/>
        <v>29321697.29</v>
      </c>
      <c r="J52" s="5"/>
    </row>
    <row r="53" ht="15.75" customHeight="1">
      <c r="A53" s="47"/>
      <c r="B53" s="48"/>
      <c r="C53" s="30">
        <v>47001.0</v>
      </c>
      <c r="D53" s="50">
        <f t="shared" si="1"/>
        <v>1951950.284</v>
      </c>
      <c r="E53" s="51"/>
      <c r="F53" s="50">
        <f t="shared" si="2"/>
        <v>293216.9729</v>
      </c>
      <c r="G53" s="50">
        <f t="shared" si="3"/>
        <v>1658733.311</v>
      </c>
      <c r="H53" s="50">
        <f t="shared" si="4"/>
        <v>27662963.97</v>
      </c>
      <c r="J53" s="5"/>
    </row>
    <row r="54" ht="15.75" customHeight="1">
      <c r="A54" s="47"/>
      <c r="B54" s="48"/>
      <c r="C54" s="30">
        <v>47031.0</v>
      </c>
      <c r="D54" s="50">
        <f t="shared" si="1"/>
        <v>1951950.284</v>
      </c>
      <c r="E54" s="51"/>
      <c r="F54" s="50">
        <f t="shared" si="2"/>
        <v>276629.6397</v>
      </c>
      <c r="G54" s="50">
        <f t="shared" si="3"/>
        <v>1675320.645</v>
      </c>
      <c r="H54" s="50">
        <f t="shared" si="4"/>
        <v>25987643.33</v>
      </c>
      <c r="J54" s="5"/>
    </row>
    <row r="55" ht="15.75" customHeight="1">
      <c r="A55" s="47"/>
      <c r="B55" s="48"/>
      <c r="C55" s="30">
        <v>47062.0</v>
      </c>
      <c r="D55" s="50">
        <f t="shared" si="1"/>
        <v>1951950.284</v>
      </c>
      <c r="E55" s="51"/>
      <c r="F55" s="50">
        <f t="shared" si="2"/>
        <v>259876.4333</v>
      </c>
      <c r="G55" s="50">
        <f t="shared" si="3"/>
        <v>1692073.851</v>
      </c>
      <c r="H55" s="50">
        <f t="shared" si="4"/>
        <v>24295569.48</v>
      </c>
      <c r="J55" s="5"/>
    </row>
    <row r="56" ht="15.75" customHeight="1">
      <c r="A56" s="47"/>
      <c r="B56" s="48"/>
      <c r="C56" s="30">
        <v>47092.0</v>
      </c>
      <c r="D56" s="50">
        <f t="shared" si="1"/>
        <v>1951950.284</v>
      </c>
      <c r="E56" s="51"/>
      <c r="F56" s="50">
        <f t="shared" si="2"/>
        <v>242955.6948</v>
      </c>
      <c r="G56" s="50">
        <f t="shared" si="3"/>
        <v>1708994.59</v>
      </c>
      <c r="H56" s="50">
        <f t="shared" si="4"/>
        <v>22586574.89</v>
      </c>
      <c r="J56" s="5"/>
    </row>
    <row r="57" ht="15.75" customHeight="1">
      <c r="A57" s="47"/>
      <c r="B57" s="48"/>
      <c r="C57" s="30">
        <v>47123.0</v>
      </c>
      <c r="D57" s="50">
        <f t="shared" si="1"/>
        <v>1951950.284</v>
      </c>
      <c r="E57" s="51"/>
      <c r="F57" s="50">
        <f t="shared" si="2"/>
        <v>225865.7489</v>
      </c>
      <c r="G57" s="50">
        <f t="shared" si="3"/>
        <v>1726084.535</v>
      </c>
      <c r="H57" s="50">
        <f t="shared" si="4"/>
        <v>20860490.35</v>
      </c>
      <c r="J57" s="5"/>
    </row>
    <row r="58" ht="15.75" customHeight="1">
      <c r="A58" s="47"/>
      <c r="B58" s="48"/>
      <c r="C58" s="30">
        <v>47154.0</v>
      </c>
      <c r="D58" s="50">
        <f t="shared" si="1"/>
        <v>1951950.284</v>
      </c>
      <c r="E58" s="51"/>
      <c r="F58" s="50">
        <f t="shared" si="2"/>
        <v>208604.9035</v>
      </c>
      <c r="G58" s="50">
        <f t="shared" si="3"/>
        <v>1743345.381</v>
      </c>
      <c r="H58" s="50">
        <f t="shared" si="4"/>
        <v>19117144.97</v>
      </c>
      <c r="J58" s="5"/>
    </row>
    <row r="59" ht="15.75" customHeight="1">
      <c r="A59" s="47"/>
      <c r="B59" s="48"/>
      <c r="C59" s="30">
        <v>47182.0</v>
      </c>
      <c r="D59" s="50">
        <f t="shared" si="1"/>
        <v>1951950.284</v>
      </c>
      <c r="E59" s="51"/>
      <c r="F59" s="50">
        <f t="shared" si="2"/>
        <v>191171.4497</v>
      </c>
      <c r="G59" s="50">
        <f t="shared" si="3"/>
        <v>1760778.835</v>
      </c>
      <c r="H59" s="50">
        <f t="shared" si="4"/>
        <v>17356366.14</v>
      </c>
      <c r="J59" s="5"/>
    </row>
    <row r="60" ht="15.75" customHeight="1">
      <c r="A60" s="47"/>
      <c r="B60" s="48"/>
      <c r="C60" s="30">
        <v>47213.0</v>
      </c>
      <c r="D60" s="50">
        <f t="shared" si="1"/>
        <v>1951950.284</v>
      </c>
      <c r="E60" s="51"/>
      <c r="F60" s="50">
        <f t="shared" si="2"/>
        <v>173563.6614</v>
      </c>
      <c r="G60" s="50">
        <f t="shared" si="3"/>
        <v>1778386.623</v>
      </c>
      <c r="H60" s="50">
        <f t="shared" si="4"/>
        <v>15577979.52</v>
      </c>
      <c r="J60" s="5"/>
    </row>
    <row r="61" ht="15.75" customHeight="1">
      <c r="A61" s="47"/>
      <c r="B61" s="48"/>
      <c r="C61" s="30">
        <v>47243.0</v>
      </c>
      <c r="D61" s="50">
        <f t="shared" si="1"/>
        <v>1951950.284</v>
      </c>
      <c r="E61" s="51"/>
      <c r="F61" s="50">
        <f t="shared" si="2"/>
        <v>155779.7952</v>
      </c>
      <c r="G61" s="50">
        <f t="shared" si="3"/>
        <v>1796170.489</v>
      </c>
      <c r="H61" s="50">
        <f t="shared" si="4"/>
        <v>13781809.03</v>
      </c>
      <c r="J61" s="5"/>
    </row>
    <row r="62" ht="15.75" customHeight="1">
      <c r="A62" s="47"/>
      <c r="B62" s="48"/>
      <c r="C62" s="30">
        <v>47274.0</v>
      </c>
      <c r="D62" s="50">
        <f t="shared" si="1"/>
        <v>1951950.284</v>
      </c>
      <c r="E62" s="51"/>
      <c r="F62" s="50">
        <f t="shared" si="2"/>
        <v>137818.0903</v>
      </c>
      <c r="G62" s="50">
        <f t="shared" si="3"/>
        <v>1814132.194</v>
      </c>
      <c r="H62" s="50">
        <f t="shared" si="4"/>
        <v>11967676.83</v>
      </c>
      <c r="J62" s="5"/>
    </row>
    <row r="63" ht="15.75" customHeight="1">
      <c r="A63" s="47"/>
      <c r="B63" s="48"/>
      <c r="C63" s="30">
        <v>47304.0</v>
      </c>
      <c r="D63" s="50">
        <f t="shared" si="1"/>
        <v>1951950.284</v>
      </c>
      <c r="E63" s="51"/>
      <c r="F63" s="50">
        <f t="shared" si="2"/>
        <v>119676.7683</v>
      </c>
      <c r="G63" s="50">
        <f t="shared" si="3"/>
        <v>1832273.516</v>
      </c>
      <c r="H63" s="50">
        <f t="shared" si="4"/>
        <v>10135403.32</v>
      </c>
      <c r="J63" s="5"/>
    </row>
    <row r="64" ht="15.75" customHeight="1">
      <c r="A64" s="47"/>
      <c r="B64" s="48"/>
      <c r="C64" s="30">
        <v>47335.0</v>
      </c>
      <c r="D64" s="50">
        <f t="shared" si="1"/>
        <v>1951950.284</v>
      </c>
      <c r="E64" s="51"/>
      <c r="F64" s="50">
        <f t="shared" si="2"/>
        <v>101354.0332</v>
      </c>
      <c r="G64" s="50">
        <f t="shared" si="3"/>
        <v>1850596.251</v>
      </c>
      <c r="H64" s="50">
        <f t="shared" si="4"/>
        <v>8284807.065</v>
      </c>
      <c r="J64" s="5"/>
    </row>
    <row r="65" ht="15.75" customHeight="1">
      <c r="A65" s="47"/>
      <c r="B65" s="48"/>
      <c r="C65" s="30">
        <v>47366.0</v>
      </c>
      <c r="D65" s="50">
        <f t="shared" si="1"/>
        <v>1951950.284</v>
      </c>
      <c r="E65" s="51"/>
      <c r="F65" s="50">
        <f t="shared" si="2"/>
        <v>82848.07065</v>
      </c>
      <c r="G65" s="50">
        <f t="shared" si="3"/>
        <v>1869102.214</v>
      </c>
      <c r="H65" s="50">
        <f t="shared" si="4"/>
        <v>6415704.851</v>
      </c>
      <c r="J65" s="5"/>
    </row>
    <row r="66" ht="15.75" customHeight="1">
      <c r="A66" s="47"/>
      <c r="B66" s="48"/>
      <c r="C66" s="30">
        <v>47396.0</v>
      </c>
      <c r="D66" s="50">
        <f t="shared" si="1"/>
        <v>1951950.284</v>
      </c>
      <c r="E66" s="51"/>
      <c r="F66" s="50">
        <f t="shared" si="2"/>
        <v>64157.04851</v>
      </c>
      <c r="G66" s="50">
        <f t="shared" si="3"/>
        <v>1887793.236</v>
      </c>
      <c r="H66" s="50">
        <f t="shared" si="4"/>
        <v>4527911.615</v>
      </c>
      <c r="J66" s="5"/>
    </row>
    <row r="67" ht="15.75" customHeight="1">
      <c r="A67" s="47"/>
      <c r="B67" s="48"/>
      <c r="C67" s="30">
        <v>47427.0</v>
      </c>
      <c r="D67" s="50">
        <f t="shared" si="1"/>
        <v>1951950.284</v>
      </c>
      <c r="E67" s="51"/>
      <c r="F67" s="50">
        <f t="shared" si="2"/>
        <v>45279.11615</v>
      </c>
      <c r="G67" s="50">
        <f t="shared" si="3"/>
        <v>1906671.168</v>
      </c>
      <c r="H67" s="50">
        <f t="shared" si="4"/>
        <v>2621240.447</v>
      </c>
      <c r="J67" s="5"/>
    </row>
    <row r="68" ht="15.75" customHeight="1">
      <c r="A68" s="47"/>
      <c r="B68" s="48"/>
      <c r="C68" s="30">
        <v>47457.0</v>
      </c>
      <c r="D68" s="50">
        <f t="shared" si="1"/>
        <v>1951950.284</v>
      </c>
      <c r="E68" s="51"/>
      <c r="F68" s="50">
        <f t="shared" si="2"/>
        <v>26212.40447</v>
      </c>
      <c r="G68" s="50">
        <f t="shared" si="3"/>
        <v>1925737.88</v>
      </c>
      <c r="H68" s="50">
        <f t="shared" si="4"/>
        <v>695502.5674</v>
      </c>
      <c r="J68" s="5"/>
    </row>
    <row r="69" ht="15.75" customHeight="1">
      <c r="A69" s="47"/>
      <c r="B69" s="48"/>
      <c r="C69" s="30">
        <v>47488.0</v>
      </c>
      <c r="D69" s="50">
        <f t="shared" si="1"/>
        <v>1951950.284</v>
      </c>
      <c r="E69" s="51"/>
      <c r="F69" s="50">
        <f t="shared" si="2"/>
        <v>6955.025674</v>
      </c>
      <c r="G69" s="50">
        <f t="shared" si="3"/>
        <v>1944995.259</v>
      </c>
      <c r="H69" s="50">
        <f t="shared" si="4"/>
        <v>-1249492.691</v>
      </c>
      <c r="J69" s="5"/>
    </row>
    <row r="70" ht="15.75" customHeight="1">
      <c r="A70" s="47"/>
      <c r="B70" s="48"/>
      <c r="C70" s="30">
        <v>47519.0</v>
      </c>
      <c r="D70" s="50">
        <f t="shared" si="1"/>
        <v>1951950.284</v>
      </c>
      <c r="E70" s="51"/>
      <c r="F70" s="50">
        <f t="shared" si="2"/>
        <v>-12494.92691</v>
      </c>
      <c r="G70" s="50">
        <f t="shared" si="3"/>
        <v>1964445.211</v>
      </c>
      <c r="H70" s="50">
        <f t="shared" si="4"/>
        <v>-3213937.903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489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12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48.0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2310794.059</v>
      </c>
      <c r="E6" s="12"/>
      <c r="H6" s="5"/>
      <c r="J6" s="5"/>
    </row>
    <row r="7" ht="15.75" customHeight="1">
      <c r="B7" s="2"/>
      <c r="C7" s="1" t="s">
        <v>12</v>
      </c>
      <c r="D7" s="20" t="s">
        <v>490</v>
      </c>
      <c r="H7" s="5"/>
      <c r="J7" s="5"/>
    </row>
    <row r="8" ht="15.75" customHeight="1">
      <c r="B8" s="2"/>
      <c r="C8" s="1" t="s">
        <v>16</v>
      </c>
      <c r="D8" s="16">
        <v>1.0599837E9</v>
      </c>
      <c r="H8" s="5"/>
      <c r="I8" s="17"/>
      <c r="J8" s="19"/>
      <c r="K8" s="17"/>
      <c r="L8" s="21" t="s">
        <v>491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12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1.2066811483928E8</v>
      </c>
      <c r="U10" s="25"/>
    </row>
    <row r="11" ht="15.75" customHeight="1">
      <c r="A11" s="29">
        <v>45737.0</v>
      </c>
      <c r="B11" s="2" t="s">
        <v>492</v>
      </c>
      <c r="C11" s="30">
        <v>45746.0</v>
      </c>
      <c r="D11" s="8">
        <f t="shared" ref="D11:D58" si="1">$D$6</f>
        <v>2310794.059</v>
      </c>
      <c r="E11" s="15"/>
      <c r="F11" s="8">
        <f t="shared" ref="F11:F58" si="2">+H10*$D$4</f>
        <v>877500</v>
      </c>
      <c r="G11" s="8">
        <f t="shared" ref="G11:G58" si="3">+D11+E11-F11</f>
        <v>1433294.059</v>
      </c>
      <c r="H11" s="8">
        <f t="shared" ref="H11:H58" si="4">+H10-G11</f>
        <v>86316705.94</v>
      </c>
      <c r="J11" s="5"/>
      <c r="L11" s="33">
        <v>45658.0</v>
      </c>
      <c r="M11" s="34" t="s">
        <v>44</v>
      </c>
      <c r="N11" s="35" t="s">
        <v>493</v>
      </c>
      <c r="O11" s="36"/>
      <c r="P11" s="36">
        <v>3400000.0</v>
      </c>
      <c r="Q11" s="36"/>
      <c r="R11" s="36"/>
      <c r="S11" s="36">
        <f t="shared" ref="S11:S25" si="5">SUM(O11:R11)</f>
        <v>3400000</v>
      </c>
      <c r="T11" s="36">
        <f t="shared" ref="T11:T25" si="6">T10-S11</f>
        <v>117268114.8</v>
      </c>
      <c r="U11" s="34"/>
    </row>
    <row r="12" ht="15.75" customHeight="1">
      <c r="A12" s="29">
        <v>45737.0</v>
      </c>
      <c r="B12" s="2" t="s">
        <v>492</v>
      </c>
      <c r="C12" s="30">
        <v>45777.0</v>
      </c>
      <c r="D12" s="8">
        <f t="shared" si="1"/>
        <v>2310794.059</v>
      </c>
      <c r="E12" s="15"/>
      <c r="F12" s="8">
        <f t="shared" si="2"/>
        <v>863167.0594</v>
      </c>
      <c r="G12" s="8">
        <f t="shared" si="3"/>
        <v>1447627</v>
      </c>
      <c r="H12" s="8">
        <f t="shared" si="4"/>
        <v>84869078.94</v>
      </c>
      <c r="J12" s="5"/>
      <c r="L12" s="33">
        <v>45728.0</v>
      </c>
      <c r="M12" s="34" t="s">
        <v>44</v>
      </c>
      <c r="N12" s="35" t="s">
        <v>494</v>
      </c>
      <c r="O12" s="36"/>
      <c r="P12" s="36">
        <v>6350000.0</v>
      </c>
      <c r="Q12" s="36"/>
      <c r="R12" s="36"/>
      <c r="S12" s="36">
        <f t="shared" si="5"/>
        <v>6350000</v>
      </c>
      <c r="T12" s="36">
        <f t="shared" si="6"/>
        <v>110918114.8</v>
      </c>
      <c r="U12" s="34"/>
    </row>
    <row r="13" ht="15.75" customHeight="1">
      <c r="A13" s="29">
        <v>45799.0</v>
      </c>
      <c r="B13" s="2" t="s">
        <v>495</v>
      </c>
      <c r="C13" s="30">
        <v>45807.0</v>
      </c>
      <c r="D13" s="8">
        <f t="shared" si="1"/>
        <v>2310794.059</v>
      </c>
      <c r="E13" s="15"/>
      <c r="F13" s="8">
        <f t="shared" si="2"/>
        <v>848690.7894</v>
      </c>
      <c r="G13" s="8">
        <f t="shared" si="3"/>
        <v>1462103.27</v>
      </c>
      <c r="H13" s="8">
        <f t="shared" si="4"/>
        <v>83406975.67</v>
      </c>
      <c r="J13" s="5" t="s">
        <v>56</v>
      </c>
      <c r="L13" s="33">
        <v>45737.0</v>
      </c>
      <c r="M13" s="34" t="s">
        <v>496</v>
      </c>
      <c r="N13" s="35" t="s">
        <v>492</v>
      </c>
      <c r="O13" s="36"/>
      <c r="P13" s="36">
        <v>4621588.0</v>
      </c>
      <c r="Q13" s="36"/>
      <c r="R13" s="36"/>
      <c r="S13" s="36">
        <f t="shared" si="5"/>
        <v>4621588</v>
      </c>
      <c r="T13" s="36">
        <f t="shared" si="6"/>
        <v>106296526.8</v>
      </c>
      <c r="U13" s="34"/>
    </row>
    <row r="14" ht="15.75" customHeight="1">
      <c r="A14" s="29">
        <v>45866.0</v>
      </c>
      <c r="B14" s="2" t="s">
        <v>497</v>
      </c>
      <c r="C14" s="30">
        <v>45838.0</v>
      </c>
      <c r="D14" s="8">
        <f t="shared" si="1"/>
        <v>2310794.059</v>
      </c>
      <c r="E14" s="15"/>
      <c r="F14" s="8">
        <f t="shared" si="2"/>
        <v>834069.7567</v>
      </c>
      <c r="G14" s="8">
        <f t="shared" si="3"/>
        <v>1476724.302</v>
      </c>
      <c r="H14" s="8">
        <f t="shared" si="4"/>
        <v>81930251.37</v>
      </c>
      <c r="J14" s="8">
        <f>+H10</f>
        <v>87750000</v>
      </c>
      <c r="L14" s="33">
        <v>45799.0</v>
      </c>
      <c r="M14" s="34" t="s">
        <v>83</v>
      </c>
      <c r="N14" s="35" t="s">
        <v>495</v>
      </c>
      <c r="O14" s="36"/>
      <c r="P14" s="36">
        <v>2310794.0</v>
      </c>
      <c r="Q14" s="36"/>
      <c r="R14" s="36"/>
      <c r="S14" s="36">
        <f t="shared" si="5"/>
        <v>2310794</v>
      </c>
      <c r="T14" s="36">
        <f t="shared" si="6"/>
        <v>103985732.8</v>
      </c>
      <c r="U14" s="34"/>
    </row>
    <row r="15" ht="15.75" customHeight="1">
      <c r="A15" s="29">
        <v>45866.0</v>
      </c>
      <c r="B15" s="2" t="s">
        <v>497</v>
      </c>
      <c r="C15" s="30">
        <v>45868.0</v>
      </c>
      <c r="D15" s="8">
        <f t="shared" si="1"/>
        <v>2310794.059</v>
      </c>
      <c r="E15" s="15"/>
      <c r="F15" s="8">
        <f t="shared" si="2"/>
        <v>819302.5137</v>
      </c>
      <c r="G15" s="8">
        <f t="shared" si="3"/>
        <v>1491491.545</v>
      </c>
      <c r="H15" s="8">
        <f t="shared" si="4"/>
        <v>80438759.82</v>
      </c>
      <c r="J15" s="5"/>
      <c r="L15" s="33">
        <v>45866.0</v>
      </c>
      <c r="M15" s="34" t="s">
        <v>498</v>
      </c>
      <c r="N15" s="35" t="s">
        <v>497</v>
      </c>
      <c r="O15" s="36"/>
      <c r="P15" s="36">
        <v>4621588.0</v>
      </c>
      <c r="Q15" s="36"/>
      <c r="R15" s="36"/>
      <c r="S15" s="36">
        <f t="shared" si="5"/>
        <v>4621588</v>
      </c>
      <c r="T15" s="36">
        <f t="shared" si="6"/>
        <v>99364144.84</v>
      </c>
      <c r="U15" s="34"/>
    </row>
    <row r="16" ht="15.75" customHeight="1">
      <c r="A16" s="29">
        <v>45930.0</v>
      </c>
      <c r="B16" s="2" t="s">
        <v>499</v>
      </c>
      <c r="C16" s="30">
        <v>45899.0</v>
      </c>
      <c r="D16" s="8">
        <f t="shared" si="1"/>
        <v>2310794.059</v>
      </c>
      <c r="E16" s="15">
        <f>2310100-D16</f>
        <v>-694.0591517</v>
      </c>
      <c r="F16" s="8">
        <f t="shared" si="2"/>
        <v>804387.5982</v>
      </c>
      <c r="G16" s="8">
        <f t="shared" si="3"/>
        <v>1505712.402</v>
      </c>
      <c r="H16" s="8">
        <f t="shared" si="4"/>
        <v>78933047.42</v>
      </c>
      <c r="J16" s="5"/>
      <c r="L16" s="33">
        <v>45930.0</v>
      </c>
      <c r="M16" s="34" t="s">
        <v>93</v>
      </c>
      <c r="N16" s="35" t="s">
        <v>499</v>
      </c>
      <c r="O16" s="36"/>
      <c r="P16" s="36">
        <v>2310100.0</v>
      </c>
      <c r="Q16" s="36"/>
      <c r="R16" s="36"/>
      <c r="S16" s="36">
        <f t="shared" si="5"/>
        <v>2310100</v>
      </c>
      <c r="T16" s="36">
        <f t="shared" si="6"/>
        <v>97054044.84</v>
      </c>
      <c r="U16" s="34"/>
    </row>
    <row r="17" ht="15.75" customHeight="1">
      <c r="A17" s="29">
        <v>45965.0</v>
      </c>
      <c r="B17" s="2" t="s">
        <v>500</v>
      </c>
      <c r="C17" s="30">
        <v>45930.0</v>
      </c>
      <c r="D17" s="8">
        <f t="shared" si="1"/>
        <v>2310794.059</v>
      </c>
      <c r="E17" s="15">
        <f t="shared" ref="E17:E25" si="7">2310000-D17</f>
        <v>-794.0591517</v>
      </c>
      <c r="F17" s="8">
        <f t="shared" si="2"/>
        <v>789330.4742</v>
      </c>
      <c r="G17" s="8">
        <f t="shared" si="3"/>
        <v>1520669.526</v>
      </c>
      <c r="H17" s="8">
        <f t="shared" si="4"/>
        <v>77412377.9</v>
      </c>
      <c r="J17" s="5"/>
      <c r="L17" s="33">
        <v>45965.0</v>
      </c>
      <c r="M17" s="34" t="s">
        <v>96</v>
      </c>
      <c r="N17" s="35" t="s">
        <v>500</v>
      </c>
      <c r="O17" s="36"/>
      <c r="P17" s="36">
        <v>2310000.0</v>
      </c>
      <c r="Q17" s="36"/>
      <c r="R17" s="36"/>
      <c r="S17" s="36">
        <f t="shared" si="5"/>
        <v>2310000</v>
      </c>
      <c r="T17" s="36">
        <f t="shared" si="6"/>
        <v>94744044.84</v>
      </c>
      <c r="U17" s="34"/>
    </row>
    <row r="18" ht="15.75" customHeight="1">
      <c r="A18" s="29">
        <v>45993.0</v>
      </c>
      <c r="B18" s="2" t="s">
        <v>501</v>
      </c>
      <c r="C18" s="30">
        <v>45960.0</v>
      </c>
      <c r="D18" s="8">
        <f t="shared" si="1"/>
        <v>2310794.059</v>
      </c>
      <c r="E18" s="15">
        <f t="shared" si="7"/>
        <v>-794.0591517</v>
      </c>
      <c r="F18" s="8">
        <f t="shared" si="2"/>
        <v>774123.779</v>
      </c>
      <c r="G18" s="8">
        <f t="shared" si="3"/>
        <v>1535876.221</v>
      </c>
      <c r="H18" s="8">
        <f t="shared" si="4"/>
        <v>75876501.67</v>
      </c>
      <c r="J18" s="5"/>
      <c r="L18" s="33">
        <v>45993.0</v>
      </c>
      <c r="M18" s="34" t="s">
        <v>100</v>
      </c>
      <c r="N18" s="35" t="s">
        <v>501</v>
      </c>
      <c r="O18" s="36"/>
      <c r="P18" s="36">
        <v>2310000.0</v>
      </c>
      <c r="Q18" s="36"/>
      <c r="R18" s="36"/>
      <c r="S18" s="36">
        <f t="shared" si="5"/>
        <v>2310000</v>
      </c>
      <c r="T18" s="36">
        <f t="shared" si="6"/>
        <v>92434044.84</v>
      </c>
      <c r="U18" s="34"/>
    </row>
    <row r="19" ht="15.75" customHeight="1">
      <c r="A19" s="29">
        <v>46027.0</v>
      </c>
      <c r="B19" s="2" t="s">
        <v>502</v>
      </c>
      <c r="C19" s="30">
        <v>45991.0</v>
      </c>
      <c r="D19" s="8">
        <f t="shared" si="1"/>
        <v>2310794.059</v>
      </c>
      <c r="E19" s="15">
        <f t="shared" si="7"/>
        <v>-794.0591517</v>
      </c>
      <c r="F19" s="8">
        <f t="shared" si="2"/>
        <v>758765.0167</v>
      </c>
      <c r="G19" s="8">
        <f t="shared" si="3"/>
        <v>1551234.983</v>
      </c>
      <c r="H19" s="8">
        <f t="shared" si="4"/>
        <v>74325266.69</v>
      </c>
      <c r="I19" s="1"/>
      <c r="J19" s="41"/>
      <c r="K19" s="1"/>
      <c r="L19" s="42">
        <v>46027.0</v>
      </c>
      <c r="M19" s="43" t="s">
        <v>103</v>
      </c>
      <c r="N19" s="44" t="s">
        <v>502</v>
      </c>
      <c r="O19" s="45"/>
      <c r="P19" s="45">
        <v>2310000.0</v>
      </c>
      <c r="Q19" s="45"/>
      <c r="R19" s="45"/>
      <c r="S19" s="45">
        <f t="shared" si="5"/>
        <v>2310000</v>
      </c>
      <c r="T19" s="45">
        <f t="shared" si="6"/>
        <v>90124044.84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46055.0</v>
      </c>
      <c r="B20" s="2" t="s">
        <v>503</v>
      </c>
      <c r="C20" s="30">
        <v>46021.0</v>
      </c>
      <c r="D20" s="8">
        <f t="shared" si="1"/>
        <v>2310794.059</v>
      </c>
      <c r="E20" s="15">
        <f t="shared" si="7"/>
        <v>-794.0591517</v>
      </c>
      <c r="F20" s="8">
        <f t="shared" si="2"/>
        <v>743252.6669</v>
      </c>
      <c r="G20" s="8">
        <f t="shared" si="3"/>
        <v>1566747.333</v>
      </c>
      <c r="H20" s="8">
        <f t="shared" si="4"/>
        <v>72758519.36</v>
      </c>
      <c r="J20" s="5"/>
      <c r="L20" s="33">
        <v>46055.0</v>
      </c>
      <c r="M20" s="34" t="s">
        <v>107</v>
      </c>
      <c r="N20" s="35" t="s">
        <v>503</v>
      </c>
      <c r="O20" s="36"/>
      <c r="P20" s="36">
        <v>2310000.0</v>
      </c>
      <c r="Q20" s="36"/>
      <c r="R20" s="36"/>
      <c r="S20" s="36">
        <f t="shared" si="5"/>
        <v>2310000</v>
      </c>
      <c r="T20" s="36">
        <f t="shared" si="6"/>
        <v>87814044.84</v>
      </c>
      <c r="U20" s="34"/>
    </row>
    <row r="21" ht="15.75" customHeight="1">
      <c r="A21" s="29">
        <v>46083.0</v>
      </c>
      <c r="B21" s="2" t="s">
        <v>504</v>
      </c>
      <c r="C21" s="30">
        <v>46052.0</v>
      </c>
      <c r="D21" s="8">
        <f t="shared" si="1"/>
        <v>2310794.059</v>
      </c>
      <c r="E21" s="15">
        <f t="shared" si="7"/>
        <v>-794.0591517</v>
      </c>
      <c r="F21" s="8">
        <f t="shared" si="2"/>
        <v>727585.1936</v>
      </c>
      <c r="G21" s="8">
        <f t="shared" si="3"/>
        <v>1582414.806</v>
      </c>
      <c r="H21" s="8">
        <f t="shared" si="4"/>
        <v>71176104.55</v>
      </c>
      <c r="J21" s="5"/>
      <c r="L21" s="33">
        <v>46083.0</v>
      </c>
      <c r="M21" s="34" t="s">
        <v>112</v>
      </c>
      <c r="N21" s="35" t="s">
        <v>504</v>
      </c>
      <c r="O21" s="36"/>
      <c r="P21" s="36">
        <v>2310000.0</v>
      </c>
      <c r="Q21" s="36"/>
      <c r="R21" s="36"/>
      <c r="S21" s="36">
        <f t="shared" si="5"/>
        <v>2310000</v>
      </c>
      <c r="T21" s="36">
        <f t="shared" si="6"/>
        <v>85504044.84</v>
      </c>
      <c r="U21" s="34"/>
    </row>
    <row r="22" ht="15.75" customHeight="1">
      <c r="A22" s="29">
        <v>46120.0</v>
      </c>
      <c r="B22" s="2" t="s">
        <v>505</v>
      </c>
      <c r="C22" s="30">
        <v>46081.0</v>
      </c>
      <c r="D22" s="8">
        <f t="shared" si="1"/>
        <v>2310794.059</v>
      </c>
      <c r="E22" s="15">
        <f t="shared" si="7"/>
        <v>-794.0591517</v>
      </c>
      <c r="F22" s="8">
        <f t="shared" si="2"/>
        <v>711761.0455</v>
      </c>
      <c r="G22" s="8">
        <f t="shared" si="3"/>
        <v>1598238.954</v>
      </c>
      <c r="H22" s="8">
        <f t="shared" si="4"/>
        <v>69577865.6</v>
      </c>
      <c r="J22" s="5"/>
      <c r="L22" s="33">
        <v>46120.0</v>
      </c>
      <c r="M22" s="34" t="s">
        <v>115</v>
      </c>
      <c r="N22" s="35" t="s">
        <v>505</v>
      </c>
      <c r="O22" s="36"/>
      <c r="P22" s="36">
        <v>2310000.0</v>
      </c>
      <c r="Q22" s="36"/>
      <c r="R22" s="36"/>
      <c r="S22" s="36">
        <f t="shared" si="5"/>
        <v>2310000</v>
      </c>
      <c r="T22" s="36">
        <f t="shared" si="6"/>
        <v>83194044.84</v>
      </c>
      <c r="U22" s="34"/>
    </row>
    <row r="23" ht="15.75" customHeight="1">
      <c r="A23" s="29">
        <v>46141.0</v>
      </c>
      <c r="B23" s="2" t="s">
        <v>506</v>
      </c>
      <c r="C23" s="30">
        <v>46111.0</v>
      </c>
      <c r="D23" s="8">
        <f t="shared" si="1"/>
        <v>2310794.059</v>
      </c>
      <c r="E23" s="8">
        <f t="shared" si="7"/>
        <v>-794.0591517</v>
      </c>
      <c r="F23" s="8">
        <f t="shared" si="2"/>
        <v>695778.656</v>
      </c>
      <c r="G23" s="8">
        <f t="shared" si="3"/>
        <v>1614221.344</v>
      </c>
      <c r="H23" s="8">
        <f t="shared" si="4"/>
        <v>67963644.25</v>
      </c>
      <c r="J23" s="5"/>
      <c r="L23" s="33">
        <v>46141.0</v>
      </c>
      <c r="M23" s="34" t="s">
        <v>116</v>
      </c>
      <c r="N23" s="35" t="s">
        <v>506</v>
      </c>
      <c r="O23" s="36"/>
      <c r="P23" s="36">
        <v>2310000.0</v>
      </c>
      <c r="Q23" s="36"/>
      <c r="R23" s="36"/>
      <c r="S23" s="36">
        <f t="shared" si="5"/>
        <v>2310000</v>
      </c>
      <c r="T23" s="36">
        <f t="shared" si="6"/>
        <v>80884044.84</v>
      </c>
      <c r="U23" s="34"/>
    </row>
    <row r="24" ht="15.75" customHeight="1">
      <c r="A24" s="29">
        <v>46148.0</v>
      </c>
      <c r="B24" s="2" t="s">
        <v>507</v>
      </c>
      <c r="C24" s="30">
        <v>46142.0</v>
      </c>
      <c r="D24" s="8">
        <f t="shared" si="1"/>
        <v>2310794.059</v>
      </c>
      <c r="E24" s="8">
        <f t="shared" si="7"/>
        <v>-794.0591517</v>
      </c>
      <c r="F24" s="8">
        <f t="shared" si="2"/>
        <v>679636.4425</v>
      </c>
      <c r="G24" s="8">
        <f t="shared" si="3"/>
        <v>1630363.557</v>
      </c>
      <c r="H24" s="8">
        <f t="shared" si="4"/>
        <v>66333280.7</v>
      </c>
      <c r="J24" s="5"/>
      <c r="L24" s="33">
        <v>46148.0</v>
      </c>
      <c r="M24" s="34" t="s">
        <v>118</v>
      </c>
      <c r="N24" s="35" t="s">
        <v>507</v>
      </c>
      <c r="O24" s="36"/>
      <c r="P24" s="36">
        <v>2310000.0</v>
      </c>
      <c r="Q24" s="36"/>
      <c r="R24" s="36"/>
      <c r="S24" s="36">
        <f t="shared" si="5"/>
        <v>2310000</v>
      </c>
      <c r="T24" s="36">
        <f t="shared" si="6"/>
        <v>78574044.84</v>
      </c>
      <c r="U24" s="34"/>
    </row>
    <row r="25" ht="15.75" customHeight="1">
      <c r="A25" s="29">
        <v>46205.0</v>
      </c>
      <c r="B25" s="2" t="s">
        <v>508</v>
      </c>
      <c r="C25" s="30">
        <v>46172.0</v>
      </c>
      <c r="D25" s="8">
        <f t="shared" si="1"/>
        <v>2310794.059</v>
      </c>
      <c r="E25" s="8">
        <f t="shared" si="7"/>
        <v>-794.0591517</v>
      </c>
      <c r="F25" s="8">
        <f t="shared" si="2"/>
        <v>663332.807</v>
      </c>
      <c r="G25" s="8">
        <f t="shared" si="3"/>
        <v>1646667.193</v>
      </c>
      <c r="H25" s="8">
        <f t="shared" si="4"/>
        <v>64686613.5</v>
      </c>
      <c r="J25" s="5"/>
      <c r="L25" s="33">
        <v>46205.0</v>
      </c>
      <c r="M25" s="34" t="s">
        <v>120</v>
      </c>
      <c r="N25" s="35" t="s">
        <v>508</v>
      </c>
      <c r="O25" s="36"/>
      <c r="P25" s="36">
        <v>2310000.0</v>
      </c>
      <c r="Q25" s="36"/>
      <c r="R25" s="36"/>
      <c r="S25" s="36">
        <f t="shared" si="5"/>
        <v>2310000</v>
      </c>
      <c r="T25" s="36">
        <f t="shared" si="6"/>
        <v>76264044.84</v>
      </c>
      <c r="U25" s="34"/>
    </row>
    <row r="26" ht="15.75" customHeight="1">
      <c r="B26" s="2"/>
      <c r="C26" s="30">
        <v>46203.0</v>
      </c>
      <c r="D26" s="8">
        <f t="shared" si="1"/>
        <v>2310794.059</v>
      </c>
      <c r="E26" s="8"/>
      <c r="F26" s="8">
        <f t="shared" si="2"/>
        <v>646866.135</v>
      </c>
      <c r="G26" s="8">
        <f t="shared" si="3"/>
        <v>1663927.924</v>
      </c>
      <c r="H26" s="8">
        <f t="shared" si="4"/>
        <v>63022685.58</v>
      </c>
      <c r="J26" s="5"/>
      <c r="L26" s="25"/>
      <c r="M26" s="38" t="s">
        <v>69</v>
      </c>
      <c r="N26" s="39"/>
      <c r="O26" s="27">
        <f t="shared" ref="O26:S26" si="8">SUM(O11:O25)</f>
        <v>0</v>
      </c>
      <c r="P26" s="27">
        <f t="shared" si="8"/>
        <v>44404070</v>
      </c>
      <c r="Q26" s="27">
        <f t="shared" si="8"/>
        <v>0</v>
      </c>
      <c r="R26" s="27">
        <f t="shared" si="8"/>
        <v>0</v>
      </c>
      <c r="S26" s="27">
        <f t="shared" si="8"/>
        <v>44404070</v>
      </c>
      <c r="T26" s="27">
        <f>T25</f>
        <v>76264044.84</v>
      </c>
      <c r="U26" s="25"/>
    </row>
    <row r="27" ht="15.75" customHeight="1">
      <c r="B27" s="2"/>
      <c r="C27" s="30">
        <v>46233.0</v>
      </c>
      <c r="D27" s="8">
        <f t="shared" si="1"/>
        <v>2310794.059</v>
      </c>
      <c r="E27" s="8"/>
      <c r="F27" s="8">
        <f t="shared" si="2"/>
        <v>630226.8558</v>
      </c>
      <c r="G27" s="8">
        <f t="shared" si="3"/>
        <v>1680567.203</v>
      </c>
      <c r="H27" s="8">
        <f t="shared" si="4"/>
        <v>61342118.38</v>
      </c>
      <c r="J27" s="5"/>
    </row>
    <row r="28" ht="15.75" customHeight="1">
      <c r="B28" s="2"/>
      <c r="C28" s="30">
        <v>46264.0</v>
      </c>
      <c r="D28" s="8">
        <f t="shared" si="1"/>
        <v>2310794.059</v>
      </c>
      <c r="E28" s="8"/>
      <c r="F28" s="8">
        <f t="shared" si="2"/>
        <v>613421.1838</v>
      </c>
      <c r="G28" s="8">
        <f t="shared" si="3"/>
        <v>1697372.875</v>
      </c>
      <c r="H28" s="8">
        <f t="shared" si="4"/>
        <v>59644745.5</v>
      </c>
      <c r="J28" s="5"/>
    </row>
    <row r="29" ht="15.75" customHeight="1">
      <c r="B29" s="2"/>
      <c r="C29" s="30">
        <v>46295.0</v>
      </c>
      <c r="D29" s="8">
        <f t="shared" si="1"/>
        <v>2310794.059</v>
      </c>
      <c r="E29" s="8"/>
      <c r="F29" s="8">
        <f t="shared" si="2"/>
        <v>596447.455</v>
      </c>
      <c r="G29" s="8">
        <f t="shared" si="3"/>
        <v>1714346.604</v>
      </c>
      <c r="H29" s="8">
        <f t="shared" si="4"/>
        <v>57930398.9</v>
      </c>
      <c r="J29" s="5"/>
    </row>
    <row r="30" ht="15.75" customHeight="1">
      <c r="B30" s="2"/>
      <c r="C30" s="30">
        <v>46325.0</v>
      </c>
      <c r="D30" s="8">
        <f t="shared" si="1"/>
        <v>2310794.059</v>
      </c>
      <c r="E30" s="8"/>
      <c r="F30" s="8">
        <f t="shared" si="2"/>
        <v>579303.989</v>
      </c>
      <c r="G30" s="8">
        <f t="shared" si="3"/>
        <v>1731490.07</v>
      </c>
      <c r="H30" s="8">
        <f t="shared" si="4"/>
        <v>56198908.83</v>
      </c>
      <c r="J30" s="5"/>
    </row>
    <row r="31" ht="15.75" customHeight="1">
      <c r="B31" s="2"/>
      <c r="C31" s="30">
        <v>46356.0</v>
      </c>
      <c r="D31" s="8">
        <f t="shared" si="1"/>
        <v>2310794.059</v>
      </c>
      <c r="E31" s="8"/>
      <c r="F31" s="8">
        <f t="shared" si="2"/>
        <v>561989.0883</v>
      </c>
      <c r="G31" s="8">
        <f t="shared" si="3"/>
        <v>1748804.971</v>
      </c>
      <c r="H31" s="8">
        <f t="shared" si="4"/>
        <v>54450103.86</v>
      </c>
      <c r="J31" s="5"/>
    </row>
    <row r="32" ht="15.75" customHeight="1">
      <c r="B32" s="2"/>
      <c r="C32" s="30">
        <v>46386.0</v>
      </c>
      <c r="D32" s="8">
        <f t="shared" si="1"/>
        <v>2310794.059</v>
      </c>
      <c r="E32" s="8"/>
      <c r="F32" s="8">
        <f t="shared" si="2"/>
        <v>544501.0386</v>
      </c>
      <c r="G32" s="8">
        <f t="shared" si="3"/>
        <v>1766293.021</v>
      </c>
      <c r="H32" s="8">
        <f t="shared" si="4"/>
        <v>52683810.83</v>
      </c>
      <c r="J32" s="5"/>
    </row>
    <row r="33" ht="15.75" customHeight="1">
      <c r="B33" s="2"/>
      <c r="C33" s="30">
        <v>46417.0</v>
      </c>
      <c r="D33" s="8">
        <f t="shared" si="1"/>
        <v>2310794.059</v>
      </c>
      <c r="E33" s="8"/>
      <c r="F33" s="8">
        <f t="shared" si="2"/>
        <v>526838.1083</v>
      </c>
      <c r="G33" s="8">
        <f t="shared" si="3"/>
        <v>1783955.951</v>
      </c>
      <c r="H33" s="8">
        <f t="shared" si="4"/>
        <v>50899854.88</v>
      </c>
      <c r="J33" s="5"/>
    </row>
    <row r="34" ht="15.75" customHeight="1">
      <c r="B34" s="2"/>
      <c r="C34" s="30">
        <v>46446.0</v>
      </c>
      <c r="D34" s="8">
        <f t="shared" si="1"/>
        <v>2310794.059</v>
      </c>
      <c r="E34" s="8"/>
      <c r="F34" s="8">
        <f t="shared" si="2"/>
        <v>508998.5488</v>
      </c>
      <c r="G34" s="8">
        <f t="shared" si="3"/>
        <v>1801795.51</v>
      </c>
      <c r="H34" s="8">
        <f t="shared" si="4"/>
        <v>49098059.37</v>
      </c>
      <c r="J34" s="5"/>
    </row>
    <row r="35" ht="15.75" customHeight="1">
      <c r="B35" s="2"/>
      <c r="C35" s="30">
        <v>46476.0</v>
      </c>
      <c r="D35" s="8">
        <f t="shared" si="1"/>
        <v>2310794.059</v>
      </c>
      <c r="E35" s="8"/>
      <c r="F35" s="8">
        <f t="shared" si="2"/>
        <v>490980.5937</v>
      </c>
      <c r="G35" s="8">
        <f t="shared" si="3"/>
        <v>1819813.465</v>
      </c>
      <c r="H35" s="8">
        <f t="shared" si="4"/>
        <v>47278245.91</v>
      </c>
      <c r="J35" s="5"/>
    </row>
    <row r="36" ht="15.75" customHeight="1">
      <c r="B36" s="2"/>
      <c r="C36" s="30">
        <v>46507.0</v>
      </c>
      <c r="D36" s="8">
        <f t="shared" si="1"/>
        <v>2310794.059</v>
      </c>
      <c r="E36" s="8"/>
      <c r="F36" s="8">
        <f t="shared" si="2"/>
        <v>472782.4591</v>
      </c>
      <c r="G36" s="8">
        <f t="shared" si="3"/>
        <v>1838011.6</v>
      </c>
      <c r="H36" s="8">
        <f t="shared" si="4"/>
        <v>45440234.31</v>
      </c>
      <c r="J36" s="5"/>
    </row>
    <row r="37" ht="15.75" customHeight="1">
      <c r="B37" s="2"/>
      <c r="C37" s="30">
        <v>46537.0</v>
      </c>
      <c r="D37" s="8">
        <f t="shared" si="1"/>
        <v>2310794.059</v>
      </c>
      <c r="E37" s="8"/>
      <c r="F37" s="8">
        <f t="shared" si="2"/>
        <v>454402.3431</v>
      </c>
      <c r="G37" s="8">
        <f t="shared" si="3"/>
        <v>1856391.716</v>
      </c>
      <c r="H37" s="8">
        <f t="shared" si="4"/>
        <v>43583842.59</v>
      </c>
      <c r="J37" s="5"/>
    </row>
    <row r="38" ht="15.75" customHeight="1">
      <c r="B38" s="2"/>
      <c r="C38" s="30">
        <v>46568.0</v>
      </c>
      <c r="D38" s="8">
        <f t="shared" si="1"/>
        <v>2310794.059</v>
      </c>
      <c r="E38" s="8"/>
      <c r="F38" s="8">
        <f t="shared" si="2"/>
        <v>435838.4259</v>
      </c>
      <c r="G38" s="8">
        <f t="shared" si="3"/>
        <v>1874955.633</v>
      </c>
      <c r="H38" s="8">
        <f t="shared" si="4"/>
        <v>41708886.96</v>
      </c>
      <c r="J38" s="5"/>
    </row>
    <row r="39" ht="15.75" customHeight="1">
      <c r="B39" s="2"/>
      <c r="C39" s="30">
        <v>46598.0</v>
      </c>
      <c r="D39" s="8">
        <f t="shared" si="1"/>
        <v>2310794.059</v>
      </c>
      <c r="E39" s="8"/>
      <c r="F39" s="8">
        <f t="shared" si="2"/>
        <v>417088.8696</v>
      </c>
      <c r="G39" s="8">
        <f t="shared" si="3"/>
        <v>1893705.19</v>
      </c>
      <c r="H39" s="8">
        <f t="shared" si="4"/>
        <v>39815181.77</v>
      </c>
      <c r="J39" s="5"/>
    </row>
    <row r="40" ht="15.75" customHeight="1">
      <c r="B40" s="2"/>
      <c r="C40" s="30">
        <v>46629.0</v>
      </c>
      <c r="D40" s="8">
        <f t="shared" si="1"/>
        <v>2310794.059</v>
      </c>
      <c r="E40" s="8"/>
      <c r="F40" s="8">
        <f t="shared" si="2"/>
        <v>398151.8177</v>
      </c>
      <c r="G40" s="8">
        <f t="shared" si="3"/>
        <v>1912642.241</v>
      </c>
      <c r="H40" s="8">
        <f t="shared" si="4"/>
        <v>37902539.53</v>
      </c>
      <c r="J40" s="5"/>
    </row>
    <row r="41" ht="15.75" customHeight="1">
      <c r="B41" s="2"/>
      <c r="C41" s="30">
        <v>46660.0</v>
      </c>
      <c r="D41" s="8">
        <f t="shared" si="1"/>
        <v>2310794.059</v>
      </c>
      <c r="E41" s="8"/>
      <c r="F41" s="8">
        <f t="shared" si="2"/>
        <v>379025.3953</v>
      </c>
      <c r="G41" s="8">
        <f t="shared" si="3"/>
        <v>1931768.664</v>
      </c>
      <c r="H41" s="8">
        <f t="shared" si="4"/>
        <v>35970770.86</v>
      </c>
      <c r="J41" s="5"/>
    </row>
    <row r="42" ht="15.75" customHeight="1">
      <c r="B42" s="2"/>
      <c r="C42" s="30">
        <v>46690.0</v>
      </c>
      <c r="D42" s="8">
        <f t="shared" si="1"/>
        <v>2310794.059</v>
      </c>
      <c r="E42" s="8"/>
      <c r="F42" s="8">
        <f t="shared" si="2"/>
        <v>359707.7086</v>
      </c>
      <c r="G42" s="8">
        <f t="shared" si="3"/>
        <v>1951086.351</v>
      </c>
      <c r="H42" s="8">
        <f t="shared" si="4"/>
        <v>34019684.51</v>
      </c>
      <c r="J42" s="5"/>
    </row>
    <row r="43" ht="15.75" customHeight="1">
      <c r="B43" s="2"/>
      <c r="C43" s="30">
        <v>46721.0</v>
      </c>
      <c r="D43" s="8">
        <f t="shared" si="1"/>
        <v>2310794.059</v>
      </c>
      <c r="E43" s="8"/>
      <c r="F43" s="8">
        <f t="shared" si="2"/>
        <v>340196.8451</v>
      </c>
      <c r="G43" s="8">
        <f t="shared" si="3"/>
        <v>1970597.214</v>
      </c>
      <c r="H43" s="8">
        <f t="shared" si="4"/>
        <v>32049087.3</v>
      </c>
      <c r="J43" s="5"/>
    </row>
    <row r="44" ht="15.75" customHeight="1">
      <c r="B44" s="2"/>
      <c r="C44" s="30">
        <v>46751.0</v>
      </c>
      <c r="D44" s="8">
        <f t="shared" si="1"/>
        <v>2310794.059</v>
      </c>
      <c r="E44" s="8"/>
      <c r="F44" s="8">
        <f t="shared" si="2"/>
        <v>320490.873</v>
      </c>
      <c r="G44" s="8">
        <f t="shared" si="3"/>
        <v>1990303.186</v>
      </c>
      <c r="H44" s="8">
        <f t="shared" si="4"/>
        <v>30058784.11</v>
      </c>
      <c r="J44" s="5"/>
    </row>
    <row r="45" ht="15.75" customHeight="1">
      <c r="B45" s="2"/>
      <c r="C45" s="30">
        <v>46782.0</v>
      </c>
      <c r="D45" s="8">
        <f t="shared" si="1"/>
        <v>2310794.059</v>
      </c>
      <c r="E45" s="8"/>
      <c r="F45" s="8">
        <f t="shared" si="2"/>
        <v>300587.8411</v>
      </c>
      <c r="G45" s="8">
        <f t="shared" si="3"/>
        <v>2010206.218</v>
      </c>
      <c r="H45" s="8">
        <f t="shared" si="4"/>
        <v>28048577.89</v>
      </c>
      <c r="J45" s="5"/>
    </row>
    <row r="46" ht="15.75" customHeight="1">
      <c r="B46" s="2"/>
      <c r="C46" s="30">
        <v>46812.0</v>
      </c>
      <c r="D46" s="8">
        <f t="shared" si="1"/>
        <v>2310794.059</v>
      </c>
      <c r="E46" s="8"/>
      <c r="F46" s="8">
        <f t="shared" si="2"/>
        <v>280485.7789</v>
      </c>
      <c r="G46" s="8">
        <f t="shared" si="3"/>
        <v>2030308.28</v>
      </c>
      <c r="H46" s="8">
        <f t="shared" si="4"/>
        <v>26018269.61</v>
      </c>
      <c r="J46" s="5"/>
    </row>
    <row r="47" ht="15.75" customHeight="1">
      <c r="B47" s="2"/>
      <c r="C47" s="30">
        <v>46842.0</v>
      </c>
      <c r="D47" s="8">
        <f t="shared" si="1"/>
        <v>2310794.059</v>
      </c>
      <c r="E47" s="8"/>
      <c r="F47" s="8">
        <f t="shared" si="2"/>
        <v>260182.6961</v>
      </c>
      <c r="G47" s="8">
        <f t="shared" si="3"/>
        <v>2050611.363</v>
      </c>
      <c r="H47" s="8">
        <f t="shared" si="4"/>
        <v>23967658.25</v>
      </c>
      <c r="J47" s="5"/>
    </row>
    <row r="48" ht="15.75" customHeight="1">
      <c r="B48" s="2"/>
      <c r="C48" s="30">
        <v>46873.0</v>
      </c>
      <c r="D48" s="8">
        <f t="shared" si="1"/>
        <v>2310794.059</v>
      </c>
      <c r="E48" s="8"/>
      <c r="F48" s="8">
        <f t="shared" si="2"/>
        <v>239676.5825</v>
      </c>
      <c r="G48" s="8">
        <f t="shared" si="3"/>
        <v>2071117.477</v>
      </c>
      <c r="H48" s="8">
        <f t="shared" si="4"/>
        <v>21896540.78</v>
      </c>
      <c r="J48" s="5"/>
    </row>
    <row r="49" ht="15.75" customHeight="1">
      <c r="B49" s="2"/>
      <c r="C49" s="30">
        <v>46874.0</v>
      </c>
      <c r="D49" s="8">
        <f t="shared" si="1"/>
        <v>2310794.059</v>
      </c>
      <c r="E49" s="8"/>
      <c r="F49" s="8">
        <f t="shared" si="2"/>
        <v>218965.4078</v>
      </c>
      <c r="G49" s="8">
        <f t="shared" si="3"/>
        <v>2091828.651</v>
      </c>
      <c r="H49" s="8">
        <f t="shared" si="4"/>
        <v>19804712.12</v>
      </c>
      <c r="J49" s="5"/>
    </row>
    <row r="50" ht="15.75" customHeight="1">
      <c r="B50" s="2"/>
      <c r="C50" s="30">
        <v>46875.0</v>
      </c>
      <c r="D50" s="8">
        <f t="shared" si="1"/>
        <v>2310794.059</v>
      </c>
      <c r="E50" s="8"/>
      <c r="F50" s="8">
        <f t="shared" si="2"/>
        <v>198047.1212</v>
      </c>
      <c r="G50" s="8">
        <f t="shared" si="3"/>
        <v>2112746.938</v>
      </c>
      <c r="H50" s="8">
        <f t="shared" si="4"/>
        <v>17691965.19</v>
      </c>
      <c r="J50" s="5"/>
    </row>
    <row r="51" ht="15.75" customHeight="1">
      <c r="B51" s="2"/>
      <c r="C51" s="30">
        <v>46876.0</v>
      </c>
      <c r="D51" s="8">
        <f t="shared" si="1"/>
        <v>2310794.059</v>
      </c>
      <c r="E51" s="8"/>
      <c r="F51" s="8">
        <f t="shared" si="2"/>
        <v>176919.6519</v>
      </c>
      <c r="G51" s="8">
        <f t="shared" si="3"/>
        <v>2133874.407</v>
      </c>
      <c r="H51" s="8">
        <f t="shared" si="4"/>
        <v>15558090.78</v>
      </c>
      <c r="J51" s="5"/>
    </row>
    <row r="52" ht="15.75" customHeight="1">
      <c r="B52" s="2"/>
      <c r="C52" s="30">
        <v>46877.0</v>
      </c>
      <c r="D52" s="8">
        <f t="shared" si="1"/>
        <v>2310794.059</v>
      </c>
      <c r="E52" s="8"/>
      <c r="F52" s="8">
        <f t="shared" si="2"/>
        <v>155580.9078</v>
      </c>
      <c r="G52" s="8">
        <f t="shared" si="3"/>
        <v>2155213.151</v>
      </c>
      <c r="H52" s="8">
        <f t="shared" si="4"/>
        <v>13402877.63</v>
      </c>
      <c r="J52" s="5"/>
    </row>
    <row r="53" ht="15.75" customHeight="1">
      <c r="B53" s="2"/>
      <c r="C53" s="30">
        <v>46878.0</v>
      </c>
      <c r="D53" s="8">
        <f t="shared" si="1"/>
        <v>2310794.059</v>
      </c>
      <c r="E53" s="8"/>
      <c r="F53" s="8">
        <f t="shared" si="2"/>
        <v>134028.7763</v>
      </c>
      <c r="G53" s="8">
        <f t="shared" si="3"/>
        <v>2176765.283</v>
      </c>
      <c r="H53" s="8">
        <f t="shared" si="4"/>
        <v>11226112.34</v>
      </c>
      <c r="J53" s="5"/>
    </row>
    <row r="54" ht="15.75" customHeight="1">
      <c r="B54" s="2"/>
      <c r="C54" s="30">
        <v>46879.0</v>
      </c>
      <c r="D54" s="8">
        <f t="shared" si="1"/>
        <v>2310794.059</v>
      </c>
      <c r="E54" s="8"/>
      <c r="F54" s="8">
        <f t="shared" si="2"/>
        <v>112261.1234</v>
      </c>
      <c r="G54" s="8">
        <f t="shared" si="3"/>
        <v>2198532.936</v>
      </c>
      <c r="H54" s="8">
        <f t="shared" si="4"/>
        <v>9027579.408</v>
      </c>
      <c r="J54" s="5"/>
    </row>
    <row r="55" ht="15.75" customHeight="1">
      <c r="B55" s="2"/>
      <c r="C55" s="30">
        <v>46880.0</v>
      </c>
      <c r="D55" s="8">
        <f t="shared" si="1"/>
        <v>2310794.059</v>
      </c>
      <c r="E55" s="8"/>
      <c r="F55" s="8">
        <f t="shared" si="2"/>
        <v>90275.79408</v>
      </c>
      <c r="G55" s="8">
        <f t="shared" si="3"/>
        <v>2220518.265</v>
      </c>
      <c r="H55" s="8">
        <f t="shared" si="4"/>
        <v>6807061.143</v>
      </c>
      <c r="J55" s="5"/>
    </row>
    <row r="56" ht="15.75" customHeight="1">
      <c r="B56" s="2"/>
      <c r="C56" s="30">
        <v>46881.0</v>
      </c>
      <c r="D56" s="8">
        <f t="shared" si="1"/>
        <v>2310794.059</v>
      </c>
      <c r="E56" s="8"/>
      <c r="F56" s="8">
        <f t="shared" si="2"/>
        <v>68070.61143</v>
      </c>
      <c r="G56" s="8">
        <f t="shared" si="3"/>
        <v>2242723.448</v>
      </c>
      <c r="H56" s="8">
        <f t="shared" si="4"/>
        <v>4564337.696</v>
      </c>
      <c r="J56" s="5"/>
    </row>
    <row r="57" ht="15.75" customHeight="1">
      <c r="B57" s="2"/>
      <c r="C57" s="30">
        <v>46882.0</v>
      </c>
      <c r="D57" s="8">
        <f t="shared" si="1"/>
        <v>2310794.059</v>
      </c>
      <c r="E57" s="8"/>
      <c r="F57" s="8">
        <f t="shared" si="2"/>
        <v>45643.37696</v>
      </c>
      <c r="G57" s="8">
        <f t="shared" si="3"/>
        <v>2265150.682</v>
      </c>
      <c r="H57" s="8">
        <f t="shared" si="4"/>
        <v>2299187.013</v>
      </c>
      <c r="J57" s="5"/>
    </row>
    <row r="58" ht="15.75" customHeight="1">
      <c r="B58" s="2"/>
      <c r="C58" s="30">
        <v>46883.0</v>
      </c>
      <c r="D58" s="8">
        <f t="shared" si="1"/>
        <v>2310794.059</v>
      </c>
      <c r="E58" s="8"/>
      <c r="F58" s="8">
        <f t="shared" si="2"/>
        <v>22991.87013</v>
      </c>
      <c r="G58" s="8">
        <f t="shared" si="3"/>
        <v>2287802.189</v>
      </c>
      <c r="H58" s="8">
        <f t="shared" si="4"/>
        <v>11384.82445</v>
      </c>
      <c r="J58" s="5"/>
    </row>
    <row r="59" ht="15.75" customHeight="1">
      <c r="B59" s="2"/>
      <c r="E59" s="9"/>
      <c r="J59" s="5"/>
    </row>
    <row r="60" ht="15.75" customHeight="1">
      <c r="B60" s="2"/>
      <c r="E60" s="9"/>
      <c r="J60" s="5"/>
    </row>
    <row r="61" ht="15.75" customHeight="1">
      <c r="B61" s="2"/>
      <c r="E61" s="9"/>
      <c r="J61" s="5"/>
    </row>
    <row r="62" ht="15.75" customHeight="1">
      <c r="B62" s="2"/>
      <c r="E62" s="9"/>
      <c r="J62" s="5"/>
    </row>
    <row r="63" ht="15.75" customHeight="1">
      <c r="B63" s="2"/>
      <c r="E63" s="9"/>
      <c r="J63" s="5"/>
    </row>
    <row r="64" ht="15.75" customHeight="1">
      <c r="B64" s="2"/>
      <c r="E64" s="9"/>
      <c r="J64" s="5"/>
    </row>
    <row r="65" ht="15.75" customHeight="1">
      <c r="B65" s="2"/>
      <c r="E65" s="9"/>
      <c r="J65" s="5"/>
    </row>
    <row r="66" ht="15.75" customHeight="1">
      <c r="B66" s="2"/>
      <c r="E66" s="9"/>
      <c r="J66" s="5"/>
    </row>
    <row r="67" ht="15.75" customHeight="1">
      <c r="B67" s="2"/>
      <c r="E67" s="9"/>
      <c r="J67" s="5"/>
    </row>
    <row r="68" ht="15.75" customHeight="1">
      <c r="B68" s="2"/>
      <c r="E68" s="9"/>
      <c r="J68" s="5"/>
    </row>
    <row r="69" ht="15.75" customHeight="1">
      <c r="B69" s="2"/>
      <c r="E69" s="9"/>
      <c r="J69" s="5"/>
    </row>
    <row r="70" ht="15.75" customHeight="1">
      <c r="B70" s="2"/>
      <c r="E70" s="9"/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511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48.0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2310794.059</v>
      </c>
      <c r="E6" s="12"/>
      <c r="H6" s="5"/>
      <c r="J6" s="5"/>
    </row>
    <row r="7" ht="15.75" customHeight="1">
      <c r="B7" s="2"/>
      <c r="C7" s="1" t="s">
        <v>12</v>
      </c>
      <c r="D7" s="20" t="s">
        <v>490</v>
      </c>
      <c r="H7" s="5"/>
      <c r="J7" s="5"/>
    </row>
    <row r="8" ht="15.75" customHeight="1">
      <c r="B8" s="2"/>
      <c r="C8" s="1" t="s">
        <v>16</v>
      </c>
      <c r="D8" s="16">
        <v>1.0599837E9</v>
      </c>
      <c r="H8" s="5"/>
      <c r="I8" s="17"/>
      <c r="J8" s="19"/>
      <c r="K8" s="17"/>
      <c r="L8" s="21" t="s">
        <v>516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1.2066811483928E8</v>
      </c>
      <c r="U10" s="25"/>
    </row>
    <row r="11" ht="15.75" customHeight="1">
      <c r="A11" s="29">
        <v>45749.0</v>
      </c>
      <c r="B11" s="2" t="s">
        <v>517</v>
      </c>
      <c r="C11" s="30" t="s">
        <v>518</v>
      </c>
      <c r="D11" s="8">
        <f t="shared" ref="D11:D58" si="1">$D$6</f>
        <v>2310794.059</v>
      </c>
      <c r="E11" s="15"/>
      <c r="F11" s="8">
        <f t="shared" ref="F11:F58" si="2">+H10*$D$4</f>
        <v>877500</v>
      </c>
      <c r="G11" s="8">
        <f t="shared" ref="G11:G58" si="3">+D11+E11-F11</f>
        <v>1433294.059</v>
      </c>
      <c r="H11" s="8">
        <f t="shared" ref="H11:H58" si="4">+H10-G11</f>
        <v>86316705.94</v>
      </c>
      <c r="J11" s="5"/>
      <c r="L11" s="33">
        <v>45658.0</v>
      </c>
      <c r="M11" s="34" t="s">
        <v>44</v>
      </c>
      <c r="N11" s="35" t="s">
        <v>519</v>
      </c>
      <c r="O11" s="36"/>
      <c r="P11" s="36">
        <v>4500000.0</v>
      </c>
      <c r="Q11" s="36"/>
      <c r="R11" s="36"/>
      <c r="S11" s="36">
        <f t="shared" ref="S11:S28" si="5">SUM(O11:R11)</f>
        <v>4500000</v>
      </c>
      <c r="T11" s="36">
        <f t="shared" ref="T11:T28" si="6">T10-S11</f>
        <v>116168114.8</v>
      </c>
      <c r="U11" s="34"/>
    </row>
    <row r="12" ht="15.75" customHeight="1">
      <c r="A12" s="29">
        <v>45799.0</v>
      </c>
      <c r="B12" s="2" t="s">
        <v>520</v>
      </c>
      <c r="C12" s="30">
        <v>45746.0</v>
      </c>
      <c r="D12" s="8">
        <f t="shared" si="1"/>
        <v>2310794.059</v>
      </c>
      <c r="E12" s="15"/>
      <c r="F12" s="8">
        <f t="shared" si="2"/>
        <v>863167.0594</v>
      </c>
      <c r="G12" s="8">
        <f t="shared" si="3"/>
        <v>1447627</v>
      </c>
      <c r="H12" s="8">
        <f t="shared" si="4"/>
        <v>84869078.94</v>
      </c>
      <c r="J12" s="5"/>
      <c r="L12" s="33">
        <v>45726.0</v>
      </c>
      <c r="M12" s="34" t="s">
        <v>44</v>
      </c>
      <c r="N12" s="35" t="s">
        <v>521</v>
      </c>
      <c r="O12" s="36"/>
      <c r="P12" s="36">
        <v>5250000.0</v>
      </c>
      <c r="Q12" s="36"/>
      <c r="R12" s="36"/>
      <c r="S12" s="36">
        <f t="shared" si="5"/>
        <v>5250000</v>
      </c>
      <c r="T12" s="36">
        <f t="shared" si="6"/>
        <v>110918114.8</v>
      </c>
      <c r="U12" s="34"/>
    </row>
    <row r="13" ht="15.75" customHeight="1">
      <c r="A13" s="29">
        <v>45866.0</v>
      </c>
      <c r="B13" s="2" t="s">
        <v>522</v>
      </c>
      <c r="C13" s="30">
        <v>45777.0</v>
      </c>
      <c r="D13" s="8">
        <f t="shared" si="1"/>
        <v>2310794.059</v>
      </c>
      <c r="E13" s="15"/>
      <c r="F13" s="8">
        <f t="shared" si="2"/>
        <v>848690.7894</v>
      </c>
      <c r="G13" s="8">
        <f t="shared" si="3"/>
        <v>1462103.27</v>
      </c>
      <c r="H13" s="8">
        <f t="shared" si="4"/>
        <v>83406975.67</v>
      </c>
      <c r="J13" s="5" t="s">
        <v>56</v>
      </c>
      <c r="L13" s="33">
        <v>45749.0</v>
      </c>
      <c r="M13" s="34" t="s">
        <v>73</v>
      </c>
      <c r="N13" s="35" t="s">
        <v>517</v>
      </c>
      <c r="O13" s="36"/>
      <c r="P13" s="36">
        <v>2310794.0</v>
      </c>
      <c r="Q13" s="36"/>
      <c r="R13" s="36"/>
      <c r="S13" s="36">
        <f t="shared" si="5"/>
        <v>2310794</v>
      </c>
      <c r="T13" s="36">
        <f t="shared" si="6"/>
        <v>108607320.8</v>
      </c>
      <c r="U13" s="34"/>
    </row>
    <row r="14" ht="15.75" customHeight="1">
      <c r="A14" s="29">
        <v>45911.0</v>
      </c>
      <c r="B14" s="2" t="s">
        <v>523</v>
      </c>
      <c r="C14" s="30">
        <v>45807.0</v>
      </c>
      <c r="D14" s="8">
        <f t="shared" si="1"/>
        <v>2310794.059</v>
      </c>
      <c r="E14" s="15"/>
      <c r="F14" s="8">
        <f t="shared" si="2"/>
        <v>834069.7567</v>
      </c>
      <c r="G14" s="8">
        <f t="shared" si="3"/>
        <v>1476724.302</v>
      </c>
      <c r="H14" s="8">
        <f t="shared" si="4"/>
        <v>81930251.37</v>
      </c>
      <c r="J14" s="8">
        <f>+H10</f>
        <v>87750000</v>
      </c>
      <c r="L14" s="33">
        <v>45799.0</v>
      </c>
      <c r="M14" s="34" t="s">
        <v>78</v>
      </c>
      <c r="N14" s="35" t="s">
        <v>520</v>
      </c>
      <c r="O14" s="36"/>
      <c r="P14" s="36">
        <v>2319794.0</v>
      </c>
      <c r="Q14" s="36"/>
      <c r="R14" s="36"/>
      <c r="S14" s="36">
        <f t="shared" si="5"/>
        <v>2319794</v>
      </c>
      <c r="T14" s="36">
        <f t="shared" si="6"/>
        <v>106287526.8</v>
      </c>
      <c r="U14" s="34"/>
    </row>
    <row r="15" ht="15.75" customHeight="1">
      <c r="A15" s="29">
        <v>45911.0</v>
      </c>
      <c r="B15" s="2" t="s">
        <v>523</v>
      </c>
      <c r="C15" s="30">
        <v>45838.0</v>
      </c>
      <c r="D15" s="8">
        <f t="shared" si="1"/>
        <v>2310794.059</v>
      </c>
      <c r="E15" s="15"/>
      <c r="F15" s="8">
        <f t="shared" si="2"/>
        <v>819302.5137</v>
      </c>
      <c r="G15" s="8">
        <f t="shared" si="3"/>
        <v>1491491.545</v>
      </c>
      <c r="H15" s="8">
        <f t="shared" si="4"/>
        <v>80438759.82</v>
      </c>
      <c r="J15" s="5"/>
      <c r="L15" s="33">
        <v>45866.0</v>
      </c>
      <c r="M15" s="34" t="s">
        <v>83</v>
      </c>
      <c r="N15" s="35" t="s">
        <v>522</v>
      </c>
      <c r="O15" s="36"/>
      <c r="P15" s="36">
        <v>2310794.0</v>
      </c>
      <c r="Q15" s="36"/>
      <c r="R15" s="36"/>
      <c r="S15" s="36">
        <f t="shared" si="5"/>
        <v>2310794</v>
      </c>
      <c r="T15" s="36">
        <f t="shared" si="6"/>
        <v>103976732.8</v>
      </c>
      <c r="U15" s="34"/>
    </row>
    <row r="16" ht="15.75" customHeight="1">
      <c r="A16" s="29">
        <v>45930.0</v>
      </c>
      <c r="B16" s="2" t="s">
        <v>524</v>
      </c>
      <c r="C16" s="30">
        <v>45868.0</v>
      </c>
      <c r="D16" s="8">
        <f t="shared" si="1"/>
        <v>2310794.059</v>
      </c>
      <c r="E16" s="15">
        <f>2310100-D16</f>
        <v>-694.0591517</v>
      </c>
      <c r="F16" s="8">
        <f t="shared" si="2"/>
        <v>804387.5982</v>
      </c>
      <c r="G16" s="8">
        <f t="shared" si="3"/>
        <v>1505712.402</v>
      </c>
      <c r="H16" s="8">
        <f t="shared" si="4"/>
        <v>78933047.42</v>
      </c>
      <c r="J16" s="5"/>
      <c r="L16" s="33">
        <v>45911.0</v>
      </c>
      <c r="M16" s="34" t="s">
        <v>525</v>
      </c>
      <c r="N16" s="35" t="s">
        <v>523</v>
      </c>
      <c r="O16" s="36"/>
      <c r="P16" s="36">
        <v>4621588.0</v>
      </c>
      <c r="Q16" s="36"/>
      <c r="R16" s="36"/>
      <c r="S16" s="36">
        <f t="shared" si="5"/>
        <v>4621588</v>
      </c>
      <c r="T16" s="36">
        <f t="shared" si="6"/>
        <v>99355144.84</v>
      </c>
      <c r="U16" s="34"/>
    </row>
    <row r="17" ht="15.75" customHeight="1">
      <c r="A17" s="29">
        <v>45965.0</v>
      </c>
      <c r="B17" s="2" t="s">
        <v>528</v>
      </c>
      <c r="C17" s="30">
        <v>45899.0</v>
      </c>
      <c r="D17" s="8">
        <f t="shared" si="1"/>
        <v>2310794.059</v>
      </c>
      <c r="E17" s="15">
        <f t="shared" ref="E17:E19" si="7">2310000-D17</f>
        <v>-794.0591517</v>
      </c>
      <c r="F17" s="8">
        <f t="shared" si="2"/>
        <v>789330.4742</v>
      </c>
      <c r="G17" s="8">
        <f t="shared" si="3"/>
        <v>1520669.526</v>
      </c>
      <c r="H17" s="8">
        <f t="shared" si="4"/>
        <v>77412377.9</v>
      </c>
      <c r="J17" s="5"/>
      <c r="L17" s="33">
        <v>45930.0</v>
      </c>
      <c r="M17" s="34" t="s">
        <v>93</v>
      </c>
      <c r="N17" s="35" t="s">
        <v>524</v>
      </c>
      <c r="O17" s="36"/>
      <c r="P17" s="36">
        <v>2310100.0</v>
      </c>
      <c r="Q17" s="36"/>
      <c r="R17" s="36"/>
      <c r="S17" s="36">
        <f t="shared" si="5"/>
        <v>2310100</v>
      </c>
      <c r="T17" s="36">
        <f t="shared" si="6"/>
        <v>97045044.84</v>
      </c>
      <c r="U17" s="34"/>
    </row>
    <row r="18" ht="15.75" customHeight="1">
      <c r="A18" s="29">
        <v>45993.0</v>
      </c>
      <c r="B18" s="2" t="s">
        <v>530</v>
      </c>
      <c r="C18" s="30">
        <v>45930.0</v>
      </c>
      <c r="D18" s="8">
        <f t="shared" si="1"/>
        <v>2310794.059</v>
      </c>
      <c r="E18" s="15">
        <f t="shared" si="7"/>
        <v>-794.0591517</v>
      </c>
      <c r="F18" s="8">
        <f t="shared" si="2"/>
        <v>774123.779</v>
      </c>
      <c r="G18" s="8">
        <f t="shared" si="3"/>
        <v>1535876.221</v>
      </c>
      <c r="H18" s="8">
        <f t="shared" si="4"/>
        <v>75876501.67</v>
      </c>
      <c r="J18" s="5"/>
      <c r="L18" s="33">
        <v>45965.0</v>
      </c>
      <c r="M18" s="34" t="s">
        <v>96</v>
      </c>
      <c r="N18" s="35" t="s">
        <v>528</v>
      </c>
      <c r="O18" s="36"/>
      <c r="P18" s="36">
        <v>2310000.0</v>
      </c>
      <c r="Q18" s="36"/>
      <c r="R18" s="36"/>
      <c r="S18" s="36">
        <f t="shared" si="5"/>
        <v>2310000</v>
      </c>
      <c r="T18" s="36">
        <f t="shared" si="6"/>
        <v>94735044.84</v>
      </c>
      <c r="U18" s="34"/>
    </row>
    <row r="19" ht="15.75" customHeight="1">
      <c r="A19" s="73">
        <v>46027.0</v>
      </c>
      <c r="B19" s="2" t="s">
        <v>532</v>
      </c>
      <c r="C19" s="30">
        <v>45960.0</v>
      </c>
      <c r="D19" s="8">
        <f t="shared" si="1"/>
        <v>2310794.059</v>
      </c>
      <c r="E19" s="15">
        <f t="shared" si="7"/>
        <v>-794.0591517</v>
      </c>
      <c r="F19" s="8">
        <f t="shared" si="2"/>
        <v>758765.0167</v>
      </c>
      <c r="G19" s="8">
        <f t="shared" si="3"/>
        <v>1551234.983</v>
      </c>
      <c r="H19" s="8">
        <f t="shared" si="4"/>
        <v>74325266.69</v>
      </c>
      <c r="I19" s="1"/>
      <c r="J19" s="41"/>
      <c r="K19" s="1"/>
      <c r="L19" s="42">
        <v>45993.0</v>
      </c>
      <c r="M19" s="43" t="s">
        <v>100</v>
      </c>
      <c r="N19" s="44" t="s">
        <v>530</v>
      </c>
      <c r="O19" s="45"/>
      <c r="P19" s="45">
        <v>2310000.0</v>
      </c>
      <c r="Q19" s="45"/>
      <c r="R19" s="45"/>
      <c r="S19" s="45">
        <f t="shared" si="5"/>
        <v>2310000</v>
      </c>
      <c r="T19" s="45">
        <f t="shared" si="6"/>
        <v>92425044.84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46055.0</v>
      </c>
      <c r="B20" s="2" t="s">
        <v>533</v>
      </c>
      <c r="C20" s="30">
        <v>45991.0</v>
      </c>
      <c r="D20" s="8">
        <f t="shared" si="1"/>
        <v>2310794.059</v>
      </c>
      <c r="E20" s="15"/>
      <c r="F20" s="8">
        <f t="shared" si="2"/>
        <v>743252.6669</v>
      </c>
      <c r="G20" s="8">
        <f t="shared" si="3"/>
        <v>1567541.392</v>
      </c>
      <c r="H20" s="8">
        <f t="shared" si="4"/>
        <v>72757725.3</v>
      </c>
      <c r="J20" s="5"/>
      <c r="L20" s="33">
        <v>46027.0</v>
      </c>
      <c r="M20" s="34" t="s">
        <v>103</v>
      </c>
      <c r="N20" s="35" t="s">
        <v>532</v>
      </c>
      <c r="O20" s="36"/>
      <c r="P20" s="36">
        <v>2310000.0</v>
      </c>
      <c r="Q20" s="36"/>
      <c r="R20" s="36"/>
      <c r="S20" s="36">
        <f t="shared" si="5"/>
        <v>2310000</v>
      </c>
      <c r="T20" s="36">
        <f t="shared" si="6"/>
        <v>90115044.84</v>
      </c>
      <c r="U20" s="34"/>
    </row>
    <row r="21" ht="15.75" customHeight="1">
      <c r="A21" s="29">
        <v>46055.0</v>
      </c>
      <c r="B21" s="2" t="s">
        <v>533</v>
      </c>
      <c r="C21" s="30">
        <v>46021.0</v>
      </c>
      <c r="D21" s="8">
        <f t="shared" si="1"/>
        <v>2310794.059</v>
      </c>
      <c r="E21" s="15">
        <f>4620000-D20-D21</f>
        <v>-1588.118303</v>
      </c>
      <c r="F21" s="8">
        <f t="shared" si="2"/>
        <v>727577.253</v>
      </c>
      <c r="G21" s="8">
        <f t="shared" si="3"/>
        <v>1581628.688</v>
      </c>
      <c r="H21" s="8">
        <f t="shared" si="4"/>
        <v>71176096.61</v>
      </c>
      <c r="J21" s="5"/>
      <c r="L21" s="33">
        <v>46055.0</v>
      </c>
      <c r="M21" s="34" t="s">
        <v>534</v>
      </c>
      <c r="N21" s="35" t="s">
        <v>533</v>
      </c>
      <c r="O21" s="36"/>
      <c r="P21" s="36">
        <v>4620000.0</v>
      </c>
      <c r="Q21" s="36"/>
      <c r="R21" s="36"/>
      <c r="S21" s="36">
        <f t="shared" si="5"/>
        <v>4620000</v>
      </c>
      <c r="T21" s="36">
        <f t="shared" si="6"/>
        <v>85495044.84</v>
      </c>
      <c r="U21" s="34"/>
    </row>
    <row r="22" ht="15.75" customHeight="1">
      <c r="A22" s="29">
        <v>46083.0</v>
      </c>
      <c r="B22" s="2" t="s">
        <v>504</v>
      </c>
      <c r="C22" s="30">
        <v>46052.0</v>
      </c>
      <c r="D22" s="8">
        <f t="shared" si="1"/>
        <v>2310794.059</v>
      </c>
      <c r="E22" s="74"/>
      <c r="F22" s="8">
        <f t="shared" si="2"/>
        <v>711760.9661</v>
      </c>
      <c r="G22" s="8">
        <f t="shared" si="3"/>
        <v>1599033.093</v>
      </c>
      <c r="H22" s="8">
        <f t="shared" si="4"/>
        <v>69577063.52</v>
      </c>
      <c r="J22" s="5"/>
      <c r="L22" s="33">
        <v>46083.0</v>
      </c>
      <c r="M22" s="34" t="s">
        <v>535</v>
      </c>
      <c r="N22" s="35" t="s">
        <v>504</v>
      </c>
      <c r="O22" s="36"/>
      <c r="P22" s="36">
        <v>4620000.0</v>
      </c>
      <c r="Q22" s="36"/>
      <c r="R22" s="36"/>
      <c r="S22" s="36">
        <f t="shared" si="5"/>
        <v>4620000</v>
      </c>
      <c r="T22" s="36">
        <f t="shared" si="6"/>
        <v>80875044.84</v>
      </c>
      <c r="U22" s="34"/>
    </row>
    <row r="23" ht="15.75" customHeight="1">
      <c r="A23" s="29">
        <v>46083.0</v>
      </c>
      <c r="B23" s="2" t="s">
        <v>504</v>
      </c>
      <c r="C23" s="30">
        <v>46081.0</v>
      </c>
      <c r="D23" s="8">
        <f t="shared" si="1"/>
        <v>2310794.059</v>
      </c>
      <c r="E23" s="8">
        <f>4620000-D22-D23</f>
        <v>-1588.118303</v>
      </c>
      <c r="F23" s="8">
        <f t="shared" si="2"/>
        <v>695770.6352</v>
      </c>
      <c r="G23" s="8">
        <f t="shared" si="3"/>
        <v>1613435.306</v>
      </c>
      <c r="H23" s="8">
        <f t="shared" si="4"/>
        <v>67963628.21</v>
      </c>
      <c r="J23" s="5"/>
      <c r="L23" s="33">
        <v>46092.0</v>
      </c>
      <c r="M23" s="34" t="s">
        <v>536</v>
      </c>
      <c r="N23" s="35" t="s">
        <v>537</v>
      </c>
      <c r="O23" s="36"/>
      <c r="P23" s="36">
        <v>4620000.0</v>
      </c>
      <c r="Q23" s="36"/>
      <c r="R23" s="36"/>
      <c r="S23" s="36">
        <f t="shared" si="5"/>
        <v>4620000</v>
      </c>
      <c r="T23" s="36">
        <f t="shared" si="6"/>
        <v>76255044.84</v>
      </c>
      <c r="U23" s="34"/>
    </row>
    <row r="24" ht="15.75" customHeight="1">
      <c r="A24" s="29">
        <v>46092.0</v>
      </c>
      <c r="B24" s="2" t="s">
        <v>537</v>
      </c>
      <c r="C24" s="30">
        <v>46111.0</v>
      </c>
      <c r="D24" s="8">
        <f t="shared" si="1"/>
        <v>2310794.059</v>
      </c>
      <c r="E24" s="8"/>
      <c r="F24" s="8">
        <f t="shared" si="2"/>
        <v>679636.2821</v>
      </c>
      <c r="G24" s="8">
        <f t="shared" si="3"/>
        <v>1631157.777</v>
      </c>
      <c r="H24" s="8">
        <f t="shared" si="4"/>
        <v>66332470.44</v>
      </c>
      <c r="J24" s="5"/>
      <c r="L24" s="33">
        <v>46120.0</v>
      </c>
      <c r="M24" s="34" t="s">
        <v>122</v>
      </c>
      <c r="N24" s="35" t="s">
        <v>505</v>
      </c>
      <c r="O24" s="36"/>
      <c r="P24" s="36">
        <v>2310000.0</v>
      </c>
      <c r="Q24" s="36"/>
      <c r="R24" s="36"/>
      <c r="S24" s="36">
        <f t="shared" si="5"/>
        <v>2310000</v>
      </c>
      <c r="T24" s="36">
        <f t="shared" si="6"/>
        <v>73945044.84</v>
      </c>
      <c r="U24" s="34"/>
    </row>
    <row r="25" ht="15.75" customHeight="1">
      <c r="A25" s="29">
        <v>46092.0</v>
      </c>
      <c r="B25" s="2" t="s">
        <v>537</v>
      </c>
      <c r="C25" s="30">
        <v>46142.0</v>
      </c>
      <c r="D25" s="8">
        <f t="shared" si="1"/>
        <v>2310794.059</v>
      </c>
      <c r="E25" s="8">
        <f>4620000-D24-D25</f>
        <v>-1588.118303</v>
      </c>
      <c r="F25" s="8">
        <f t="shared" si="2"/>
        <v>663324.7044</v>
      </c>
      <c r="G25" s="8">
        <f t="shared" si="3"/>
        <v>1645881.236</v>
      </c>
      <c r="H25" s="8">
        <f t="shared" si="4"/>
        <v>64686589.2</v>
      </c>
      <c r="J25" s="5"/>
      <c r="L25" s="33">
        <v>46141.0</v>
      </c>
      <c r="M25" s="34" t="s">
        <v>124</v>
      </c>
      <c r="N25" s="35" t="s">
        <v>506</v>
      </c>
      <c r="O25" s="36"/>
      <c r="P25" s="36">
        <v>2310000.0</v>
      </c>
      <c r="Q25" s="36"/>
      <c r="R25" s="36"/>
      <c r="S25" s="36">
        <f t="shared" si="5"/>
        <v>2310000</v>
      </c>
      <c r="T25" s="36">
        <f t="shared" si="6"/>
        <v>71635044.84</v>
      </c>
      <c r="U25" s="34"/>
    </row>
    <row r="26" ht="15.75" customHeight="1">
      <c r="A26" s="29">
        <v>46120.0</v>
      </c>
      <c r="B26" s="2" t="s">
        <v>505</v>
      </c>
      <c r="C26" s="30">
        <v>46172.0</v>
      </c>
      <c r="D26" s="8">
        <f t="shared" si="1"/>
        <v>2310794.059</v>
      </c>
      <c r="E26" s="8">
        <f t="shared" ref="E26:E30" si="8">2310000-D26</f>
        <v>-794.0591517</v>
      </c>
      <c r="F26" s="8">
        <f t="shared" si="2"/>
        <v>646865.892</v>
      </c>
      <c r="G26" s="8">
        <f t="shared" si="3"/>
        <v>1663134.108</v>
      </c>
      <c r="H26" s="8">
        <f t="shared" si="4"/>
        <v>63023455.09</v>
      </c>
      <c r="J26" s="5"/>
      <c r="L26" s="33">
        <v>46146.0</v>
      </c>
      <c r="M26" s="34" t="s">
        <v>422</v>
      </c>
      <c r="N26" s="35" t="s">
        <v>507</v>
      </c>
      <c r="O26" s="36"/>
      <c r="P26" s="36">
        <v>2310000.0</v>
      </c>
      <c r="Q26" s="36"/>
      <c r="R26" s="36"/>
      <c r="S26" s="36">
        <f t="shared" si="5"/>
        <v>2310000</v>
      </c>
      <c r="T26" s="36">
        <f t="shared" si="6"/>
        <v>69325044.84</v>
      </c>
      <c r="U26" s="34"/>
    </row>
    <row r="27" ht="15.75" customHeight="1">
      <c r="A27" s="29">
        <v>46141.0</v>
      </c>
      <c r="B27" s="2" t="s">
        <v>506</v>
      </c>
      <c r="C27" s="30">
        <v>46203.0</v>
      </c>
      <c r="D27" s="8">
        <f t="shared" si="1"/>
        <v>2310794.059</v>
      </c>
      <c r="E27" s="8">
        <f t="shared" si="8"/>
        <v>-794.0591517</v>
      </c>
      <c r="F27" s="8">
        <f t="shared" si="2"/>
        <v>630234.5509</v>
      </c>
      <c r="G27" s="8">
        <f t="shared" si="3"/>
        <v>1679765.449</v>
      </c>
      <c r="H27" s="8">
        <f t="shared" si="4"/>
        <v>61343689.64</v>
      </c>
      <c r="J27" s="5"/>
      <c r="L27" s="33">
        <v>46209.0</v>
      </c>
      <c r="M27" s="34" t="s">
        <v>538</v>
      </c>
      <c r="N27" s="35" t="s">
        <v>539</v>
      </c>
      <c r="O27" s="36"/>
      <c r="P27" s="36">
        <v>2310000.0</v>
      </c>
      <c r="Q27" s="36"/>
      <c r="R27" s="36"/>
      <c r="S27" s="36">
        <f t="shared" si="5"/>
        <v>2310000</v>
      </c>
      <c r="T27" s="36">
        <f t="shared" si="6"/>
        <v>67015044.84</v>
      </c>
      <c r="U27" s="34"/>
    </row>
    <row r="28" ht="15.75" customHeight="1">
      <c r="A28" s="29">
        <v>46146.0</v>
      </c>
      <c r="B28" s="2" t="s">
        <v>507</v>
      </c>
      <c r="C28" s="30">
        <v>46233.0</v>
      </c>
      <c r="D28" s="8">
        <f t="shared" si="1"/>
        <v>2310794.059</v>
      </c>
      <c r="E28" s="8">
        <f t="shared" si="8"/>
        <v>-794.0591517</v>
      </c>
      <c r="F28" s="8">
        <f t="shared" si="2"/>
        <v>613436.8964</v>
      </c>
      <c r="G28" s="8">
        <f t="shared" si="3"/>
        <v>1696563.104</v>
      </c>
      <c r="H28" s="8">
        <f t="shared" si="4"/>
        <v>59647126.54</v>
      </c>
      <c r="J28" s="5"/>
      <c r="L28" s="40">
        <v>46238.0</v>
      </c>
      <c r="M28" s="34" t="s">
        <v>540</v>
      </c>
      <c r="N28" s="35" t="s">
        <v>541</v>
      </c>
      <c r="O28" s="36"/>
      <c r="P28" s="36"/>
      <c r="Q28" s="36"/>
      <c r="R28" s="36">
        <v>2310000.0</v>
      </c>
      <c r="S28" s="36">
        <f t="shared" si="5"/>
        <v>2310000</v>
      </c>
      <c r="T28" s="36">
        <f t="shared" si="6"/>
        <v>64705044.84</v>
      </c>
      <c r="U28" s="34" t="s">
        <v>125</v>
      </c>
    </row>
    <row r="29" ht="15.75" customHeight="1">
      <c r="A29" s="29">
        <v>46209.0</v>
      </c>
      <c r="B29" s="2" t="s">
        <v>539</v>
      </c>
      <c r="C29" s="30">
        <v>46264.0</v>
      </c>
      <c r="D29" s="8">
        <f t="shared" si="1"/>
        <v>2310794.059</v>
      </c>
      <c r="E29" s="8">
        <f t="shared" si="8"/>
        <v>-794.0591517</v>
      </c>
      <c r="F29" s="8">
        <f t="shared" si="2"/>
        <v>596471.2654</v>
      </c>
      <c r="G29" s="8">
        <f t="shared" si="3"/>
        <v>1713528.735</v>
      </c>
      <c r="H29" s="8">
        <f t="shared" si="4"/>
        <v>57933597.8</v>
      </c>
      <c r="J29" s="5"/>
      <c r="L29" s="25"/>
      <c r="M29" s="38" t="s">
        <v>69</v>
      </c>
      <c r="N29" s="39"/>
      <c r="O29" s="27">
        <f t="shared" ref="O29:S29" si="9">SUM(O11:O28)</f>
        <v>0</v>
      </c>
      <c r="P29" s="27">
        <f t="shared" si="9"/>
        <v>53653070</v>
      </c>
      <c r="Q29" s="27">
        <f t="shared" si="9"/>
        <v>0</v>
      </c>
      <c r="R29" s="27">
        <f t="shared" si="9"/>
        <v>2310000</v>
      </c>
      <c r="S29" s="27">
        <f t="shared" si="9"/>
        <v>55963070</v>
      </c>
      <c r="T29" s="27">
        <f>T28</f>
        <v>64705044.84</v>
      </c>
      <c r="U29" s="25"/>
    </row>
    <row r="30" ht="15.75" customHeight="1">
      <c r="A30" s="29">
        <v>46238.0</v>
      </c>
      <c r="B30" s="2" t="s">
        <v>541</v>
      </c>
      <c r="C30" s="30">
        <v>46295.0</v>
      </c>
      <c r="D30" s="8">
        <f t="shared" si="1"/>
        <v>2310794.059</v>
      </c>
      <c r="E30" s="8">
        <f t="shared" si="8"/>
        <v>-794.0591517</v>
      </c>
      <c r="F30" s="8">
        <f t="shared" si="2"/>
        <v>579335.978</v>
      </c>
      <c r="G30" s="8">
        <f t="shared" si="3"/>
        <v>1730664.022</v>
      </c>
      <c r="H30" s="8">
        <f t="shared" si="4"/>
        <v>56202933.78</v>
      </c>
      <c r="J30" s="5"/>
    </row>
    <row r="31" ht="15.75" customHeight="1">
      <c r="B31" s="2"/>
      <c r="C31" s="30">
        <v>46325.0</v>
      </c>
      <c r="D31" s="8">
        <f t="shared" si="1"/>
        <v>2310794.059</v>
      </c>
      <c r="E31" s="8"/>
      <c r="F31" s="8">
        <f t="shared" si="2"/>
        <v>562029.3378</v>
      </c>
      <c r="G31" s="8">
        <f t="shared" si="3"/>
        <v>1748764.721</v>
      </c>
      <c r="H31" s="8">
        <f t="shared" si="4"/>
        <v>54454169.06</v>
      </c>
      <c r="J31" s="5"/>
    </row>
    <row r="32" ht="15.75" customHeight="1">
      <c r="B32" s="2"/>
      <c r="C32" s="30">
        <v>46356.0</v>
      </c>
      <c r="D32" s="8">
        <f t="shared" si="1"/>
        <v>2310794.059</v>
      </c>
      <c r="E32" s="8"/>
      <c r="F32" s="8">
        <f t="shared" si="2"/>
        <v>544541.6906</v>
      </c>
      <c r="G32" s="8">
        <f t="shared" si="3"/>
        <v>1766252.369</v>
      </c>
      <c r="H32" s="8">
        <f t="shared" si="4"/>
        <v>52687916.69</v>
      </c>
      <c r="J32" s="5"/>
    </row>
    <row r="33" ht="15.75" customHeight="1">
      <c r="B33" s="2"/>
      <c r="C33" s="30">
        <v>46386.0</v>
      </c>
      <c r="D33" s="8">
        <f t="shared" si="1"/>
        <v>2310794.059</v>
      </c>
      <c r="E33" s="8"/>
      <c r="F33" s="8">
        <f t="shared" si="2"/>
        <v>526879.1669</v>
      </c>
      <c r="G33" s="8">
        <f t="shared" si="3"/>
        <v>1783914.892</v>
      </c>
      <c r="H33" s="8">
        <f t="shared" si="4"/>
        <v>50904001.8</v>
      </c>
      <c r="J33" s="5"/>
    </row>
    <row r="34" ht="15.75" customHeight="1">
      <c r="B34" s="2"/>
      <c r="C34" s="30">
        <v>46417.0</v>
      </c>
      <c r="D34" s="8">
        <f t="shared" si="1"/>
        <v>2310794.059</v>
      </c>
      <c r="E34" s="8"/>
      <c r="F34" s="8">
        <f t="shared" si="2"/>
        <v>509040.018</v>
      </c>
      <c r="G34" s="8">
        <f t="shared" si="3"/>
        <v>1801754.041</v>
      </c>
      <c r="H34" s="8">
        <f t="shared" si="4"/>
        <v>49102247.76</v>
      </c>
      <c r="J34" s="5"/>
    </row>
    <row r="35" ht="15.75" customHeight="1">
      <c r="B35" s="2"/>
      <c r="C35" s="30">
        <v>46446.0</v>
      </c>
      <c r="D35" s="8">
        <f t="shared" si="1"/>
        <v>2310794.059</v>
      </c>
      <c r="E35" s="8"/>
      <c r="F35" s="8">
        <f t="shared" si="2"/>
        <v>491022.4776</v>
      </c>
      <c r="G35" s="8">
        <f t="shared" si="3"/>
        <v>1819771.582</v>
      </c>
      <c r="H35" s="8">
        <f t="shared" si="4"/>
        <v>47282476.18</v>
      </c>
      <c r="J35" s="5"/>
    </row>
    <row r="36" ht="15.75" customHeight="1">
      <c r="B36" s="2"/>
      <c r="C36" s="30">
        <v>46476.0</v>
      </c>
      <c r="D36" s="8">
        <f t="shared" si="1"/>
        <v>2310794.059</v>
      </c>
      <c r="E36" s="8"/>
      <c r="F36" s="8">
        <f t="shared" si="2"/>
        <v>472824.7618</v>
      </c>
      <c r="G36" s="8">
        <f t="shared" si="3"/>
        <v>1837969.297</v>
      </c>
      <c r="H36" s="8">
        <f t="shared" si="4"/>
        <v>45444506.88</v>
      </c>
      <c r="J36" s="5"/>
    </row>
    <row r="37" ht="15.75" customHeight="1">
      <c r="B37" s="2"/>
      <c r="C37" s="30">
        <v>46507.0</v>
      </c>
      <c r="D37" s="8">
        <f t="shared" si="1"/>
        <v>2310794.059</v>
      </c>
      <c r="E37" s="8"/>
      <c r="F37" s="8">
        <f t="shared" si="2"/>
        <v>454445.0688</v>
      </c>
      <c r="G37" s="8">
        <f t="shared" si="3"/>
        <v>1856348.99</v>
      </c>
      <c r="H37" s="8">
        <f t="shared" si="4"/>
        <v>43588157.89</v>
      </c>
      <c r="J37" s="5"/>
    </row>
    <row r="38" ht="15.75" customHeight="1">
      <c r="B38" s="2"/>
      <c r="C38" s="30">
        <v>46537.0</v>
      </c>
      <c r="D38" s="8">
        <f t="shared" si="1"/>
        <v>2310794.059</v>
      </c>
      <c r="E38" s="8"/>
      <c r="F38" s="8">
        <f t="shared" si="2"/>
        <v>435881.5789</v>
      </c>
      <c r="G38" s="8">
        <f t="shared" si="3"/>
        <v>1874912.48</v>
      </c>
      <c r="H38" s="8">
        <f t="shared" si="4"/>
        <v>41713245.41</v>
      </c>
      <c r="J38" s="5"/>
    </row>
    <row r="39" ht="15.75" customHeight="1">
      <c r="B39" s="2"/>
      <c r="C39" s="30">
        <v>46568.0</v>
      </c>
      <c r="D39" s="8">
        <f t="shared" si="1"/>
        <v>2310794.059</v>
      </c>
      <c r="E39" s="8"/>
      <c r="F39" s="8">
        <f t="shared" si="2"/>
        <v>417132.4541</v>
      </c>
      <c r="G39" s="8">
        <f t="shared" si="3"/>
        <v>1893661.605</v>
      </c>
      <c r="H39" s="8">
        <f t="shared" si="4"/>
        <v>39819583.8</v>
      </c>
      <c r="J39" s="5"/>
    </row>
    <row r="40" ht="15.75" customHeight="1">
      <c r="B40" s="2"/>
      <c r="C40" s="30">
        <v>46598.0</v>
      </c>
      <c r="D40" s="8">
        <f t="shared" si="1"/>
        <v>2310794.059</v>
      </c>
      <c r="E40" s="8"/>
      <c r="F40" s="8">
        <f t="shared" si="2"/>
        <v>398195.838</v>
      </c>
      <c r="G40" s="8">
        <f t="shared" si="3"/>
        <v>1912598.221</v>
      </c>
      <c r="H40" s="8">
        <f t="shared" si="4"/>
        <v>37906985.58</v>
      </c>
      <c r="J40" s="5"/>
    </row>
    <row r="41" ht="15.75" customHeight="1">
      <c r="B41" s="2"/>
      <c r="C41" s="30">
        <v>46629.0</v>
      </c>
      <c r="D41" s="8">
        <f t="shared" si="1"/>
        <v>2310794.059</v>
      </c>
      <c r="E41" s="8"/>
      <c r="F41" s="8">
        <f t="shared" si="2"/>
        <v>379069.8558</v>
      </c>
      <c r="G41" s="8">
        <f t="shared" si="3"/>
        <v>1931724.203</v>
      </c>
      <c r="H41" s="8">
        <f t="shared" si="4"/>
        <v>35975261.38</v>
      </c>
      <c r="J41" s="5"/>
    </row>
    <row r="42" ht="15.75" customHeight="1">
      <c r="B42" s="2"/>
      <c r="C42" s="30">
        <v>46660.0</v>
      </c>
      <c r="D42" s="8">
        <f t="shared" si="1"/>
        <v>2310794.059</v>
      </c>
      <c r="E42" s="8"/>
      <c r="F42" s="8">
        <f t="shared" si="2"/>
        <v>359752.6138</v>
      </c>
      <c r="G42" s="8">
        <f t="shared" si="3"/>
        <v>1951041.445</v>
      </c>
      <c r="H42" s="8">
        <f t="shared" si="4"/>
        <v>34024219.93</v>
      </c>
      <c r="J42" s="5"/>
    </row>
    <row r="43" ht="15.75" customHeight="1">
      <c r="B43" s="2"/>
      <c r="C43" s="30">
        <v>46690.0</v>
      </c>
      <c r="D43" s="8">
        <f t="shared" si="1"/>
        <v>2310794.059</v>
      </c>
      <c r="E43" s="46"/>
      <c r="F43" s="8">
        <f t="shared" si="2"/>
        <v>340242.1993</v>
      </c>
      <c r="G43" s="8">
        <f t="shared" si="3"/>
        <v>1970551.86</v>
      </c>
      <c r="H43" s="8">
        <f t="shared" si="4"/>
        <v>32053668.07</v>
      </c>
      <c r="J43" s="5"/>
    </row>
    <row r="44" ht="15.75" customHeight="1">
      <c r="B44" s="2"/>
      <c r="C44" s="30">
        <v>46721.0</v>
      </c>
      <c r="D44" s="8">
        <f t="shared" si="1"/>
        <v>2310794.059</v>
      </c>
      <c r="E44" s="46"/>
      <c r="F44" s="8">
        <f t="shared" si="2"/>
        <v>320536.6807</v>
      </c>
      <c r="G44" s="8">
        <f t="shared" si="3"/>
        <v>1990257.378</v>
      </c>
      <c r="H44" s="8">
        <f t="shared" si="4"/>
        <v>30063410.7</v>
      </c>
      <c r="J44" s="5"/>
    </row>
    <row r="45" ht="15.75" customHeight="1">
      <c r="B45" s="2"/>
      <c r="C45" s="30">
        <v>46751.0</v>
      </c>
      <c r="D45" s="8">
        <f t="shared" si="1"/>
        <v>2310794.059</v>
      </c>
      <c r="E45" s="46"/>
      <c r="F45" s="8">
        <f t="shared" si="2"/>
        <v>300634.107</v>
      </c>
      <c r="G45" s="8">
        <f t="shared" si="3"/>
        <v>2010159.952</v>
      </c>
      <c r="H45" s="8">
        <f t="shared" si="4"/>
        <v>28053250.74</v>
      </c>
      <c r="J45" s="5"/>
    </row>
    <row r="46" ht="15.75" customHeight="1">
      <c r="B46" s="2"/>
      <c r="C46" s="30">
        <v>46782.0</v>
      </c>
      <c r="D46" s="8">
        <f t="shared" si="1"/>
        <v>2310794.059</v>
      </c>
      <c r="E46" s="46"/>
      <c r="F46" s="8">
        <f t="shared" si="2"/>
        <v>280532.5074</v>
      </c>
      <c r="G46" s="8">
        <f t="shared" si="3"/>
        <v>2030261.552</v>
      </c>
      <c r="H46" s="8">
        <f t="shared" si="4"/>
        <v>26022989.19</v>
      </c>
      <c r="J46" s="5"/>
    </row>
    <row r="47" ht="15.75" customHeight="1">
      <c r="B47" s="2"/>
      <c r="C47" s="30">
        <v>46812.0</v>
      </c>
      <c r="D47" s="8">
        <f t="shared" si="1"/>
        <v>2310794.059</v>
      </c>
      <c r="E47" s="46"/>
      <c r="F47" s="8">
        <f t="shared" si="2"/>
        <v>260229.8919</v>
      </c>
      <c r="G47" s="8">
        <f t="shared" si="3"/>
        <v>2050564.167</v>
      </c>
      <c r="H47" s="8">
        <f t="shared" si="4"/>
        <v>23972425.03</v>
      </c>
      <c r="J47" s="5"/>
    </row>
    <row r="48" ht="15.75" customHeight="1">
      <c r="B48" s="2"/>
      <c r="C48" s="30">
        <v>46842.0</v>
      </c>
      <c r="D48" s="8">
        <f t="shared" si="1"/>
        <v>2310794.059</v>
      </c>
      <c r="E48" s="46"/>
      <c r="F48" s="8">
        <f t="shared" si="2"/>
        <v>239724.2503</v>
      </c>
      <c r="G48" s="8">
        <f t="shared" si="3"/>
        <v>2071069.809</v>
      </c>
      <c r="H48" s="8">
        <f t="shared" si="4"/>
        <v>21901355.22</v>
      </c>
      <c r="J48" s="5"/>
    </row>
    <row r="49" ht="15.75" customHeight="1">
      <c r="B49" s="2"/>
      <c r="C49" s="30">
        <v>46873.0</v>
      </c>
      <c r="D49" s="8">
        <f t="shared" si="1"/>
        <v>2310794.059</v>
      </c>
      <c r="E49" s="46"/>
      <c r="F49" s="8">
        <f t="shared" si="2"/>
        <v>219013.5522</v>
      </c>
      <c r="G49" s="8">
        <f t="shared" si="3"/>
        <v>2091780.507</v>
      </c>
      <c r="H49" s="8">
        <f t="shared" si="4"/>
        <v>19809574.71</v>
      </c>
      <c r="J49" s="5"/>
    </row>
    <row r="50" ht="15.75" customHeight="1">
      <c r="B50" s="2"/>
      <c r="C50" s="30">
        <v>46903.0</v>
      </c>
      <c r="D50" s="8">
        <f t="shared" si="1"/>
        <v>2310794.059</v>
      </c>
      <c r="E50" s="46"/>
      <c r="F50" s="8">
        <f t="shared" si="2"/>
        <v>198095.7471</v>
      </c>
      <c r="G50" s="8">
        <f t="shared" si="3"/>
        <v>2112698.312</v>
      </c>
      <c r="H50" s="8">
        <f t="shared" si="4"/>
        <v>17696876.4</v>
      </c>
      <c r="J50" s="5"/>
    </row>
    <row r="51" ht="15.75" customHeight="1">
      <c r="B51" s="2"/>
      <c r="C51" s="30">
        <v>46934.0</v>
      </c>
      <c r="D51" s="8">
        <f t="shared" si="1"/>
        <v>2310794.059</v>
      </c>
      <c r="E51" s="46"/>
      <c r="F51" s="8">
        <f t="shared" si="2"/>
        <v>176968.764</v>
      </c>
      <c r="G51" s="8">
        <f t="shared" si="3"/>
        <v>2133825.295</v>
      </c>
      <c r="H51" s="8">
        <f t="shared" si="4"/>
        <v>15563051.1</v>
      </c>
      <c r="J51" s="5"/>
    </row>
    <row r="52" ht="15.75" customHeight="1">
      <c r="B52" s="2"/>
      <c r="C52" s="30">
        <v>46964.0</v>
      </c>
      <c r="D52" s="8">
        <f t="shared" si="1"/>
        <v>2310794.059</v>
      </c>
      <c r="E52" s="46"/>
      <c r="F52" s="8">
        <f t="shared" si="2"/>
        <v>155630.511</v>
      </c>
      <c r="G52" s="8">
        <f t="shared" si="3"/>
        <v>2155163.548</v>
      </c>
      <c r="H52" s="8">
        <f t="shared" si="4"/>
        <v>13407887.55</v>
      </c>
      <c r="J52" s="5"/>
    </row>
    <row r="53" ht="15.75" customHeight="1">
      <c r="B53" s="2"/>
      <c r="C53" s="30">
        <v>46995.0</v>
      </c>
      <c r="D53" s="8">
        <f t="shared" si="1"/>
        <v>2310794.059</v>
      </c>
      <c r="E53" s="46"/>
      <c r="F53" s="8">
        <f t="shared" si="2"/>
        <v>134078.8755</v>
      </c>
      <c r="G53" s="8">
        <f t="shared" si="3"/>
        <v>2176715.184</v>
      </c>
      <c r="H53" s="8">
        <f t="shared" si="4"/>
        <v>11231172.37</v>
      </c>
      <c r="J53" s="5"/>
    </row>
    <row r="54" ht="15.75" customHeight="1">
      <c r="B54" s="2"/>
      <c r="C54" s="30">
        <v>47026.0</v>
      </c>
      <c r="D54" s="8">
        <f t="shared" si="1"/>
        <v>2310794.059</v>
      </c>
      <c r="E54" s="46"/>
      <c r="F54" s="8">
        <f t="shared" si="2"/>
        <v>112311.7237</v>
      </c>
      <c r="G54" s="8">
        <f t="shared" si="3"/>
        <v>2198482.335</v>
      </c>
      <c r="H54" s="8">
        <f t="shared" si="4"/>
        <v>9032690.035</v>
      </c>
      <c r="J54" s="5"/>
    </row>
    <row r="55" ht="15.75" customHeight="1">
      <c r="B55" s="2"/>
      <c r="C55" s="30">
        <v>47056.0</v>
      </c>
      <c r="D55" s="8">
        <f t="shared" si="1"/>
        <v>2310794.059</v>
      </c>
      <c r="E55" s="46"/>
      <c r="F55" s="8">
        <f t="shared" si="2"/>
        <v>90326.90035</v>
      </c>
      <c r="G55" s="8">
        <f t="shared" si="3"/>
        <v>2220467.159</v>
      </c>
      <c r="H55" s="8">
        <f t="shared" si="4"/>
        <v>6812222.876</v>
      </c>
      <c r="J55" s="5"/>
    </row>
    <row r="56" ht="15.75" customHeight="1">
      <c r="B56" s="2"/>
      <c r="C56" s="30">
        <v>47087.0</v>
      </c>
      <c r="D56" s="8">
        <f t="shared" si="1"/>
        <v>2310794.059</v>
      </c>
      <c r="E56" s="46"/>
      <c r="F56" s="8">
        <f t="shared" si="2"/>
        <v>68122.22876</v>
      </c>
      <c r="G56" s="8">
        <f t="shared" si="3"/>
        <v>2242671.83</v>
      </c>
      <c r="H56" s="8">
        <f t="shared" si="4"/>
        <v>4569551.046</v>
      </c>
      <c r="J56" s="5"/>
    </row>
    <row r="57" ht="15.75" customHeight="1">
      <c r="B57" s="2"/>
      <c r="C57" s="30">
        <v>47117.0</v>
      </c>
      <c r="D57" s="8">
        <f t="shared" si="1"/>
        <v>2310794.059</v>
      </c>
      <c r="E57" s="46"/>
      <c r="F57" s="8">
        <f t="shared" si="2"/>
        <v>45695.51046</v>
      </c>
      <c r="G57" s="8">
        <f t="shared" si="3"/>
        <v>2265098.549</v>
      </c>
      <c r="H57" s="8">
        <f t="shared" si="4"/>
        <v>2304452.497</v>
      </c>
      <c r="J57" s="5"/>
    </row>
    <row r="58" ht="15.75" customHeight="1">
      <c r="A58" s="47"/>
      <c r="B58" s="48"/>
      <c r="C58" s="49">
        <v>47148.0</v>
      </c>
      <c r="D58" s="50">
        <f t="shared" si="1"/>
        <v>2310794.059</v>
      </c>
      <c r="E58" s="51"/>
      <c r="F58" s="50">
        <f t="shared" si="2"/>
        <v>23044.52497</v>
      </c>
      <c r="G58" s="50">
        <f t="shared" si="3"/>
        <v>2287749.534</v>
      </c>
      <c r="H58" s="50">
        <f t="shared" si="4"/>
        <v>16702.96268</v>
      </c>
      <c r="J58" s="5"/>
    </row>
    <row r="59" ht="15.75" customHeight="1">
      <c r="B59" s="2"/>
      <c r="E59" s="9"/>
      <c r="J59" s="5"/>
    </row>
    <row r="60" ht="15.75" customHeight="1">
      <c r="B60" s="2"/>
      <c r="E60" s="9"/>
      <c r="J60" s="5"/>
    </row>
    <row r="61" ht="15.75" customHeight="1">
      <c r="B61" s="2"/>
      <c r="E61" s="9"/>
      <c r="J61" s="5"/>
    </row>
    <row r="62" ht="15.75" customHeight="1">
      <c r="B62" s="2"/>
      <c r="E62" s="9"/>
      <c r="J62" s="5"/>
    </row>
    <row r="63" ht="15.75" customHeight="1">
      <c r="B63" s="2"/>
      <c r="E63" s="9"/>
      <c r="J63" s="5"/>
    </row>
    <row r="64" ht="15.75" customHeight="1">
      <c r="B64" s="2"/>
      <c r="E64" s="9"/>
      <c r="J64" s="5"/>
    </row>
    <row r="65" ht="15.75" customHeight="1">
      <c r="B65" s="2"/>
      <c r="E65" s="9"/>
      <c r="J65" s="5"/>
    </row>
    <row r="66" ht="15.75" customHeight="1">
      <c r="B66" s="2"/>
      <c r="E66" s="9"/>
      <c r="J66" s="5"/>
    </row>
    <row r="67" ht="15.75" customHeight="1">
      <c r="B67" s="2"/>
      <c r="E67" s="9"/>
      <c r="J67" s="5"/>
    </row>
    <row r="68" ht="15.75" customHeight="1">
      <c r="B68" s="2"/>
      <c r="E68" s="9"/>
      <c r="J68" s="5"/>
    </row>
    <row r="69" ht="15.75" customHeight="1">
      <c r="B69" s="2"/>
      <c r="E69" s="9"/>
      <c r="J69" s="5"/>
    </row>
    <row r="70" ht="15.75" customHeight="1">
      <c r="B70" s="2"/>
      <c r="E70" s="9"/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509</v>
      </c>
    </row>
    <row r="2">
      <c r="A2" s="71" t="s">
        <v>510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9.0E7</v>
      </c>
      <c r="J4" s="25"/>
    </row>
    <row r="5">
      <c r="A5" s="33">
        <v>45615.0</v>
      </c>
      <c r="B5" s="34" t="s">
        <v>44</v>
      </c>
      <c r="C5" s="35" t="s">
        <v>512</v>
      </c>
      <c r="D5" s="36"/>
      <c r="E5" s="36">
        <v>1.0E7</v>
      </c>
      <c r="F5" s="36"/>
      <c r="G5" s="36"/>
      <c r="H5" s="36">
        <f t="shared" ref="H5:H7" si="1">SUM(D5:G5)</f>
        <v>10000000</v>
      </c>
      <c r="I5" s="36">
        <f t="shared" ref="I5:I7" si="2">I4-H5</f>
        <v>80000000</v>
      </c>
      <c r="J5" s="34"/>
    </row>
    <row r="6">
      <c r="A6" s="33">
        <v>45714.0</v>
      </c>
      <c r="B6" s="34" t="s">
        <v>513</v>
      </c>
      <c r="C6" s="35" t="s">
        <v>514</v>
      </c>
      <c r="D6" s="36"/>
      <c r="E6" s="36">
        <v>5.0E7</v>
      </c>
      <c r="F6" s="36"/>
      <c r="G6" s="36"/>
      <c r="H6" s="36">
        <f t="shared" si="1"/>
        <v>50000000</v>
      </c>
      <c r="I6" s="36">
        <f t="shared" si="2"/>
        <v>30000000</v>
      </c>
      <c r="J6" s="34"/>
    </row>
    <row r="7">
      <c r="A7" s="33">
        <v>45856.0</v>
      </c>
      <c r="B7" s="34" t="s">
        <v>513</v>
      </c>
      <c r="C7" s="35" t="s">
        <v>515</v>
      </c>
      <c r="D7" s="36"/>
      <c r="E7" s="36">
        <v>1.0E7</v>
      </c>
      <c r="F7" s="36"/>
      <c r="G7" s="36"/>
      <c r="H7" s="36">
        <f t="shared" si="1"/>
        <v>10000000</v>
      </c>
      <c r="I7" s="36">
        <f t="shared" si="2"/>
        <v>20000000</v>
      </c>
      <c r="J7" s="34"/>
    </row>
    <row r="8">
      <c r="A8" s="25"/>
      <c r="B8" s="38" t="s">
        <v>69</v>
      </c>
      <c r="C8" s="39"/>
      <c r="D8" s="27">
        <f t="shared" ref="D8:H8" si="3">SUM(D5:D7)</f>
        <v>0</v>
      </c>
      <c r="E8" s="27">
        <f t="shared" si="3"/>
        <v>70000000</v>
      </c>
      <c r="F8" s="27">
        <f t="shared" si="3"/>
        <v>0</v>
      </c>
      <c r="G8" s="27">
        <f t="shared" si="3"/>
        <v>0</v>
      </c>
      <c r="H8" s="27">
        <f t="shared" si="3"/>
        <v>70000000</v>
      </c>
      <c r="I8" s="27">
        <f>I7</f>
        <v>20000000</v>
      </c>
      <c r="J8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526</v>
      </c>
    </row>
    <row r="2">
      <c r="A2" s="71" t="s">
        <v>527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9.0E7</v>
      </c>
      <c r="J4" s="25"/>
    </row>
    <row r="5">
      <c r="A5" s="33">
        <v>45612.0</v>
      </c>
      <c r="B5" s="34" t="s">
        <v>44</v>
      </c>
      <c r="C5" s="35" t="s">
        <v>529</v>
      </c>
      <c r="D5" s="36"/>
      <c r="E5" s="36">
        <v>1.0E7</v>
      </c>
      <c r="F5" s="36"/>
      <c r="G5" s="36"/>
      <c r="H5" s="36">
        <f t="shared" ref="H5:H6" si="1">SUM(D5:G5)</f>
        <v>10000000</v>
      </c>
      <c r="I5" s="36">
        <f t="shared" ref="I5:I6" si="2">I4-H5</f>
        <v>80000000</v>
      </c>
      <c r="J5" s="34"/>
    </row>
    <row r="6">
      <c r="A6" s="33">
        <v>45714.0</v>
      </c>
      <c r="B6" s="34" t="s">
        <v>513</v>
      </c>
      <c r="C6" s="35" t="s">
        <v>531</v>
      </c>
      <c r="D6" s="36"/>
      <c r="E6" s="36">
        <v>4.0E7</v>
      </c>
      <c r="F6" s="36"/>
      <c r="G6" s="36"/>
      <c r="H6" s="36">
        <f t="shared" si="1"/>
        <v>40000000</v>
      </c>
      <c r="I6" s="36">
        <f t="shared" si="2"/>
        <v>40000000</v>
      </c>
      <c r="J6" s="34"/>
    </row>
    <row r="7">
      <c r="A7" s="25"/>
      <c r="B7" s="38" t="s">
        <v>69</v>
      </c>
      <c r="C7" s="39"/>
      <c r="D7" s="27">
        <f t="shared" ref="D7:H7" si="3">SUM(D5:D6)</f>
        <v>0</v>
      </c>
      <c r="E7" s="27">
        <f t="shared" si="3"/>
        <v>50000000</v>
      </c>
      <c r="F7" s="27">
        <f t="shared" si="3"/>
        <v>0</v>
      </c>
      <c r="G7" s="27">
        <f t="shared" si="3"/>
        <v>0</v>
      </c>
      <c r="H7" s="27">
        <f t="shared" si="3"/>
        <v>50000000</v>
      </c>
      <c r="I7" s="27">
        <f>I6</f>
        <v>40000000</v>
      </c>
      <c r="J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6.33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542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543</v>
      </c>
      <c r="H7" s="5"/>
      <c r="J7" s="5"/>
    </row>
    <row r="8" ht="15.75" customHeight="1">
      <c r="B8" s="2"/>
      <c r="C8" s="1" t="s">
        <v>16</v>
      </c>
      <c r="D8" s="2">
        <v>1.0303311E7</v>
      </c>
      <c r="H8" s="5"/>
      <c r="I8" s="17"/>
      <c r="J8" s="19"/>
      <c r="K8" s="17"/>
      <c r="L8" s="21" t="s">
        <v>544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45754.0</v>
      </c>
      <c r="B11" s="2" t="s">
        <v>546</v>
      </c>
      <c r="C11" s="30">
        <v>45752.0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45685.0</v>
      </c>
      <c r="M11" s="34" t="s">
        <v>44</v>
      </c>
      <c r="N11" s="35" t="s">
        <v>547</v>
      </c>
      <c r="O11" s="36"/>
      <c r="P11" s="36">
        <v>1000000.0</v>
      </c>
      <c r="Q11" s="36"/>
      <c r="R11" s="36"/>
      <c r="S11" s="36">
        <f t="shared" ref="S11:S22" si="5">SUM(O11:R11)</f>
        <v>1000000</v>
      </c>
      <c r="T11" s="75">
        <f t="shared" ref="T11:T22" si="6">T10-S11</f>
        <v>125867017</v>
      </c>
      <c r="U11" s="34" t="s">
        <v>550</v>
      </c>
    </row>
    <row r="12" ht="15.75" customHeight="1">
      <c r="A12" s="29">
        <v>46111.0</v>
      </c>
      <c r="B12" s="2" t="s">
        <v>551</v>
      </c>
      <c r="C12" s="30">
        <v>45782.0</v>
      </c>
      <c r="D12" s="8">
        <f t="shared" si="1"/>
        <v>1951950.284</v>
      </c>
      <c r="E12" s="15"/>
      <c r="F12" s="8">
        <f t="shared" si="2"/>
        <v>866755.4972</v>
      </c>
      <c r="G12" s="8">
        <f t="shared" si="3"/>
        <v>1085194.787</v>
      </c>
      <c r="H12" s="8">
        <f t="shared" si="4"/>
        <v>85590354.93</v>
      </c>
      <c r="J12" s="5"/>
      <c r="L12" s="40">
        <v>45715.0</v>
      </c>
      <c r="M12" s="34" t="s">
        <v>44</v>
      </c>
      <c r="N12" s="35" t="s">
        <v>552</v>
      </c>
      <c r="O12" s="36"/>
      <c r="P12" s="36">
        <v>2600000.0</v>
      </c>
      <c r="Q12" s="36"/>
      <c r="R12" s="36"/>
      <c r="S12" s="36">
        <f t="shared" si="5"/>
        <v>2600000</v>
      </c>
      <c r="T12" s="36">
        <f t="shared" si="6"/>
        <v>123267017</v>
      </c>
      <c r="U12" s="34" t="s">
        <v>553</v>
      </c>
    </row>
    <row r="13" ht="15.75" customHeight="1">
      <c r="A13" s="29">
        <v>46111.0</v>
      </c>
      <c r="B13" s="2" t="s">
        <v>551</v>
      </c>
      <c r="C13" s="30">
        <v>45813.0</v>
      </c>
      <c r="D13" s="8">
        <f t="shared" si="1"/>
        <v>1951950.284</v>
      </c>
      <c r="E13" s="15"/>
      <c r="F13" s="8">
        <f t="shared" si="2"/>
        <v>855903.5493</v>
      </c>
      <c r="G13" s="8">
        <f t="shared" si="3"/>
        <v>1096046.735</v>
      </c>
      <c r="H13" s="8">
        <f t="shared" si="4"/>
        <v>84494308.19</v>
      </c>
      <c r="J13" s="5" t="s">
        <v>56</v>
      </c>
      <c r="L13" s="33">
        <v>45716.0</v>
      </c>
      <c r="M13" s="34" t="s">
        <v>44</v>
      </c>
      <c r="N13" s="35" t="s">
        <v>555</v>
      </c>
      <c r="O13" s="36"/>
      <c r="P13" s="36">
        <v>2600000.0</v>
      </c>
      <c r="Q13" s="36"/>
      <c r="R13" s="36"/>
      <c r="S13" s="36">
        <f t="shared" si="5"/>
        <v>2600000</v>
      </c>
      <c r="T13" s="36">
        <f t="shared" si="6"/>
        <v>120667017</v>
      </c>
      <c r="U13" s="34"/>
    </row>
    <row r="14" ht="15.75" customHeight="1">
      <c r="A14" s="29">
        <v>46111.0</v>
      </c>
      <c r="B14" s="2" t="s">
        <v>551</v>
      </c>
      <c r="C14" s="30">
        <v>45843.0</v>
      </c>
      <c r="D14" s="8">
        <f t="shared" si="1"/>
        <v>1951950.284</v>
      </c>
      <c r="E14" s="15"/>
      <c r="F14" s="8">
        <f t="shared" si="2"/>
        <v>844943.0819</v>
      </c>
      <c r="G14" s="8">
        <f t="shared" si="3"/>
        <v>1107007.202</v>
      </c>
      <c r="H14" s="8">
        <f t="shared" si="4"/>
        <v>83387300.99</v>
      </c>
      <c r="J14" s="8">
        <f>+H10</f>
        <v>87750000</v>
      </c>
      <c r="L14" s="33">
        <v>45717.0</v>
      </c>
      <c r="M14" s="34" t="s">
        <v>44</v>
      </c>
      <c r="N14" s="35" t="s">
        <v>556</v>
      </c>
      <c r="O14" s="36"/>
      <c r="P14" s="36">
        <v>2600000.0</v>
      </c>
      <c r="Q14" s="36"/>
      <c r="R14" s="36"/>
      <c r="S14" s="36">
        <f t="shared" si="5"/>
        <v>2600000</v>
      </c>
      <c r="T14" s="36">
        <f t="shared" si="6"/>
        <v>118067017</v>
      </c>
      <c r="U14" s="34"/>
    </row>
    <row r="15" ht="15.75" customHeight="1">
      <c r="A15" s="29">
        <v>46111.0</v>
      </c>
      <c r="B15" s="2" t="s">
        <v>551</v>
      </c>
      <c r="C15" s="30">
        <v>45874.0</v>
      </c>
      <c r="D15" s="8">
        <f t="shared" si="1"/>
        <v>1951950.284</v>
      </c>
      <c r="E15" s="15"/>
      <c r="F15" s="8">
        <f t="shared" si="2"/>
        <v>833873.0099</v>
      </c>
      <c r="G15" s="8">
        <f t="shared" si="3"/>
        <v>1118077.274</v>
      </c>
      <c r="H15" s="8">
        <f t="shared" si="4"/>
        <v>82269223.72</v>
      </c>
      <c r="J15" s="5"/>
      <c r="L15" s="33">
        <v>45719.0</v>
      </c>
      <c r="M15" s="34" t="s">
        <v>44</v>
      </c>
      <c r="N15" s="35" t="s">
        <v>558</v>
      </c>
      <c r="O15" s="36"/>
      <c r="P15" s="36">
        <v>950000.0</v>
      </c>
      <c r="Q15" s="36"/>
      <c r="R15" s="36"/>
      <c r="S15" s="36">
        <f t="shared" si="5"/>
        <v>950000</v>
      </c>
      <c r="T15" s="36">
        <f t="shared" si="6"/>
        <v>117117017</v>
      </c>
      <c r="U15" s="34"/>
    </row>
    <row r="16" ht="15.75" customHeight="1">
      <c r="A16" s="29">
        <v>46111.0</v>
      </c>
      <c r="B16" s="2" t="s">
        <v>551</v>
      </c>
      <c r="C16" s="30">
        <v>45905.0</v>
      </c>
      <c r="D16" s="8">
        <f t="shared" si="1"/>
        <v>1951950.284</v>
      </c>
      <c r="E16" s="15"/>
      <c r="F16" s="8">
        <f t="shared" si="2"/>
        <v>822692.2372</v>
      </c>
      <c r="G16" s="8">
        <f t="shared" si="3"/>
        <v>1129258.047</v>
      </c>
      <c r="H16" s="8">
        <f t="shared" si="4"/>
        <v>81139965.67</v>
      </c>
      <c r="J16" s="5"/>
      <c r="L16" s="33">
        <v>45754.0</v>
      </c>
      <c r="M16" s="34" t="s">
        <v>73</v>
      </c>
      <c r="N16" s="35" t="s">
        <v>546</v>
      </c>
      <c r="O16" s="36"/>
      <c r="P16" s="36">
        <v>1951950.0</v>
      </c>
      <c r="Q16" s="36"/>
      <c r="R16" s="36"/>
      <c r="S16" s="36">
        <f t="shared" si="5"/>
        <v>1951950</v>
      </c>
      <c r="T16" s="36">
        <f t="shared" si="6"/>
        <v>115165067</v>
      </c>
      <c r="U16" s="34"/>
    </row>
    <row r="17" ht="15.75" customHeight="1">
      <c r="A17" s="29">
        <v>46120.0</v>
      </c>
      <c r="B17" s="2" t="s">
        <v>562</v>
      </c>
      <c r="C17" s="30">
        <v>45935.0</v>
      </c>
      <c r="D17" s="8">
        <f t="shared" si="1"/>
        <v>1951950.284</v>
      </c>
      <c r="E17" s="15"/>
      <c r="F17" s="8">
        <f t="shared" si="2"/>
        <v>811399.6567</v>
      </c>
      <c r="G17" s="8">
        <f t="shared" si="3"/>
        <v>1140550.628</v>
      </c>
      <c r="H17" s="8">
        <f t="shared" si="4"/>
        <v>79999415.04</v>
      </c>
      <c r="J17" s="5">
        <v>528547.0</v>
      </c>
      <c r="L17" s="33">
        <v>46111.0</v>
      </c>
      <c r="M17" s="34" t="s">
        <v>563</v>
      </c>
      <c r="N17" s="35" t="s">
        <v>551</v>
      </c>
      <c r="O17" s="36"/>
      <c r="P17" s="36">
        <v>1.1E7</v>
      </c>
      <c r="Q17" s="36"/>
      <c r="R17" s="36"/>
      <c r="S17" s="36">
        <f t="shared" si="5"/>
        <v>11000000</v>
      </c>
      <c r="T17" s="36">
        <f t="shared" si="6"/>
        <v>104165067</v>
      </c>
      <c r="U17" s="34"/>
    </row>
    <row r="18" ht="15.75" customHeight="1">
      <c r="A18" s="29">
        <v>46120.0</v>
      </c>
      <c r="B18" s="2" t="s">
        <v>562</v>
      </c>
      <c r="C18" s="30">
        <v>45966.0</v>
      </c>
      <c r="D18" s="8">
        <f t="shared" si="1"/>
        <v>1951950.284</v>
      </c>
      <c r="E18" s="15"/>
      <c r="F18" s="8">
        <f t="shared" si="2"/>
        <v>799994.1504</v>
      </c>
      <c r="G18" s="8">
        <f t="shared" si="3"/>
        <v>1151956.134</v>
      </c>
      <c r="H18" s="8">
        <f t="shared" si="4"/>
        <v>78847458.91</v>
      </c>
      <c r="J18" s="5"/>
      <c r="L18" s="33">
        <v>46120.0</v>
      </c>
      <c r="M18" s="34" t="s">
        <v>565</v>
      </c>
      <c r="N18" s="35" t="s">
        <v>562</v>
      </c>
      <c r="O18" s="36"/>
      <c r="P18" s="36">
        <v>1.1E7</v>
      </c>
      <c r="Q18" s="36"/>
      <c r="R18" s="36"/>
      <c r="S18" s="36">
        <f t="shared" si="5"/>
        <v>11000000</v>
      </c>
      <c r="T18" s="36">
        <f t="shared" si="6"/>
        <v>93165067</v>
      </c>
      <c r="U18" s="34"/>
    </row>
    <row r="19" ht="15.75" customHeight="1">
      <c r="A19" s="29">
        <v>46120.0</v>
      </c>
      <c r="B19" s="2" t="s">
        <v>562</v>
      </c>
      <c r="C19" s="30">
        <v>45996.0</v>
      </c>
      <c r="D19" s="8">
        <f t="shared" si="1"/>
        <v>1951950.284</v>
      </c>
      <c r="E19" s="15"/>
      <c r="F19" s="8">
        <f t="shared" si="2"/>
        <v>788474.5891</v>
      </c>
      <c r="G19" s="8">
        <f t="shared" si="3"/>
        <v>1163475.695</v>
      </c>
      <c r="H19" s="8">
        <f t="shared" si="4"/>
        <v>77683983.21</v>
      </c>
      <c r="I19" s="1"/>
      <c r="J19" s="41"/>
      <c r="K19" s="1"/>
      <c r="L19" s="42">
        <v>46144.0</v>
      </c>
      <c r="M19" s="43" t="s">
        <v>116</v>
      </c>
      <c r="N19" s="44" t="s">
        <v>567</v>
      </c>
      <c r="O19" s="45"/>
      <c r="P19" s="45">
        <v>1951950.0</v>
      </c>
      <c r="Q19" s="45"/>
      <c r="R19" s="45"/>
      <c r="S19" s="45">
        <f t="shared" si="5"/>
        <v>1951950</v>
      </c>
      <c r="T19" s="45">
        <f t="shared" si="6"/>
        <v>91213117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46120.0</v>
      </c>
      <c r="B20" s="2" t="s">
        <v>562</v>
      </c>
      <c r="C20" s="30">
        <v>46027.0</v>
      </c>
      <c r="D20" s="8">
        <f t="shared" si="1"/>
        <v>1951950.284</v>
      </c>
      <c r="E20" s="15"/>
      <c r="F20" s="8">
        <f t="shared" si="2"/>
        <v>776839.8321</v>
      </c>
      <c r="G20" s="8">
        <f t="shared" si="3"/>
        <v>1175110.452</v>
      </c>
      <c r="H20" s="8">
        <f t="shared" si="4"/>
        <v>76508872.76</v>
      </c>
      <c r="J20" s="5"/>
      <c r="L20" s="33">
        <v>46177.0</v>
      </c>
      <c r="M20" s="34" t="s">
        <v>118</v>
      </c>
      <c r="N20" s="35" t="s">
        <v>569</v>
      </c>
      <c r="O20" s="36"/>
      <c r="P20" s="36">
        <v>1951950.0</v>
      </c>
      <c r="Q20" s="36"/>
      <c r="R20" s="36"/>
      <c r="S20" s="36">
        <f t="shared" si="5"/>
        <v>1951950</v>
      </c>
      <c r="T20" s="36">
        <f t="shared" si="6"/>
        <v>89261167</v>
      </c>
      <c r="U20" s="34"/>
    </row>
    <row r="21" ht="15.75" customHeight="1">
      <c r="A21" s="29">
        <v>46120.0</v>
      </c>
      <c r="B21" s="2" t="s">
        <v>562</v>
      </c>
      <c r="C21" s="30">
        <v>46058.0</v>
      </c>
      <c r="D21" s="8">
        <f t="shared" si="1"/>
        <v>1951950.284</v>
      </c>
      <c r="E21" s="15"/>
      <c r="F21" s="8">
        <f t="shared" si="2"/>
        <v>765088.7276</v>
      </c>
      <c r="G21" s="8">
        <f t="shared" si="3"/>
        <v>1186861.557</v>
      </c>
      <c r="H21" s="8">
        <f t="shared" si="4"/>
        <v>75322011.2</v>
      </c>
      <c r="J21" s="5"/>
      <c r="L21" s="33">
        <v>46213.0</v>
      </c>
      <c r="M21" s="34" t="s">
        <v>120</v>
      </c>
      <c r="N21" s="35" t="s">
        <v>570</v>
      </c>
      <c r="O21" s="36"/>
      <c r="P21" s="36">
        <v>1951950.0</v>
      </c>
      <c r="Q21" s="36"/>
      <c r="R21" s="36"/>
      <c r="S21" s="36">
        <f t="shared" si="5"/>
        <v>1951950</v>
      </c>
      <c r="T21" s="36">
        <f t="shared" si="6"/>
        <v>87309217</v>
      </c>
      <c r="U21" s="34"/>
    </row>
    <row r="22" ht="15.75" customHeight="1">
      <c r="A22" s="29">
        <v>46120.0</v>
      </c>
      <c r="B22" s="2" t="s">
        <v>562</v>
      </c>
      <c r="C22" s="30">
        <v>46086.0</v>
      </c>
      <c r="D22" s="8">
        <f t="shared" si="1"/>
        <v>1951950.284</v>
      </c>
      <c r="E22" s="15">
        <f>1240249+1240249-D22</f>
        <v>528547.7156</v>
      </c>
      <c r="F22" s="8">
        <f t="shared" si="2"/>
        <v>753220.112</v>
      </c>
      <c r="G22" s="8">
        <f t="shared" si="3"/>
        <v>1727277.888</v>
      </c>
      <c r="H22" s="8">
        <f t="shared" si="4"/>
        <v>73594733.32</v>
      </c>
      <c r="J22" s="5"/>
      <c r="L22" s="40">
        <v>46237.0</v>
      </c>
      <c r="M22" s="34" t="s">
        <v>122</v>
      </c>
      <c r="N22" s="35" t="s">
        <v>573</v>
      </c>
      <c r="O22" s="36"/>
      <c r="P22" s="36"/>
      <c r="Q22" s="36"/>
      <c r="R22" s="36">
        <v>1952000.0</v>
      </c>
      <c r="S22" s="36">
        <f t="shared" si="5"/>
        <v>1952000</v>
      </c>
      <c r="T22" s="36">
        <f t="shared" si="6"/>
        <v>85357217</v>
      </c>
      <c r="U22" s="34" t="s">
        <v>125</v>
      </c>
    </row>
    <row r="23" ht="15.75" customHeight="1">
      <c r="A23" s="29">
        <v>46144.0</v>
      </c>
      <c r="B23" s="2" t="s">
        <v>567</v>
      </c>
      <c r="C23" s="30">
        <v>46117.0</v>
      </c>
      <c r="D23" s="8">
        <f t="shared" si="1"/>
        <v>1951950.284</v>
      </c>
      <c r="E23" s="46"/>
      <c r="F23" s="8">
        <f t="shared" si="2"/>
        <v>735947.3332</v>
      </c>
      <c r="G23" s="8">
        <f t="shared" si="3"/>
        <v>1216002.951</v>
      </c>
      <c r="H23" s="8">
        <f t="shared" si="4"/>
        <v>72378730.36</v>
      </c>
      <c r="J23" s="5"/>
      <c r="L23" s="25"/>
      <c r="M23" s="38" t="s">
        <v>69</v>
      </c>
      <c r="N23" s="39"/>
      <c r="O23" s="27">
        <f t="shared" ref="O23:S23" si="7">SUM(O11:O22)</f>
        <v>0</v>
      </c>
      <c r="P23" s="27">
        <f t="shared" si="7"/>
        <v>39557800</v>
      </c>
      <c r="Q23" s="27">
        <f t="shared" si="7"/>
        <v>0</v>
      </c>
      <c r="R23" s="27">
        <f t="shared" si="7"/>
        <v>1952000</v>
      </c>
      <c r="S23" s="27">
        <f t="shared" si="7"/>
        <v>41509800</v>
      </c>
      <c r="T23" s="27">
        <f>T22</f>
        <v>85357217</v>
      </c>
      <c r="U23" s="25"/>
    </row>
    <row r="24" ht="15.75" customHeight="1">
      <c r="A24" s="29">
        <v>46177.0</v>
      </c>
      <c r="B24" s="2" t="s">
        <v>569</v>
      </c>
      <c r="C24" s="30">
        <v>46147.0</v>
      </c>
      <c r="D24" s="8">
        <f t="shared" si="1"/>
        <v>1951950.284</v>
      </c>
      <c r="E24" s="46"/>
      <c r="F24" s="8">
        <f t="shared" si="2"/>
        <v>723787.3036</v>
      </c>
      <c r="G24" s="8">
        <f t="shared" si="3"/>
        <v>1228162.981</v>
      </c>
      <c r="H24" s="8">
        <f t="shared" si="4"/>
        <v>71150567.38</v>
      </c>
      <c r="J24" s="5"/>
    </row>
    <row r="25" ht="15.75" customHeight="1">
      <c r="A25" s="29">
        <v>46213.0</v>
      </c>
      <c r="B25" s="2" t="s">
        <v>570</v>
      </c>
      <c r="C25" s="30">
        <v>46178.0</v>
      </c>
      <c r="D25" s="8">
        <f t="shared" si="1"/>
        <v>1951950.284</v>
      </c>
      <c r="E25" s="46"/>
      <c r="F25" s="8">
        <f t="shared" si="2"/>
        <v>711505.6738</v>
      </c>
      <c r="G25" s="8">
        <f t="shared" si="3"/>
        <v>1240444.611</v>
      </c>
      <c r="H25" s="8">
        <f t="shared" si="4"/>
        <v>69910122.77</v>
      </c>
      <c r="J25" s="5"/>
    </row>
    <row r="26" ht="15.75" customHeight="1">
      <c r="A26" s="29">
        <v>46237.0</v>
      </c>
      <c r="B26" s="2" t="s">
        <v>573</v>
      </c>
      <c r="C26" s="30">
        <v>46208.0</v>
      </c>
      <c r="D26" s="8">
        <f t="shared" si="1"/>
        <v>1951950.284</v>
      </c>
      <c r="E26" s="8">
        <f>1952000-D26</f>
        <v>49.71564987</v>
      </c>
      <c r="F26" s="8">
        <f t="shared" si="2"/>
        <v>699101.2277</v>
      </c>
      <c r="G26" s="8">
        <f t="shared" si="3"/>
        <v>1252898.772</v>
      </c>
      <c r="H26" s="8">
        <f t="shared" si="4"/>
        <v>68657224</v>
      </c>
      <c r="J26" s="5"/>
    </row>
    <row r="27" ht="15.75" customHeight="1">
      <c r="B27" s="2"/>
      <c r="C27" s="30">
        <v>46239.0</v>
      </c>
      <c r="D27" s="8">
        <f t="shared" si="1"/>
        <v>1951950.284</v>
      </c>
      <c r="E27" s="46"/>
      <c r="F27" s="8">
        <f t="shared" si="2"/>
        <v>686572.24</v>
      </c>
      <c r="G27" s="8">
        <f t="shared" si="3"/>
        <v>1265378.044</v>
      </c>
      <c r="H27" s="8">
        <f t="shared" si="4"/>
        <v>67391845.96</v>
      </c>
      <c r="J27" s="5"/>
    </row>
    <row r="28" ht="15.75" customHeight="1">
      <c r="B28" s="2"/>
      <c r="C28" s="30">
        <v>46270.0</v>
      </c>
      <c r="D28" s="8">
        <f t="shared" si="1"/>
        <v>1951950.284</v>
      </c>
      <c r="E28" s="46"/>
      <c r="F28" s="8">
        <f t="shared" si="2"/>
        <v>673918.4596</v>
      </c>
      <c r="G28" s="8">
        <f t="shared" si="3"/>
        <v>1278031.825</v>
      </c>
      <c r="H28" s="8">
        <f t="shared" si="4"/>
        <v>66113814.13</v>
      </c>
      <c r="J28" s="5"/>
    </row>
    <row r="29" ht="15.75" customHeight="1">
      <c r="B29" s="2"/>
      <c r="C29" s="30">
        <v>46300.0</v>
      </c>
      <c r="D29" s="8">
        <f t="shared" si="1"/>
        <v>1951950.284</v>
      </c>
      <c r="E29" s="46"/>
      <c r="F29" s="8">
        <f t="shared" si="2"/>
        <v>661138.1413</v>
      </c>
      <c r="G29" s="8">
        <f t="shared" si="3"/>
        <v>1290812.143</v>
      </c>
      <c r="H29" s="8">
        <f t="shared" si="4"/>
        <v>64823001.99</v>
      </c>
      <c r="J29" s="5"/>
    </row>
    <row r="30" ht="15.75" customHeight="1">
      <c r="B30" s="2"/>
      <c r="C30" s="30">
        <v>46331.0</v>
      </c>
      <c r="D30" s="8">
        <f t="shared" si="1"/>
        <v>1951950.284</v>
      </c>
      <c r="E30" s="46"/>
      <c r="F30" s="8">
        <f t="shared" si="2"/>
        <v>648230.0199</v>
      </c>
      <c r="G30" s="8">
        <f t="shared" si="3"/>
        <v>1303720.264</v>
      </c>
      <c r="H30" s="8">
        <f t="shared" si="4"/>
        <v>63519281.72</v>
      </c>
      <c r="J30" s="5"/>
    </row>
    <row r="31" ht="15.75" customHeight="1">
      <c r="B31" s="2"/>
      <c r="C31" s="30">
        <v>46361.0</v>
      </c>
      <c r="D31" s="8">
        <f t="shared" si="1"/>
        <v>1951950.284</v>
      </c>
      <c r="E31" s="46"/>
      <c r="F31" s="8">
        <f t="shared" si="2"/>
        <v>635192.8172</v>
      </c>
      <c r="G31" s="8">
        <f t="shared" si="3"/>
        <v>1316757.467</v>
      </c>
      <c r="H31" s="8">
        <f t="shared" si="4"/>
        <v>62202524.26</v>
      </c>
      <c r="J31" s="5"/>
    </row>
    <row r="32" ht="15.75" customHeight="1">
      <c r="B32" s="2"/>
      <c r="C32" s="30">
        <v>46392.0</v>
      </c>
      <c r="D32" s="8">
        <f t="shared" si="1"/>
        <v>1951950.284</v>
      </c>
      <c r="E32" s="46"/>
      <c r="F32" s="8">
        <f t="shared" si="2"/>
        <v>622025.2426</v>
      </c>
      <c r="G32" s="8">
        <f t="shared" si="3"/>
        <v>1329925.042</v>
      </c>
      <c r="H32" s="8">
        <f t="shared" si="4"/>
        <v>60872599.22</v>
      </c>
      <c r="J32" s="5"/>
    </row>
    <row r="33" ht="15.75" customHeight="1">
      <c r="B33" s="2"/>
      <c r="C33" s="30">
        <v>46423.0</v>
      </c>
      <c r="D33" s="8">
        <f t="shared" si="1"/>
        <v>1951950.284</v>
      </c>
      <c r="E33" s="46"/>
      <c r="F33" s="8">
        <f t="shared" si="2"/>
        <v>608725.9922</v>
      </c>
      <c r="G33" s="8">
        <f t="shared" si="3"/>
        <v>1343224.292</v>
      </c>
      <c r="H33" s="8">
        <f t="shared" si="4"/>
        <v>59529374.92</v>
      </c>
      <c r="J33" s="5"/>
    </row>
    <row r="34" ht="15.75" customHeight="1">
      <c r="B34" s="2"/>
      <c r="C34" s="30">
        <v>46451.0</v>
      </c>
      <c r="D34" s="8">
        <f t="shared" si="1"/>
        <v>1951950.284</v>
      </c>
      <c r="E34" s="46"/>
      <c r="F34" s="8">
        <f t="shared" si="2"/>
        <v>595293.7492</v>
      </c>
      <c r="G34" s="8">
        <f t="shared" si="3"/>
        <v>1356656.535</v>
      </c>
      <c r="H34" s="8">
        <f t="shared" si="4"/>
        <v>58172718.39</v>
      </c>
      <c r="J34" s="5"/>
    </row>
    <row r="35" ht="15.75" customHeight="1">
      <c r="B35" s="2"/>
      <c r="C35" s="30">
        <v>46482.0</v>
      </c>
      <c r="D35" s="8">
        <f t="shared" si="1"/>
        <v>1951950.284</v>
      </c>
      <c r="E35" s="46"/>
      <c r="F35" s="8">
        <f t="shared" si="2"/>
        <v>581727.1839</v>
      </c>
      <c r="G35" s="8">
        <f t="shared" si="3"/>
        <v>1370223.1</v>
      </c>
      <c r="H35" s="8">
        <f t="shared" si="4"/>
        <v>56802495.29</v>
      </c>
      <c r="J35" s="5"/>
    </row>
    <row r="36" ht="15.75" customHeight="1">
      <c r="B36" s="2"/>
      <c r="C36" s="30">
        <v>46512.0</v>
      </c>
      <c r="D36" s="8">
        <f t="shared" si="1"/>
        <v>1951950.284</v>
      </c>
      <c r="E36" s="46"/>
      <c r="F36" s="8">
        <f t="shared" si="2"/>
        <v>568024.9529</v>
      </c>
      <c r="G36" s="8">
        <f t="shared" si="3"/>
        <v>1383925.331</v>
      </c>
      <c r="H36" s="8">
        <f t="shared" si="4"/>
        <v>55418569.96</v>
      </c>
      <c r="J36" s="5"/>
    </row>
    <row r="37" ht="15.75" customHeight="1">
      <c r="B37" s="2"/>
      <c r="C37" s="30">
        <v>46543.0</v>
      </c>
      <c r="D37" s="8">
        <f t="shared" si="1"/>
        <v>1951950.284</v>
      </c>
      <c r="E37" s="46"/>
      <c r="F37" s="8">
        <f t="shared" si="2"/>
        <v>554185.6996</v>
      </c>
      <c r="G37" s="8">
        <f t="shared" si="3"/>
        <v>1397764.585</v>
      </c>
      <c r="H37" s="8">
        <f t="shared" si="4"/>
        <v>54020805.37</v>
      </c>
      <c r="J37" s="5"/>
    </row>
    <row r="38" ht="15.75" customHeight="1">
      <c r="B38" s="2"/>
      <c r="C38" s="30">
        <v>46573.0</v>
      </c>
      <c r="D38" s="8">
        <f t="shared" si="1"/>
        <v>1951950.284</v>
      </c>
      <c r="E38" s="46"/>
      <c r="F38" s="8">
        <f t="shared" si="2"/>
        <v>540208.0537</v>
      </c>
      <c r="G38" s="8">
        <f t="shared" si="3"/>
        <v>1411742.231</v>
      </c>
      <c r="H38" s="8">
        <f t="shared" si="4"/>
        <v>52609063.14</v>
      </c>
      <c r="J38" s="5"/>
    </row>
    <row r="39" ht="15.75" customHeight="1">
      <c r="B39" s="2"/>
      <c r="C39" s="30">
        <v>46604.0</v>
      </c>
      <c r="D39" s="8">
        <f t="shared" si="1"/>
        <v>1951950.284</v>
      </c>
      <c r="E39" s="46"/>
      <c r="F39" s="8">
        <f t="shared" si="2"/>
        <v>526090.6314</v>
      </c>
      <c r="G39" s="8">
        <f t="shared" si="3"/>
        <v>1425859.653</v>
      </c>
      <c r="H39" s="8">
        <f t="shared" si="4"/>
        <v>51183203.49</v>
      </c>
      <c r="J39" s="5"/>
    </row>
    <row r="40" ht="15.75" customHeight="1">
      <c r="B40" s="2"/>
      <c r="C40" s="30">
        <v>46635.0</v>
      </c>
      <c r="D40" s="8">
        <f t="shared" si="1"/>
        <v>1951950.284</v>
      </c>
      <c r="E40" s="46"/>
      <c r="F40" s="8">
        <f t="shared" si="2"/>
        <v>511832.0349</v>
      </c>
      <c r="G40" s="8">
        <f t="shared" si="3"/>
        <v>1440118.249</v>
      </c>
      <c r="H40" s="8">
        <f t="shared" si="4"/>
        <v>49743085.24</v>
      </c>
      <c r="J40" s="5"/>
    </row>
    <row r="41" ht="15.75" customHeight="1">
      <c r="B41" s="2"/>
      <c r="C41" s="30">
        <v>46665.0</v>
      </c>
      <c r="D41" s="8">
        <f t="shared" si="1"/>
        <v>1951950.284</v>
      </c>
      <c r="E41" s="46"/>
      <c r="F41" s="8">
        <f t="shared" si="2"/>
        <v>497430.8524</v>
      </c>
      <c r="G41" s="8">
        <f t="shared" si="3"/>
        <v>1454519.432</v>
      </c>
      <c r="H41" s="8">
        <f t="shared" si="4"/>
        <v>48288565.81</v>
      </c>
      <c r="J41" s="5"/>
    </row>
    <row r="42" ht="15.75" customHeight="1">
      <c r="B42" s="2"/>
      <c r="C42" s="30">
        <v>46696.0</v>
      </c>
      <c r="D42" s="8">
        <f t="shared" si="1"/>
        <v>1951950.284</v>
      </c>
      <c r="E42" s="46"/>
      <c r="F42" s="8">
        <f t="shared" si="2"/>
        <v>482885.6581</v>
      </c>
      <c r="G42" s="8">
        <f t="shared" si="3"/>
        <v>1469064.626</v>
      </c>
      <c r="H42" s="8">
        <f t="shared" si="4"/>
        <v>46819501.18</v>
      </c>
      <c r="J42" s="5"/>
    </row>
    <row r="43" ht="15.75" customHeight="1">
      <c r="B43" s="2"/>
      <c r="C43" s="30">
        <v>46726.0</v>
      </c>
      <c r="D43" s="8">
        <f t="shared" si="1"/>
        <v>1951950.284</v>
      </c>
      <c r="E43" s="46"/>
      <c r="F43" s="8">
        <f t="shared" si="2"/>
        <v>468195.0118</v>
      </c>
      <c r="G43" s="8">
        <f t="shared" si="3"/>
        <v>1483755.273</v>
      </c>
      <c r="H43" s="8">
        <f t="shared" si="4"/>
        <v>45335745.91</v>
      </c>
      <c r="J43" s="5"/>
    </row>
    <row r="44" ht="15.75" customHeight="1">
      <c r="B44" s="2"/>
      <c r="C44" s="30">
        <v>46757.0</v>
      </c>
      <c r="D44" s="8">
        <f t="shared" si="1"/>
        <v>1951950.284</v>
      </c>
      <c r="E44" s="46"/>
      <c r="F44" s="8">
        <f t="shared" si="2"/>
        <v>453357.4591</v>
      </c>
      <c r="G44" s="8">
        <f t="shared" si="3"/>
        <v>1498592.825</v>
      </c>
      <c r="H44" s="8">
        <f t="shared" si="4"/>
        <v>43837153.08</v>
      </c>
      <c r="J44" s="5"/>
    </row>
    <row r="45" ht="15.75" customHeight="1">
      <c r="B45" s="2"/>
      <c r="C45" s="30">
        <v>46788.0</v>
      </c>
      <c r="D45" s="8">
        <f t="shared" si="1"/>
        <v>1951950.284</v>
      </c>
      <c r="E45" s="46"/>
      <c r="F45" s="8">
        <f t="shared" si="2"/>
        <v>438371.5308</v>
      </c>
      <c r="G45" s="8">
        <f t="shared" si="3"/>
        <v>1513578.754</v>
      </c>
      <c r="H45" s="8">
        <f t="shared" si="4"/>
        <v>42323574.33</v>
      </c>
      <c r="J45" s="5"/>
    </row>
    <row r="46" ht="15.75" customHeight="1">
      <c r="B46" s="2"/>
      <c r="C46" s="30">
        <v>46817.0</v>
      </c>
      <c r="D46" s="8">
        <f t="shared" si="1"/>
        <v>1951950.284</v>
      </c>
      <c r="E46" s="46"/>
      <c r="F46" s="8">
        <f t="shared" si="2"/>
        <v>423235.7433</v>
      </c>
      <c r="G46" s="8">
        <f t="shared" si="3"/>
        <v>1528714.541</v>
      </c>
      <c r="H46" s="8">
        <f t="shared" si="4"/>
        <v>40794859.79</v>
      </c>
      <c r="J46" s="5"/>
    </row>
    <row r="47" ht="15.75" customHeight="1">
      <c r="B47" s="2"/>
      <c r="C47" s="30">
        <v>46848.0</v>
      </c>
      <c r="D47" s="8">
        <f t="shared" si="1"/>
        <v>1951950.284</v>
      </c>
      <c r="E47" s="46"/>
      <c r="F47" s="8">
        <f t="shared" si="2"/>
        <v>407948.5979</v>
      </c>
      <c r="G47" s="8">
        <f t="shared" si="3"/>
        <v>1544001.686</v>
      </c>
      <c r="H47" s="8">
        <f t="shared" si="4"/>
        <v>39250858.1</v>
      </c>
      <c r="J47" s="5"/>
    </row>
    <row r="48" ht="15.75" customHeight="1">
      <c r="B48" s="2"/>
      <c r="C48" s="30">
        <v>46878.0</v>
      </c>
      <c r="D48" s="8">
        <f t="shared" si="1"/>
        <v>1951950.284</v>
      </c>
      <c r="E48" s="46"/>
      <c r="F48" s="8">
        <f t="shared" si="2"/>
        <v>392508.581</v>
      </c>
      <c r="G48" s="8">
        <f t="shared" si="3"/>
        <v>1559441.703</v>
      </c>
      <c r="H48" s="8">
        <f t="shared" si="4"/>
        <v>37691416.4</v>
      </c>
      <c r="J48" s="5"/>
    </row>
    <row r="49" ht="15.75" customHeight="1">
      <c r="B49" s="2"/>
      <c r="C49" s="30">
        <v>46909.0</v>
      </c>
      <c r="D49" s="8">
        <f t="shared" si="1"/>
        <v>1951950.284</v>
      </c>
      <c r="E49" s="46"/>
      <c r="F49" s="8">
        <f t="shared" si="2"/>
        <v>376914.164</v>
      </c>
      <c r="G49" s="8">
        <f t="shared" si="3"/>
        <v>1575036.12</v>
      </c>
      <c r="H49" s="8">
        <f t="shared" si="4"/>
        <v>36116380.28</v>
      </c>
      <c r="J49" s="5"/>
    </row>
    <row r="50" ht="15.75" customHeight="1">
      <c r="B50" s="2"/>
      <c r="C50" s="30">
        <v>46939.0</v>
      </c>
      <c r="D50" s="8">
        <f t="shared" si="1"/>
        <v>1951950.284</v>
      </c>
      <c r="E50" s="46"/>
      <c r="F50" s="8">
        <f t="shared" si="2"/>
        <v>361163.8028</v>
      </c>
      <c r="G50" s="8">
        <f t="shared" si="3"/>
        <v>1590786.482</v>
      </c>
      <c r="H50" s="8">
        <f t="shared" si="4"/>
        <v>34525593.8</v>
      </c>
      <c r="J50" s="5"/>
    </row>
    <row r="51" ht="15.75" customHeight="1">
      <c r="B51" s="2"/>
      <c r="C51" s="30">
        <v>46970.0</v>
      </c>
      <c r="D51" s="8">
        <f t="shared" si="1"/>
        <v>1951950.284</v>
      </c>
      <c r="E51" s="46"/>
      <c r="F51" s="8">
        <f t="shared" si="2"/>
        <v>345255.938</v>
      </c>
      <c r="G51" s="8">
        <f t="shared" si="3"/>
        <v>1606694.346</v>
      </c>
      <c r="H51" s="8">
        <f t="shared" si="4"/>
        <v>32918899.45</v>
      </c>
      <c r="J51" s="5"/>
    </row>
    <row r="52" ht="15.75" customHeight="1">
      <c r="B52" s="2"/>
      <c r="C52" s="30">
        <v>47001.0</v>
      </c>
      <c r="D52" s="8">
        <f t="shared" si="1"/>
        <v>1951950.284</v>
      </c>
      <c r="E52" s="46"/>
      <c r="F52" s="8">
        <f t="shared" si="2"/>
        <v>329188.9945</v>
      </c>
      <c r="G52" s="8">
        <f t="shared" si="3"/>
        <v>1622761.29</v>
      </c>
      <c r="H52" s="8">
        <f t="shared" si="4"/>
        <v>31296138.16</v>
      </c>
      <c r="J52" s="5"/>
    </row>
    <row r="53" ht="15.75" customHeight="1">
      <c r="B53" s="2"/>
      <c r="C53" s="30">
        <v>47031.0</v>
      </c>
      <c r="D53" s="8">
        <f t="shared" si="1"/>
        <v>1951950.284</v>
      </c>
      <c r="E53" s="46"/>
      <c r="F53" s="8">
        <f t="shared" si="2"/>
        <v>312961.3816</v>
      </c>
      <c r="G53" s="8">
        <f t="shared" si="3"/>
        <v>1638988.903</v>
      </c>
      <c r="H53" s="8">
        <f t="shared" si="4"/>
        <v>29657149.26</v>
      </c>
      <c r="J53" s="5"/>
    </row>
    <row r="54" ht="15.75" customHeight="1">
      <c r="B54" s="2"/>
      <c r="C54" s="30">
        <v>47062.0</v>
      </c>
      <c r="D54" s="8">
        <f t="shared" si="1"/>
        <v>1951950.284</v>
      </c>
      <c r="E54" s="46"/>
      <c r="F54" s="8">
        <f t="shared" si="2"/>
        <v>296571.4926</v>
      </c>
      <c r="G54" s="8">
        <f t="shared" si="3"/>
        <v>1655378.792</v>
      </c>
      <c r="H54" s="8">
        <f t="shared" si="4"/>
        <v>28001770.47</v>
      </c>
      <c r="J54" s="5"/>
    </row>
    <row r="55" ht="15.75" customHeight="1">
      <c r="B55" s="2"/>
      <c r="C55" s="30">
        <v>47092.0</v>
      </c>
      <c r="D55" s="8">
        <f t="shared" si="1"/>
        <v>1951950.284</v>
      </c>
      <c r="E55" s="46"/>
      <c r="F55" s="8">
        <f t="shared" si="2"/>
        <v>280017.7047</v>
      </c>
      <c r="G55" s="8">
        <f t="shared" si="3"/>
        <v>1671932.58</v>
      </c>
      <c r="H55" s="8">
        <f t="shared" si="4"/>
        <v>26329837.89</v>
      </c>
      <c r="J55" s="5"/>
    </row>
    <row r="56" ht="15.75" customHeight="1">
      <c r="B56" s="2"/>
      <c r="C56" s="30">
        <v>47123.0</v>
      </c>
      <c r="D56" s="8">
        <f t="shared" si="1"/>
        <v>1951950.284</v>
      </c>
      <c r="E56" s="46"/>
      <c r="F56" s="8">
        <f t="shared" si="2"/>
        <v>263298.3789</v>
      </c>
      <c r="G56" s="8">
        <f t="shared" si="3"/>
        <v>1688651.905</v>
      </c>
      <c r="H56" s="8">
        <f t="shared" si="4"/>
        <v>24641185.98</v>
      </c>
      <c r="J56" s="5"/>
    </row>
    <row r="57" ht="15.75" customHeight="1">
      <c r="B57" s="2"/>
      <c r="C57" s="30">
        <v>47154.0</v>
      </c>
      <c r="D57" s="8">
        <f t="shared" si="1"/>
        <v>1951950.284</v>
      </c>
      <c r="E57" s="46"/>
      <c r="F57" s="8">
        <f t="shared" si="2"/>
        <v>246411.8598</v>
      </c>
      <c r="G57" s="8">
        <f t="shared" si="3"/>
        <v>1705538.425</v>
      </c>
      <c r="H57" s="8">
        <f t="shared" si="4"/>
        <v>22935647.56</v>
      </c>
      <c r="J57" s="5"/>
    </row>
    <row r="58" ht="15.75" customHeight="1">
      <c r="B58" s="2"/>
      <c r="C58" s="30">
        <v>47182.0</v>
      </c>
      <c r="D58" s="8">
        <f t="shared" si="1"/>
        <v>1951950.284</v>
      </c>
      <c r="E58" s="46"/>
      <c r="F58" s="8">
        <f t="shared" si="2"/>
        <v>229356.4756</v>
      </c>
      <c r="G58" s="8">
        <f t="shared" si="3"/>
        <v>1722593.809</v>
      </c>
      <c r="H58" s="8">
        <f t="shared" si="4"/>
        <v>21213053.75</v>
      </c>
      <c r="J58" s="5"/>
    </row>
    <row r="59" ht="15.75" customHeight="1">
      <c r="B59" s="2"/>
      <c r="C59" s="30">
        <v>47213.0</v>
      </c>
      <c r="D59" s="8">
        <f t="shared" si="1"/>
        <v>1951950.284</v>
      </c>
      <c r="E59" s="46"/>
      <c r="F59" s="8">
        <f t="shared" si="2"/>
        <v>212130.5375</v>
      </c>
      <c r="G59" s="8">
        <f t="shared" si="3"/>
        <v>1739819.747</v>
      </c>
      <c r="H59" s="8">
        <f t="shared" si="4"/>
        <v>19473234</v>
      </c>
      <c r="J59" s="5"/>
    </row>
    <row r="60" ht="15.75" customHeight="1">
      <c r="B60" s="2"/>
      <c r="C60" s="30">
        <v>47243.0</v>
      </c>
      <c r="D60" s="8">
        <f t="shared" si="1"/>
        <v>1951950.284</v>
      </c>
      <c r="E60" s="46"/>
      <c r="F60" s="8">
        <f t="shared" si="2"/>
        <v>194732.34</v>
      </c>
      <c r="G60" s="8">
        <f t="shared" si="3"/>
        <v>1757217.944</v>
      </c>
      <c r="H60" s="8">
        <f t="shared" si="4"/>
        <v>17716016.06</v>
      </c>
      <c r="J60" s="5"/>
    </row>
    <row r="61" ht="15.75" customHeight="1">
      <c r="B61" s="2"/>
      <c r="C61" s="30">
        <v>47274.0</v>
      </c>
      <c r="D61" s="8">
        <f t="shared" si="1"/>
        <v>1951950.284</v>
      </c>
      <c r="E61" s="46"/>
      <c r="F61" s="8">
        <f t="shared" si="2"/>
        <v>177160.1606</v>
      </c>
      <c r="G61" s="8">
        <f t="shared" si="3"/>
        <v>1774790.124</v>
      </c>
      <c r="H61" s="8">
        <f t="shared" si="4"/>
        <v>15941225.93</v>
      </c>
      <c r="J61" s="5"/>
    </row>
    <row r="62" ht="15.75" customHeight="1">
      <c r="B62" s="2"/>
      <c r="C62" s="30">
        <v>47304.0</v>
      </c>
      <c r="D62" s="8">
        <f t="shared" si="1"/>
        <v>1951950.284</v>
      </c>
      <c r="E62" s="46"/>
      <c r="F62" s="8">
        <f t="shared" si="2"/>
        <v>159412.2593</v>
      </c>
      <c r="G62" s="8">
        <f t="shared" si="3"/>
        <v>1792538.025</v>
      </c>
      <c r="H62" s="8">
        <f t="shared" si="4"/>
        <v>14148687.91</v>
      </c>
      <c r="J62" s="5"/>
    </row>
    <row r="63" ht="15.75" customHeight="1">
      <c r="B63" s="2"/>
      <c r="C63" s="30">
        <v>47335.0</v>
      </c>
      <c r="D63" s="8">
        <f t="shared" si="1"/>
        <v>1951950.284</v>
      </c>
      <c r="E63" s="46"/>
      <c r="F63" s="8">
        <f t="shared" si="2"/>
        <v>141486.8791</v>
      </c>
      <c r="G63" s="8">
        <f t="shared" si="3"/>
        <v>1810463.405</v>
      </c>
      <c r="H63" s="8">
        <f t="shared" si="4"/>
        <v>12338224.5</v>
      </c>
      <c r="J63" s="5"/>
    </row>
    <row r="64" ht="15.75" customHeight="1">
      <c r="B64" s="2"/>
      <c r="C64" s="30">
        <v>47366.0</v>
      </c>
      <c r="D64" s="8">
        <f t="shared" si="1"/>
        <v>1951950.284</v>
      </c>
      <c r="E64" s="46"/>
      <c r="F64" s="8">
        <f t="shared" si="2"/>
        <v>123382.245</v>
      </c>
      <c r="G64" s="8">
        <f t="shared" si="3"/>
        <v>1828568.039</v>
      </c>
      <c r="H64" s="8">
        <f t="shared" si="4"/>
        <v>10509656.46</v>
      </c>
      <c r="J64" s="5"/>
    </row>
    <row r="65" ht="15.75" customHeight="1">
      <c r="B65" s="2"/>
      <c r="C65" s="30">
        <v>47396.0</v>
      </c>
      <c r="D65" s="8">
        <f t="shared" si="1"/>
        <v>1951950.284</v>
      </c>
      <c r="E65" s="46"/>
      <c r="F65" s="8">
        <f t="shared" si="2"/>
        <v>105096.5646</v>
      </c>
      <c r="G65" s="8">
        <f t="shared" si="3"/>
        <v>1846853.72</v>
      </c>
      <c r="H65" s="8">
        <f t="shared" si="4"/>
        <v>8662802.742</v>
      </c>
      <c r="J65" s="5"/>
    </row>
    <row r="66" ht="15.75" customHeight="1">
      <c r="B66" s="2"/>
      <c r="C66" s="30">
        <v>47427.0</v>
      </c>
      <c r="D66" s="8">
        <f t="shared" si="1"/>
        <v>1951950.284</v>
      </c>
      <c r="E66" s="46"/>
      <c r="F66" s="8">
        <f t="shared" si="2"/>
        <v>86628.02742</v>
      </c>
      <c r="G66" s="8">
        <f t="shared" si="3"/>
        <v>1865322.257</v>
      </c>
      <c r="H66" s="8">
        <f t="shared" si="4"/>
        <v>6797480.485</v>
      </c>
      <c r="J66" s="5"/>
    </row>
    <row r="67" ht="15.75" customHeight="1">
      <c r="B67" s="2"/>
      <c r="C67" s="30">
        <v>47457.0</v>
      </c>
      <c r="D67" s="8">
        <f t="shared" si="1"/>
        <v>1951950.284</v>
      </c>
      <c r="E67" s="46"/>
      <c r="F67" s="8">
        <f t="shared" si="2"/>
        <v>67974.80485</v>
      </c>
      <c r="G67" s="8">
        <f t="shared" si="3"/>
        <v>1883975.479</v>
      </c>
      <c r="H67" s="8">
        <f t="shared" si="4"/>
        <v>4913505.006</v>
      </c>
      <c r="J67" s="5"/>
    </row>
    <row r="68" ht="15.75" customHeight="1">
      <c r="B68" s="2"/>
      <c r="C68" s="30">
        <v>47488.0</v>
      </c>
      <c r="D68" s="8">
        <f t="shared" si="1"/>
        <v>1951950.284</v>
      </c>
      <c r="E68" s="46"/>
      <c r="F68" s="8">
        <f t="shared" si="2"/>
        <v>49135.05006</v>
      </c>
      <c r="G68" s="8">
        <f t="shared" si="3"/>
        <v>1902815.234</v>
      </c>
      <c r="H68" s="8">
        <f t="shared" si="4"/>
        <v>3010689.771</v>
      </c>
      <c r="J68" s="5"/>
    </row>
    <row r="69" ht="15.75" customHeight="1">
      <c r="B69" s="2"/>
      <c r="C69" s="30">
        <v>47519.0</v>
      </c>
      <c r="D69" s="8">
        <f t="shared" si="1"/>
        <v>1951950.284</v>
      </c>
      <c r="E69" s="46"/>
      <c r="F69" s="8">
        <f t="shared" si="2"/>
        <v>30106.89771</v>
      </c>
      <c r="G69" s="8">
        <f t="shared" si="3"/>
        <v>1921843.387</v>
      </c>
      <c r="H69" s="8">
        <f t="shared" si="4"/>
        <v>1088846.385</v>
      </c>
      <c r="J69" s="5"/>
    </row>
    <row r="70" ht="15.75" customHeight="1">
      <c r="B70" s="2"/>
      <c r="C70" s="30">
        <v>47547.0</v>
      </c>
      <c r="D70" s="8">
        <f t="shared" si="1"/>
        <v>1951950.284</v>
      </c>
      <c r="E70" s="46"/>
      <c r="F70" s="8">
        <f t="shared" si="2"/>
        <v>10888.46385</v>
      </c>
      <c r="G70" s="8">
        <f t="shared" si="3"/>
        <v>1941061.821</v>
      </c>
      <c r="H70" s="8">
        <f t="shared" si="4"/>
        <v>-852215.4358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545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15" t="s">
        <v>548</v>
      </c>
      <c r="H7" s="5"/>
      <c r="J7" s="5"/>
    </row>
    <row r="8" ht="15.75" customHeight="1">
      <c r="B8" s="2"/>
      <c r="C8" s="1" t="s">
        <v>16</v>
      </c>
      <c r="D8" s="2">
        <v>1.130680317E9</v>
      </c>
      <c r="H8" s="5"/>
      <c r="I8" s="17"/>
      <c r="J8" s="19"/>
      <c r="K8" s="17"/>
      <c r="L8" s="21" t="s">
        <v>549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45756.0</v>
      </c>
      <c r="B11" s="2" t="s">
        <v>554</v>
      </c>
      <c r="C11" s="30">
        <v>45757.0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45656.0</v>
      </c>
      <c r="M11" s="34" t="s">
        <v>242</v>
      </c>
      <c r="N11" s="35" t="s">
        <v>557</v>
      </c>
      <c r="O11" s="36"/>
      <c r="P11" s="36">
        <v>1000000.0</v>
      </c>
      <c r="Q11" s="36"/>
      <c r="R11" s="36"/>
      <c r="S11" s="36">
        <f t="shared" ref="S11:S28" si="5">SUM(O11:R11)</f>
        <v>1000000</v>
      </c>
      <c r="T11" s="36">
        <f t="shared" ref="T11:T28" si="6">T10-S11</f>
        <v>125867017</v>
      </c>
      <c r="U11" s="34"/>
    </row>
    <row r="12" ht="15.75" customHeight="1">
      <c r="A12" s="29">
        <v>45786.0</v>
      </c>
      <c r="B12" s="2" t="s">
        <v>559</v>
      </c>
      <c r="C12" s="30">
        <v>45787.0</v>
      </c>
      <c r="D12" s="8">
        <f t="shared" si="1"/>
        <v>1951950.284</v>
      </c>
      <c r="E12" s="15"/>
      <c r="F12" s="8">
        <f t="shared" si="2"/>
        <v>866755.4972</v>
      </c>
      <c r="G12" s="8">
        <f t="shared" si="3"/>
        <v>1085194.787</v>
      </c>
      <c r="H12" s="8">
        <f t="shared" si="4"/>
        <v>85590354.93</v>
      </c>
      <c r="J12" s="5"/>
      <c r="L12" s="33">
        <v>45665.0</v>
      </c>
      <c r="M12" s="34" t="s">
        <v>242</v>
      </c>
      <c r="N12" s="35" t="s">
        <v>560</v>
      </c>
      <c r="O12" s="36"/>
      <c r="P12" s="36">
        <v>4000000.0</v>
      </c>
      <c r="Q12" s="36"/>
      <c r="R12" s="36"/>
      <c r="S12" s="36">
        <f t="shared" si="5"/>
        <v>4000000</v>
      </c>
      <c r="T12" s="36">
        <f t="shared" si="6"/>
        <v>121867017</v>
      </c>
      <c r="U12" s="34"/>
    </row>
    <row r="13" ht="15.75" customHeight="1">
      <c r="A13" s="29">
        <v>45818.0</v>
      </c>
      <c r="B13" s="2" t="s">
        <v>561</v>
      </c>
      <c r="C13" s="30">
        <v>45818.0</v>
      </c>
      <c r="D13" s="8">
        <f t="shared" si="1"/>
        <v>1951950.284</v>
      </c>
      <c r="E13" s="15"/>
      <c r="F13" s="8">
        <f t="shared" si="2"/>
        <v>855903.5493</v>
      </c>
      <c r="G13" s="8">
        <f t="shared" si="3"/>
        <v>1096046.735</v>
      </c>
      <c r="H13" s="8">
        <f t="shared" si="4"/>
        <v>84494308.19</v>
      </c>
      <c r="J13" s="5" t="s">
        <v>56</v>
      </c>
      <c r="L13" s="33">
        <v>45667.0</v>
      </c>
      <c r="M13" s="34" t="s">
        <v>242</v>
      </c>
      <c r="N13" s="35" t="s">
        <v>556</v>
      </c>
      <c r="O13" s="36"/>
      <c r="P13" s="36">
        <v>5000000.0</v>
      </c>
      <c r="Q13" s="36"/>
      <c r="R13" s="36"/>
      <c r="S13" s="36">
        <f t="shared" si="5"/>
        <v>5000000</v>
      </c>
      <c r="T13" s="36">
        <f t="shared" si="6"/>
        <v>116867017</v>
      </c>
      <c r="U13" s="34"/>
    </row>
    <row r="14" ht="15.75" customHeight="1">
      <c r="A14" s="29">
        <v>45848.0</v>
      </c>
      <c r="B14" s="2" t="s">
        <v>564</v>
      </c>
      <c r="C14" s="30">
        <v>45848.0</v>
      </c>
      <c r="D14" s="8">
        <f t="shared" si="1"/>
        <v>1951950.284</v>
      </c>
      <c r="E14" s="15"/>
      <c r="F14" s="8">
        <f t="shared" si="2"/>
        <v>844943.0819</v>
      </c>
      <c r="G14" s="8">
        <f t="shared" si="3"/>
        <v>1107007.202</v>
      </c>
      <c r="H14" s="8">
        <f t="shared" si="4"/>
        <v>83387300.99</v>
      </c>
      <c r="J14" s="8">
        <f>+H10</f>
        <v>87750000</v>
      </c>
      <c r="L14" s="33">
        <v>45756.0</v>
      </c>
      <c r="M14" s="34" t="s">
        <v>73</v>
      </c>
      <c r="N14" s="35" t="s">
        <v>554</v>
      </c>
      <c r="O14" s="36"/>
      <c r="P14" s="36">
        <v>1951950.0</v>
      </c>
      <c r="Q14" s="36"/>
      <c r="R14" s="36"/>
      <c r="S14" s="36">
        <f t="shared" si="5"/>
        <v>1951950</v>
      </c>
      <c r="T14" s="36">
        <f t="shared" si="6"/>
        <v>114915067</v>
      </c>
      <c r="U14" s="34"/>
    </row>
    <row r="15" ht="15.75" customHeight="1">
      <c r="A15" s="29">
        <v>45877.0</v>
      </c>
      <c r="B15" s="2" t="s">
        <v>566</v>
      </c>
      <c r="C15" s="30">
        <v>45879.0</v>
      </c>
      <c r="D15" s="8">
        <f t="shared" si="1"/>
        <v>1951950.284</v>
      </c>
      <c r="E15" s="15"/>
      <c r="F15" s="8">
        <f t="shared" si="2"/>
        <v>833873.0099</v>
      </c>
      <c r="G15" s="8">
        <f t="shared" si="3"/>
        <v>1118077.274</v>
      </c>
      <c r="H15" s="8">
        <f t="shared" si="4"/>
        <v>82269223.72</v>
      </c>
      <c r="J15" s="5"/>
      <c r="L15" s="33">
        <v>45786.0</v>
      </c>
      <c r="M15" s="34" t="s">
        <v>78</v>
      </c>
      <c r="N15" s="35" t="s">
        <v>559</v>
      </c>
      <c r="O15" s="36"/>
      <c r="P15" s="36">
        <v>1951950.0</v>
      </c>
      <c r="Q15" s="36"/>
      <c r="R15" s="36"/>
      <c r="S15" s="36">
        <f t="shared" si="5"/>
        <v>1951950</v>
      </c>
      <c r="T15" s="36">
        <f t="shared" si="6"/>
        <v>112963117</v>
      </c>
      <c r="U15" s="34"/>
    </row>
    <row r="16" ht="15.75" customHeight="1">
      <c r="A16" s="29">
        <v>45909.0</v>
      </c>
      <c r="B16" s="2" t="s">
        <v>568</v>
      </c>
      <c r="C16" s="30">
        <v>45910.0</v>
      </c>
      <c r="D16" s="8">
        <f t="shared" si="1"/>
        <v>1951950.284</v>
      </c>
      <c r="E16" s="15"/>
      <c r="F16" s="8">
        <f t="shared" si="2"/>
        <v>822692.2372</v>
      </c>
      <c r="G16" s="8">
        <f t="shared" si="3"/>
        <v>1129258.047</v>
      </c>
      <c r="H16" s="8">
        <f t="shared" si="4"/>
        <v>81139965.67</v>
      </c>
      <c r="J16" s="5"/>
      <c r="L16" s="33">
        <v>45818.0</v>
      </c>
      <c r="M16" s="34" t="s">
        <v>83</v>
      </c>
      <c r="N16" s="35" t="s">
        <v>561</v>
      </c>
      <c r="O16" s="36"/>
      <c r="P16" s="36">
        <v>1951950.0</v>
      </c>
      <c r="Q16" s="36"/>
      <c r="R16" s="36"/>
      <c r="S16" s="36">
        <f t="shared" si="5"/>
        <v>1951950</v>
      </c>
      <c r="T16" s="36">
        <f t="shared" si="6"/>
        <v>111011167</v>
      </c>
      <c r="U16" s="34"/>
    </row>
    <row r="17" ht="15.75" customHeight="1">
      <c r="A17" s="29">
        <v>45939.0</v>
      </c>
      <c r="B17" s="2" t="s">
        <v>571</v>
      </c>
      <c r="C17" s="30">
        <v>45940.0</v>
      </c>
      <c r="D17" s="8">
        <f t="shared" si="1"/>
        <v>1951950.284</v>
      </c>
      <c r="E17" s="15"/>
      <c r="F17" s="8">
        <f t="shared" si="2"/>
        <v>811399.6567</v>
      </c>
      <c r="G17" s="8">
        <f t="shared" si="3"/>
        <v>1140550.628</v>
      </c>
      <c r="H17" s="8">
        <f t="shared" si="4"/>
        <v>79999415.04</v>
      </c>
      <c r="J17" s="5"/>
      <c r="L17" s="33">
        <v>45848.0</v>
      </c>
      <c r="M17" s="34" t="s">
        <v>85</v>
      </c>
      <c r="N17" s="35" t="s">
        <v>564</v>
      </c>
      <c r="O17" s="36"/>
      <c r="P17" s="36">
        <v>1951950.0</v>
      </c>
      <c r="Q17" s="36"/>
      <c r="R17" s="36"/>
      <c r="S17" s="36">
        <f t="shared" si="5"/>
        <v>1951950</v>
      </c>
      <c r="T17" s="36">
        <f t="shared" si="6"/>
        <v>109059217</v>
      </c>
      <c r="U17" s="34"/>
    </row>
    <row r="18" ht="15.75" customHeight="1">
      <c r="A18" s="29">
        <v>45971.0</v>
      </c>
      <c r="B18" s="2" t="s">
        <v>572</v>
      </c>
      <c r="C18" s="30">
        <v>45971.0</v>
      </c>
      <c r="D18" s="8">
        <f t="shared" si="1"/>
        <v>1951950.284</v>
      </c>
      <c r="E18" s="15"/>
      <c r="F18" s="8">
        <f t="shared" si="2"/>
        <v>799994.1504</v>
      </c>
      <c r="G18" s="8">
        <f t="shared" si="3"/>
        <v>1151956.134</v>
      </c>
      <c r="H18" s="8">
        <f t="shared" si="4"/>
        <v>78847458.91</v>
      </c>
      <c r="J18" s="5"/>
      <c r="L18" s="33">
        <v>45877.0</v>
      </c>
      <c r="M18" s="34" t="s">
        <v>89</v>
      </c>
      <c r="N18" s="35" t="s">
        <v>566</v>
      </c>
      <c r="O18" s="36"/>
      <c r="P18" s="36">
        <v>1951950.0</v>
      </c>
      <c r="Q18" s="36"/>
      <c r="R18" s="36"/>
      <c r="S18" s="36">
        <f t="shared" si="5"/>
        <v>1951950</v>
      </c>
      <c r="T18" s="36">
        <f t="shared" si="6"/>
        <v>107107267</v>
      </c>
      <c r="U18" s="34"/>
    </row>
    <row r="19" ht="15.75" customHeight="1">
      <c r="A19" s="29">
        <v>46001.0</v>
      </c>
      <c r="B19" s="2" t="s">
        <v>574</v>
      </c>
      <c r="C19" s="30">
        <v>46001.0</v>
      </c>
      <c r="D19" s="8">
        <f t="shared" si="1"/>
        <v>1951950.284</v>
      </c>
      <c r="E19" s="15"/>
      <c r="F19" s="8">
        <f t="shared" si="2"/>
        <v>788474.5891</v>
      </c>
      <c r="G19" s="8">
        <f t="shared" si="3"/>
        <v>1163475.695</v>
      </c>
      <c r="H19" s="8">
        <f t="shared" si="4"/>
        <v>77683983.21</v>
      </c>
      <c r="I19" s="1"/>
      <c r="J19" s="41"/>
      <c r="K19" s="1"/>
      <c r="L19" s="42">
        <v>45909.0</v>
      </c>
      <c r="M19" s="43" t="s">
        <v>93</v>
      </c>
      <c r="N19" s="44" t="s">
        <v>568</v>
      </c>
      <c r="O19" s="45"/>
      <c r="P19" s="45">
        <v>1951950.0</v>
      </c>
      <c r="Q19" s="45"/>
      <c r="R19" s="45"/>
      <c r="S19" s="45">
        <f t="shared" si="5"/>
        <v>1951950</v>
      </c>
      <c r="T19" s="45">
        <f t="shared" si="6"/>
        <v>105155317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46032.0</v>
      </c>
      <c r="B20" s="2" t="s">
        <v>575</v>
      </c>
      <c r="C20" s="30">
        <v>46032.0</v>
      </c>
      <c r="D20" s="8">
        <f t="shared" si="1"/>
        <v>1951950.284</v>
      </c>
      <c r="E20" s="15"/>
      <c r="F20" s="8">
        <f t="shared" si="2"/>
        <v>776839.8321</v>
      </c>
      <c r="G20" s="8">
        <f t="shared" si="3"/>
        <v>1175110.452</v>
      </c>
      <c r="H20" s="8">
        <f t="shared" si="4"/>
        <v>76508872.76</v>
      </c>
      <c r="J20" s="5"/>
      <c r="L20" s="33">
        <v>45939.0</v>
      </c>
      <c r="M20" s="34" t="s">
        <v>96</v>
      </c>
      <c r="N20" s="35" t="s">
        <v>571</v>
      </c>
      <c r="O20" s="36"/>
      <c r="P20" s="36">
        <v>1951950.0</v>
      </c>
      <c r="Q20" s="36"/>
      <c r="R20" s="36"/>
      <c r="S20" s="36">
        <f t="shared" si="5"/>
        <v>1951950</v>
      </c>
      <c r="T20" s="36">
        <f t="shared" si="6"/>
        <v>103203367</v>
      </c>
      <c r="U20" s="34"/>
    </row>
    <row r="21" ht="15.75" customHeight="1">
      <c r="A21" s="29">
        <v>46062.0</v>
      </c>
      <c r="B21" s="2" t="s">
        <v>576</v>
      </c>
      <c r="C21" s="30">
        <v>46063.0</v>
      </c>
      <c r="D21" s="8">
        <f t="shared" si="1"/>
        <v>1951950.284</v>
      </c>
      <c r="E21" s="15"/>
      <c r="F21" s="8">
        <f t="shared" si="2"/>
        <v>765088.7276</v>
      </c>
      <c r="G21" s="8">
        <f t="shared" si="3"/>
        <v>1186861.557</v>
      </c>
      <c r="H21" s="8">
        <f t="shared" si="4"/>
        <v>75322011.2</v>
      </c>
      <c r="J21" s="5"/>
      <c r="L21" s="33">
        <v>45971.0</v>
      </c>
      <c r="M21" s="34" t="s">
        <v>100</v>
      </c>
      <c r="N21" s="35" t="s">
        <v>572</v>
      </c>
      <c r="O21" s="36"/>
      <c r="P21" s="36">
        <v>1951950.0</v>
      </c>
      <c r="Q21" s="36"/>
      <c r="R21" s="36"/>
      <c r="S21" s="36">
        <f t="shared" si="5"/>
        <v>1951950</v>
      </c>
      <c r="T21" s="36">
        <f t="shared" si="6"/>
        <v>101251417</v>
      </c>
      <c r="U21" s="34"/>
    </row>
    <row r="22" ht="15.75" customHeight="1">
      <c r="A22" s="29">
        <v>46091.0</v>
      </c>
      <c r="B22" s="2" t="s">
        <v>577</v>
      </c>
      <c r="C22" s="30">
        <v>46091.0</v>
      </c>
      <c r="D22" s="8">
        <f t="shared" si="1"/>
        <v>1951950.284</v>
      </c>
      <c r="E22" s="15"/>
      <c r="F22" s="8">
        <f t="shared" si="2"/>
        <v>753220.112</v>
      </c>
      <c r="G22" s="8">
        <f t="shared" si="3"/>
        <v>1198730.172</v>
      </c>
      <c r="H22" s="8">
        <f t="shared" si="4"/>
        <v>74123281.03</v>
      </c>
      <c r="J22" s="5"/>
      <c r="L22" s="33">
        <v>46001.0</v>
      </c>
      <c r="M22" s="34" t="s">
        <v>103</v>
      </c>
      <c r="N22" s="35" t="s">
        <v>574</v>
      </c>
      <c r="O22" s="36"/>
      <c r="P22" s="36">
        <v>1951950.0</v>
      </c>
      <c r="Q22" s="36"/>
      <c r="R22" s="36"/>
      <c r="S22" s="36">
        <f t="shared" si="5"/>
        <v>1951950</v>
      </c>
      <c r="T22" s="36">
        <f t="shared" si="6"/>
        <v>99299467</v>
      </c>
      <c r="U22" s="34"/>
    </row>
    <row r="23" ht="15.75" customHeight="1">
      <c r="A23" s="29">
        <v>46091.0</v>
      </c>
      <c r="B23" s="2" t="s">
        <v>577</v>
      </c>
      <c r="C23" s="30">
        <v>46122.0</v>
      </c>
      <c r="D23" s="8">
        <f t="shared" si="1"/>
        <v>1951950.284</v>
      </c>
      <c r="E23" s="46"/>
      <c r="F23" s="8">
        <f t="shared" si="2"/>
        <v>741232.8103</v>
      </c>
      <c r="G23" s="8">
        <f t="shared" si="3"/>
        <v>1210717.474</v>
      </c>
      <c r="H23" s="8">
        <f t="shared" si="4"/>
        <v>72912563.56</v>
      </c>
      <c r="J23" s="5"/>
      <c r="L23" s="33">
        <v>46032.0</v>
      </c>
      <c r="M23" s="34" t="s">
        <v>107</v>
      </c>
      <c r="N23" s="35" t="s">
        <v>575</v>
      </c>
      <c r="O23" s="36"/>
      <c r="P23" s="36">
        <v>1951950.0</v>
      </c>
      <c r="Q23" s="36"/>
      <c r="R23" s="36"/>
      <c r="S23" s="36">
        <f t="shared" si="5"/>
        <v>1951950</v>
      </c>
      <c r="T23" s="36">
        <f t="shared" si="6"/>
        <v>97347517</v>
      </c>
      <c r="U23" s="34"/>
    </row>
    <row r="24" ht="15.75" customHeight="1">
      <c r="A24" s="29">
        <v>46154.0</v>
      </c>
      <c r="B24" s="2" t="s">
        <v>578</v>
      </c>
      <c r="C24" s="30">
        <v>46152.0</v>
      </c>
      <c r="D24" s="8">
        <f t="shared" si="1"/>
        <v>1951950.284</v>
      </c>
      <c r="E24" s="46"/>
      <c r="F24" s="8">
        <f t="shared" si="2"/>
        <v>729125.6356</v>
      </c>
      <c r="G24" s="8">
        <f t="shared" si="3"/>
        <v>1222824.649</v>
      </c>
      <c r="H24" s="8">
        <f t="shared" si="4"/>
        <v>71689738.91</v>
      </c>
      <c r="J24" s="5"/>
      <c r="L24" s="33">
        <v>46063.0</v>
      </c>
      <c r="M24" s="34" t="s">
        <v>112</v>
      </c>
      <c r="N24" s="35" t="s">
        <v>576</v>
      </c>
      <c r="O24" s="36"/>
      <c r="P24" s="36">
        <v>1951950.0</v>
      </c>
      <c r="Q24" s="36"/>
      <c r="R24" s="36"/>
      <c r="S24" s="36">
        <f t="shared" si="5"/>
        <v>1951950</v>
      </c>
      <c r="T24" s="36">
        <f t="shared" si="6"/>
        <v>95395567</v>
      </c>
      <c r="U24" s="34"/>
    </row>
    <row r="25" ht="15.75" customHeight="1">
      <c r="A25" s="29">
        <v>46184.0</v>
      </c>
      <c r="B25" s="2" t="s">
        <v>579</v>
      </c>
      <c r="C25" s="30">
        <v>46183.0</v>
      </c>
      <c r="D25" s="8">
        <f t="shared" si="1"/>
        <v>1951950.284</v>
      </c>
      <c r="E25" s="46"/>
      <c r="F25" s="8">
        <f t="shared" si="2"/>
        <v>716897.3891</v>
      </c>
      <c r="G25" s="8">
        <f t="shared" si="3"/>
        <v>1235052.895</v>
      </c>
      <c r="H25" s="8">
        <f t="shared" si="4"/>
        <v>70454686.01</v>
      </c>
      <c r="J25" s="5"/>
      <c r="L25" s="33">
        <v>46091.0</v>
      </c>
      <c r="M25" s="34" t="s">
        <v>580</v>
      </c>
      <c r="N25" s="35" t="s">
        <v>577</v>
      </c>
      <c r="O25" s="36"/>
      <c r="P25" s="36">
        <v>3903900.0</v>
      </c>
      <c r="Q25" s="36"/>
      <c r="R25" s="36"/>
      <c r="S25" s="36">
        <f t="shared" si="5"/>
        <v>3903900</v>
      </c>
      <c r="T25" s="36">
        <f t="shared" si="6"/>
        <v>91491667</v>
      </c>
      <c r="U25" s="34"/>
    </row>
    <row r="26" ht="15.75" customHeight="1">
      <c r="A26" s="29">
        <v>46217.0</v>
      </c>
      <c r="B26" s="2" t="s">
        <v>581</v>
      </c>
      <c r="C26" s="30">
        <v>46213.0</v>
      </c>
      <c r="D26" s="8">
        <f t="shared" si="1"/>
        <v>1951950.284</v>
      </c>
      <c r="E26" s="46"/>
      <c r="F26" s="8">
        <f t="shared" si="2"/>
        <v>704546.8601</v>
      </c>
      <c r="G26" s="8">
        <f t="shared" si="3"/>
        <v>1247403.424</v>
      </c>
      <c r="H26" s="8">
        <f t="shared" si="4"/>
        <v>69207282.59</v>
      </c>
      <c r="J26" s="5"/>
      <c r="L26" s="33">
        <v>46154.0</v>
      </c>
      <c r="M26" s="34" t="s">
        <v>118</v>
      </c>
      <c r="N26" s="35" t="s">
        <v>578</v>
      </c>
      <c r="O26" s="36"/>
      <c r="P26" s="36">
        <v>1951950.0</v>
      </c>
      <c r="Q26" s="36"/>
      <c r="R26" s="36"/>
      <c r="S26" s="36">
        <f t="shared" si="5"/>
        <v>1951950</v>
      </c>
      <c r="T26" s="36">
        <f t="shared" si="6"/>
        <v>89539717</v>
      </c>
      <c r="U26" s="34"/>
    </row>
    <row r="27" ht="15.75" customHeight="1">
      <c r="B27" s="2"/>
      <c r="C27" s="30">
        <v>46244.0</v>
      </c>
      <c r="D27" s="8">
        <f t="shared" si="1"/>
        <v>1951950.284</v>
      </c>
      <c r="E27" s="46"/>
      <c r="F27" s="8">
        <f t="shared" si="2"/>
        <v>692072.8259</v>
      </c>
      <c r="G27" s="8">
        <f t="shared" si="3"/>
        <v>1259877.458</v>
      </c>
      <c r="H27" s="8">
        <f t="shared" si="4"/>
        <v>67947405.13</v>
      </c>
      <c r="J27" s="5"/>
      <c r="L27" s="33">
        <v>46184.0</v>
      </c>
      <c r="M27" s="34" t="s">
        <v>120</v>
      </c>
      <c r="N27" s="35" t="s">
        <v>579</v>
      </c>
      <c r="O27" s="36"/>
      <c r="P27" s="36">
        <v>1951950.0</v>
      </c>
      <c r="Q27" s="36"/>
      <c r="R27" s="36"/>
      <c r="S27" s="36">
        <f t="shared" si="5"/>
        <v>1951950</v>
      </c>
      <c r="T27" s="36">
        <f t="shared" si="6"/>
        <v>87587767</v>
      </c>
      <c r="U27" s="34"/>
    </row>
    <row r="28" ht="15.75" customHeight="1">
      <c r="B28" s="2"/>
      <c r="C28" s="30">
        <v>46275.0</v>
      </c>
      <c r="D28" s="8">
        <f t="shared" si="1"/>
        <v>1951950.284</v>
      </c>
      <c r="E28" s="46"/>
      <c r="F28" s="8">
        <f t="shared" si="2"/>
        <v>679474.0513</v>
      </c>
      <c r="G28" s="8">
        <f t="shared" si="3"/>
        <v>1272476.233</v>
      </c>
      <c r="H28" s="8">
        <f t="shared" si="4"/>
        <v>66674928.9</v>
      </c>
      <c r="J28" s="5"/>
      <c r="L28" s="33">
        <v>46217.0</v>
      </c>
      <c r="M28" s="34" t="s">
        <v>122</v>
      </c>
      <c r="N28" s="35" t="s">
        <v>581</v>
      </c>
      <c r="O28" s="36"/>
      <c r="P28" s="36">
        <v>1951950.0</v>
      </c>
      <c r="Q28" s="36"/>
      <c r="R28" s="36"/>
      <c r="S28" s="36">
        <f t="shared" si="5"/>
        <v>1951950</v>
      </c>
      <c r="T28" s="36">
        <f t="shared" si="6"/>
        <v>85635817</v>
      </c>
      <c r="U28" s="34"/>
    </row>
    <row r="29" ht="15.75" customHeight="1">
      <c r="B29" s="2"/>
      <c r="C29" s="30">
        <v>46305.0</v>
      </c>
      <c r="D29" s="8">
        <f t="shared" si="1"/>
        <v>1951950.284</v>
      </c>
      <c r="E29" s="46"/>
      <c r="F29" s="8">
        <f t="shared" si="2"/>
        <v>666749.289</v>
      </c>
      <c r="G29" s="8">
        <f t="shared" si="3"/>
        <v>1285200.995</v>
      </c>
      <c r="H29" s="8">
        <f t="shared" si="4"/>
        <v>65389727.9</v>
      </c>
      <c r="J29" s="5"/>
      <c r="L29" s="25"/>
      <c r="M29" s="38" t="s">
        <v>69</v>
      </c>
      <c r="N29" s="39"/>
      <c r="O29" s="27">
        <f t="shared" ref="O29:S29" si="7">SUM(O11:O28)</f>
        <v>0</v>
      </c>
      <c r="P29" s="27">
        <f t="shared" si="7"/>
        <v>41231200</v>
      </c>
      <c r="Q29" s="27">
        <f t="shared" si="7"/>
        <v>0</v>
      </c>
      <c r="R29" s="27">
        <f t="shared" si="7"/>
        <v>0</v>
      </c>
      <c r="S29" s="27">
        <f t="shared" si="7"/>
        <v>41231200</v>
      </c>
      <c r="T29" s="27">
        <f>T28</f>
        <v>85635817</v>
      </c>
      <c r="U29" s="25"/>
    </row>
    <row r="30" ht="15.75" customHeight="1">
      <c r="B30" s="2"/>
      <c r="C30" s="30">
        <v>46336.0</v>
      </c>
      <c r="D30" s="8">
        <f t="shared" si="1"/>
        <v>1951950.284</v>
      </c>
      <c r="E30" s="46"/>
      <c r="F30" s="8">
        <f t="shared" si="2"/>
        <v>653897.279</v>
      </c>
      <c r="G30" s="8">
        <f t="shared" si="3"/>
        <v>1298053.005</v>
      </c>
      <c r="H30" s="8">
        <f t="shared" si="4"/>
        <v>64091674.9</v>
      </c>
      <c r="J30" s="5"/>
    </row>
    <row r="31" ht="15.75" customHeight="1">
      <c r="B31" s="2"/>
      <c r="C31" s="30">
        <v>46366.0</v>
      </c>
      <c r="D31" s="8">
        <f t="shared" si="1"/>
        <v>1951950.284</v>
      </c>
      <c r="E31" s="46"/>
      <c r="F31" s="8">
        <f t="shared" si="2"/>
        <v>640916.749</v>
      </c>
      <c r="G31" s="8">
        <f t="shared" si="3"/>
        <v>1311033.535</v>
      </c>
      <c r="H31" s="8">
        <f t="shared" si="4"/>
        <v>62780641.36</v>
      </c>
      <c r="J31" s="5"/>
    </row>
    <row r="32" ht="15.75" customHeight="1">
      <c r="B32" s="2"/>
      <c r="C32" s="30">
        <v>46397.0</v>
      </c>
      <c r="D32" s="8">
        <f t="shared" si="1"/>
        <v>1951950.284</v>
      </c>
      <c r="E32" s="46"/>
      <c r="F32" s="8">
        <f t="shared" si="2"/>
        <v>627806.4136</v>
      </c>
      <c r="G32" s="8">
        <f t="shared" si="3"/>
        <v>1324143.871</v>
      </c>
      <c r="H32" s="8">
        <f t="shared" si="4"/>
        <v>61456497.49</v>
      </c>
      <c r="J32" s="5"/>
    </row>
    <row r="33" ht="15.75" customHeight="1">
      <c r="B33" s="2"/>
      <c r="C33" s="30">
        <v>46428.0</v>
      </c>
      <c r="D33" s="8">
        <f t="shared" si="1"/>
        <v>1951950.284</v>
      </c>
      <c r="E33" s="46"/>
      <c r="F33" s="8">
        <f t="shared" si="2"/>
        <v>614564.9749</v>
      </c>
      <c r="G33" s="8">
        <f t="shared" si="3"/>
        <v>1337385.309</v>
      </c>
      <c r="H33" s="8">
        <f t="shared" si="4"/>
        <v>60119112.18</v>
      </c>
      <c r="J33" s="5"/>
    </row>
    <row r="34" ht="15.75" customHeight="1">
      <c r="B34" s="2"/>
      <c r="C34" s="30">
        <v>46456.0</v>
      </c>
      <c r="D34" s="8">
        <f t="shared" si="1"/>
        <v>1951950.284</v>
      </c>
      <c r="E34" s="46"/>
      <c r="F34" s="8">
        <f t="shared" si="2"/>
        <v>601191.1218</v>
      </c>
      <c r="G34" s="8">
        <f t="shared" si="3"/>
        <v>1350759.163</v>
      </c>
      <c r="H34" s="8">
        <f t="shared" si="4"/>
        <v>58768353.02</v>
      </c>
      <c r="J34" s="5"/>
    </row>
    <row r="35" ht="15.75" customHeight="1">
      <c r="B35" s="2"/>
      <c r="C35" s="30">
        <v>46487.0</v>
      </c>
      <c r="D35" s="8">
        <f t="shared" si="1"/>
        <v>1951950.284</v>
      </c>
      <c r="E35" s="46"/>
      <c r="F35" s="8">
        <f t="shared" si="2"/>
        <v>587683.5302</v>
      </c>
      <c r="G35" s="8">
        <f t="shared" si="3"/>
        <v>1364266.754</v>
      </c>
      <c r="H35" s="8">
        <f t="shared" si="4"/>
        <v>57404086.26</v>
      </c>
      <c r="J35" s="5"/>
    </row>
    <row r="36" ht="15.75" customHeight="1">
      <c r="B36" s="2"/>
      <c r="C36" s="30">
        <v>46517.0</v>
      </c>
      <c r="D36" s="8">
        <f t="shared" si="1"/>
        <v>1951950.284</v>
      </c>
      <c r="E36" s="46"/>
      <c r="F36" s="8">
        <f t="shared" si="2"/>
        <v>574040.8626</v>
      </c>
      <c r="G36" s="8">
        <f t="shared" si="3"/>
        <v>1377909.422</v>
      </c>
      <c r="H36" s="8">
        <f t="shared" si="4"/>
        <v>56026176.84</v>
      </c>
      <c r="J36" s="5"/>
    </row>
    <row r="37" ht="15.75" customHeight="1">
      <c r="B37" s="2"/>
      <c r="C37" s="30">
        <v>46548.0</v>
      </c>
      <c r="D37" s="8">
        <f t="shared" si="1"/>
        <v>1951950.284</v>
      </c>
      <c r="E37" s="46"/>
      <c r="F37" s="8">
        <f t="shared" si="2"/>
        <v>560261.7684</v>
      </c>
      <c r="G37" s="8">
        <f t="shared" si="3"/>
        <v>1391688.516</v>
      </c>
      <c r="H37" s="8">
        <f t="shared" si="4"/>
        <v>54634488.33</v>
      </c>
      <c r="J37" s="5"/>
    </row>
    <row r="38" ht="15.75" customHeight="1">
      <c r="B38" s="2"/>
      <c r="C38" s="30">
        <v>46578.0</v>
      </c>
      <c r="D38" s="8">
        <f t="shared" si="1"/>
        <v>1951950.284</v>
      </c>
      <c r="E38" s="46"/>
      <c r="F38" s="8">
        <f t="shared" si="2"/>
        <v>546344.8833</v>
      </c>
      <c r="G38" s="8">
        <f t="shared" si="3"/>
        <v>1405605.401</v>
      </c>
      <c r="H38" s="8">
        <f t="shared" si="4"/>
        <v>53228882.93</v>
      </c>
      <c r="J38" s="5"/>
    </row>
    <row r="39" ht="15.75" customHeight="1">
      <c r="B39" s="2"/>
      <c r="C39" s="30">
        <v>46609.0</v>
      </c>
      <c r="D39" s="8">
        <f t="shared" si="1"/>
        <v>1951950.284</v>
      </c>
      <c r="E39" s="46"/>
      <c r="F39" s="8">
        <f t="shared" si="2"/>
        <v>532288.8293</v>
      </c>
      <c r="G39" s="8">
        <f t="shared" si="3"/>
        <v>1419661.455</v>
      </c>
      <c r="H39" s="8">
        <f t="shared" si="4"/>
        <v>51809221.47</v>
      </c>
      <c r="J39" s="5"/>
    </row>
    <row r="40" ht="15.75" customHeight="1">
      <c r="B40" s="2"/>
      <c r="C40" s="30">
        <v>46640.0</v>
      </c>
      <c r="D40" s="8">
        <f t="shared" si="1"/>
        <v>1951950.284</v>
      </c>
      <c r="E40" s="46"/>
      <c r="F40" s="8">
        <f t="shared" si="2"/>
        <v>518092.2147</v>
      </c>
      <c r="G40" s="8">
        <f t="shared" si="3"/>
        <v>1433858.07</v>
      </c>
      <c r="H40" s="8">
        <f t="shared" si="4"/>
        <v>50375363.4</v>
      </c>
      <c r="J40" s="5"/>
    </row>
    <row r="41" ht="15.75" customHeight="1">
      <c r="B41" s="2"/>
      <c r="C41" s="30">
        <v>46670.0</v>
      </c>
      <c r="D41" s="8">
        <f t="shared" si="1"/>
        <v>1951950.284</v>
      </c>
      <c r="E41" s="46"/>
      <c r="F41" s="8">
        <f t="shared" si="2"/>
        <v>503753.634</v>
      </c>
      <c r="G41" s="8">
        <f t="shared" si="3"/>
        <v>1448196.65</v>
      </c>
      <c r="H41" s="8">
        <f t="shared" si="4"/>
        <v>48927166.75</v>
      </c>
      <c r="J41" s="5"/>
    </row>
    <row r="42" ht="15.75" customHeight="1">
      <c r="B42" s="2"/>
      <c r="C42" s="30">
        <v>46701.0</v>
      </c>
      <c r="D42" s="8">
        <f t="shared" si="1"/>
        <v>1951950.284</v>
      </c>
      <c r="E42" s="46"/>
      <c r="F42" s="8">
        <f t="shared" si="2"/>
        <v>489271.6675</v>
      </c>
      <c r="G42" s="8">
        <f t="shared" si="3"/>
        <v>1462678.617</v>
      </c>
      <c r="H42" s="8">
        <f t="shared" si="4"/>
        <v>47464488.13</v>
      </c>
      <c r="J42" s="5"/>
    </row>
    <row r="43" ht="15.75" customHeight="1">
      <c r="B43" s="2"/>
      <c r="C43" s="30">
        <v>46731.0</v>
      </c>
      <c r="D43" s="8">
        <f t="shared" si="1"/>
        <v>1951950.284</v>
      </c>
      <c r="E43" s="46"/>
      <c r="F43" s="8">
        <f t="shared" si="2"/>
        <v>474644.8813</v>
      </c>
      <c r="G43" s="8">
        <f t="shared" si="3"/>
        <v>1477305.403</v>
      </c>
      <c r="H43" s="8">
        <f t="shared" si="4"/>
        <v>45987182.73</v>
      </c>
      <c r="J43" s="5"/>
    </row>
    <row r="44" ht="15.75" customHeight="1">
      <c r="B44" s="2"/>
      <c r="C44" s="30">
        <v>46762.0</v>
      </c>
      <c r="D44" s="8">
        <f t="shared" si="1"/>
        <v>1951950.284</v>
      </c>
      <c r="E44" s="46"/>
      <c r="F44" s="8">
        <f t="shared" si="2"/>
        <v>459871.8273</v>
      </c>
      <c r="G44" s="8">
        <f t="shared" si="3"/>
        <v>1492078.457</v>
      </c>
      <c r="H44" s="8">
        <f t="shared" si="4"/>
        <v>44495104.27</v>
      </c>
      <c r="J44" s="5"/>
    </row>
    <row r="45" ht="15.75" customHeight="1">
      <c r="B45" s="2"/>
      <c r="C45" s="30">
        <v>46793.0</v>
      </c>
      <c r="D45" s="8">
        <f t="shared" si="1"/>
        <v>1951950.284</v>
      </c>
      <c r="E45" s="46"/>
      <c r="F45" s="8">
        <f t="shared" si="2"/>
        <v>444951.0427</v>
      </c>
      <c r="G45" s="8">
        <f t="shared" si="3"/>
        <v>1506999.242</v>
      </c>
      <c r="H45" s="8">
        <f t="shared" si="4"/>
        <v>42988105.03</v>
      </c>
      <c r="J45" s="5"/>
    </row>
    <row r="46" ht="15.75" customHeight="1">
      <c r="B46" s="2"/>
      <c r="C46" s="30">
        <v>46822.0</v>
      </c>
      <c r="D46" s="8">
        <f t="shared" si="1"/>
        <v>1951950.284</v>
      </c>
      <c r="E46" s="46"/>
      <c r="F46" s="8">
        <f t="shared" si="2"/>
        <v>429881.0503</v>
      </c>
      <c r="G46" s="8">
        <f t="shared" si="3"/>
        <v>1522069.234</v>
      </c>
      <c r="H46" s="8">
        <f t="shared" si="4"/>
        <v>41466035.8</v>
      </c>
      <c r="J46" s="5"/>
    </row>
    <row r="47" ht="15.75" customHeight="1">
      <c r="B47" s="2"/>
      <c r="C47" s="30">
        <v>46853.0</v>
      </c>
      <c r="D47" s="8">
        <f t="shared" si="1"/>
        <v>1951950.284</v>
      </c>
      <c r="E47" s="46"/>
      <c r="F47" s="8">
        <f t="shared" si="2"/>
        <v>414660.358</v>
      </c>
      <c r="G47" s="8">
        <f t="shared" si="3"/>
        <v>1537289.926</v>
      </c>
      <c r="H47" s="8">
        <f t="shared" si="4"/>
        <v>39928745.87</v>
      </c>
      <c r="J47" s="5"/>
    </row>
    <row r="48" ht="15.75" customHeight="1">
      <c r="B48" s="2"/>
      <c r="C48" s="30">
        <v>46883.0</v>
      </c>
      <c r="D48" s="8">
        <f t="shared" si="1"/>
        <v>1951950.284</v>
      </c>
      <c r="E48" s="46"/>
      <c r="F48" s="8">
        <f t="shared" si="2"/>
        <v>399287.4587</v>
      </c>
      <c r="G48" s="8">
        <f t="shared" si="3"/>
        <v>1552662.826</v>
      </c>
      <c r="H48" s="8">
        <f t="shared" si="4"/>
        <v>38376083.05</v>
      </c>
      <c r="J48" s="5"/>
    </row>
    <row r="49" ht="15.75" customHeight="1">
      <c r="B49" s="2"/>
      <c r="C49" s="30">
        <v>46914.0</v>
      </c>
      <c r="D49" s="8">
        <f t="shared" si="1"/>
        <v>1951950.284</v>
      </c>
      <c r="E49" s="46"/>
      <c r="F49" s="8">
        <f t="shared" si="2"/>
        <v>383760.8305</v>
      </c>
      <c r="G49" s="8">
        <f t="shared" si="3"/>
        <v>1568189.454</v>
      </c>
      <c r="H49" s="8">
        <f t="shared" si="4"/>
        <v>36807893.59</v>
      </c>
      <c r="J49" s="5"/>
    </row>
    <row r="50" ht="15.75" customHeight="1">
      <c r="B50" s="2"/>
      <c r="C50" s="30">
        <v>46944.0</v>
      </c>
      <c r="D50" s="8">
        <f t="shared" si="1"/>
        <v>1951950.284</v>
      </c>
      <c r="E50" s="46"/>
      <c r="F50" s="8">
        <f t="shared" si="2"/>
        <v>368078.9359</v>
      </c>
      <c r="G50" s="8">
        <f t="shared" si="3"/>
        <v>1583871.348</v>
      </c>
      <c r="H50" s="8">
        <f t="shared" si="4"/>
        <v>35224022.24</v>
      </c>
      <c r="J50" s="5"/>
    </row>
    <row r="51" ht="15.75" customHeight="1">
      <c r="B51" s="2"/>
      <c r="C51" s="30">
        <v>46975.0</v>
      </c>
      <c r="D51" s="8">
        <f t="shared" si="1"/>
        <v>1951950.284</v>
      </c>
      <c r="E51" s="46"/>
      <c r="F51" s="8">
        <f t="shared" si="2"/>
        <v>352240.2224</v>
      </c>
      <c r="G51" s="8">
        <f t="shared" si="3"/>
        <v>1599710.062</v>
      </c>
      <c r="H51" s="8">
        <f t="shared" si="4"/>
        <v>33624312.18</v>
      </c>
      <c r="J51" s="5"/>
    </row>
    <row r="52" ht="15.75" customHeight="1">
      <c r="B52" s="2"/>
      <c r="C52" s="30">
        <v>47006.0</v>
      </c>
      <c r="D52" s="8">
        <f t="shared" si="1"/>
        <v>1951950.284</v>
      </c>
      <c r="E52" s="46"/>
      <c r="F52" s="8">
        <f t="shared" si="2"/>
        <v>336243.1218</v>
      </c>
      <c r="G52" s="8">
        <f t="shared" si="3"/>
        <v>1615707.163</v>
      </c>
      <c r="H52" s="8">
        <f t="shared" si="4"/>
        <v>32008605.02</v>
      </c>
      <c r="J52" s="5"/>
    </row>
    <row r="53" ht="15.75" customHeight="1">
      <c r="B53" s="2"/>
      <c r="C53" s="30">
        <v>47036.0</v>
      </c>
      <c r="D53" s="8">
        <f t="shared" si="1"/>
        <v>1951950.284</v>
      </c>
      <c r="E53" s="46"/>
      <c r="F53" s="8">
        <f t="shared" si="2"/>
        <v>320086.0502</v>
      </c>
      <c r="G53" s="8">
        <f t="shared" si="3"/>
        <v>1631864.234</v>
      </c>
      <c r="H53" s="8">
        <f t="shared" si="4"/>
        <v>30376740.79</v>
      </c>
      <c r="J53" s="5"/>
    </row>
    <row r="54" ht="15.75" customHeight="1">
      <c r="B54" s="2"/>
      <c r="C54" s="30">
        <v>47067.0</v>
      </c>
      <c r="D54" s="8">
        <f t="shared" si="1"/>
        <v>1951950.284</v>
      </c>
      <c r="E54" s="46"/>
      <c r="F54" s="8">
        <f t="shared" si="2"/>
        <v>303767.4079</v>
      </c>
      <c r="G54" s="8">
        <f t="shared" si="3"/>
        <v>1648182.876</v>
      </c>
      <c r="H54" s="8">
        <f t="shared" si="4"/>
        <v>28728557.91</v>
      </c>
      <c r="J54" s="5"/>
    </row>
    <row r="55" ht="15.75" customHeight="1">
      <c r="B55" s="2"/>
      <c r="C55" s="30">
        <v>47097.0</v>
      </c>
      <c r="D55" s="8">
        <f t="shared" si="1"/>
        <v>1951950.284</v>
      </c>
      <c r="E55" s="46"/>
      <c r="F55" s="8">
        <f t="shared" si="2"/>
        <v>287285.5791</v>
      </c>
      <c r="G55" s="8">
        <f t="shared" si="3"/>
        <v>1664664.705</v>
      </c>
      <c r="H55" s="8">
        <f t="shared" si="4"/>
        <v>27063893.2</v>
      </c>
      <c r="J55" s="5"/>
    </row>
    <row r="56" ht="15.75" customHeight="1">
      <c r="B56" s="2"/>
      <c r="C56" s="30">
        <v>47128.0</v>
      </c>
      <c r="D56" s="8">
        <f t="shared" si="1"/>
        <v>1951950.284</v>
      </c>
      <c r="E56" s="46"/>
      <c r="F56" s="8">
        <f t="shared" si="2"/>
        <v>270638.932</v>
      </c>
      <c r="G56" s="8">
        <f t="shared" si="3"/>
        <v>1681311.352</v>
      </c>
      <c r="H56" s="8">
        <f t="shared" si="4"/>
        <v>25382581.85</v>
      </c>
      <c r="J56" s="5"/>
    </row>
    <row r="57" ht="15.75" customHeight="1">
      <c r="B57" s="2"/>
      <c r="C57" s="30">
        <v>47159.0</v>
      </c>
      <c r="D57" s="8">
        <f t="shared" si="1"/>
        <v>1951950.284</v>
      </c>
      <c r="E57" s="46"/>
      <c r="F57" s="8">
        <f t="shared" si="2"/>
        <v>253825.8185</v>
      </c>
      <c r="G57" s="8">
        <f t="shared" si="3"/>
        <v>1698124.466</v>
      </c>
      <c r="H57" s="8">
        <f t="shared" si="4"/>
        <v>23684457.39</v>
      </c>
      <c r="J57" s="5"/>
    </row>
    <row r="58" ht="15.75" customHeight="1">
      <c r="B58" s="2"/>
      <c r="C58" s="30">
        <v>47187.0</v>
      </c>
      <c r="D58" s="8">
        <f t="shared" si="1"/>
        <v>1951950.284</v>
      </c>
      <c r="E58" s="46"/>
      <c r="F58" s="8">
        <f t="shared" si="2"/>
        <v>236844.5739</v>
      </c>
      <c r="G58" s="8">
        <f t="shared" si="3"/>
        <v>1715105.71</v>
      </c>
      <c r="H58" s="8">
        <f t="shared" si="4"/>
        <v>21969351.67</v>
      </c>
      <c r="J58" s="5"/>
    </row>
    <row r="59" ht="15.75" customHeight="1">
      <c r="B59" s="2"/>
      <c r="C59" s="30">
        <v>47218.0</v>
      </c>
      <c r="D59" s="8">
        <f t="shared" si="1"/>
        <v>1951950.284</v>
      </c>
      <c r="E59" s="46"/>
      <c r="F59" s="8">
        <f t="shared" si="2"/>
        <v>219693.5167</v>
      </c>
      <c r="G59" s="8">
        <f t="shared" si="3"/>
        <v>1732256.768</v>
      </c>
      <c r="H59" s="8">
        <f t="shared" si="4"/>
        <v>20237094.91</v>
      </c>
      <c r="J59" s="5"/>
    </row>
    <row r="60" ht="15.75" customHeight="1">
      <c r="B60" s="2"/>
      <c r="C60" s="30">
        <v>47248.0</v>
      </c>
      <c r="D60" s="8">
        <f t="shared" si="1"/>
        <v>1951950.284</v>
      </c>
      <c r="E60" s="46"/>
      <c r="F60" s="8">
        <f t="shared" si="2"/>
        <v>202370.9491</v>
      </c>
      <c r="G60" s="8">
        <f t="shared" si="3"/>
        <v>1749579.335</v>
      </c>
      <c r="H60" s="8">
        <f t="shared" si="4"/>
        <v>18487515.57</v>
      </c>
      <c r="J60" s="5"/>
    </row>
    <row r="61" ht="15.75" customHeight="1">
      <c r="B61" s="2"/>
      <c r="C61" s="30">
        <v>47279.0</v>
      </c>
      <c r="D61" s="8">
        <f t="shared" si="1"/>
        <v>1951950.284</v>
      </c>
      <c r="E61" s="46"/>
      <c r="F61" s="8">
        <f t="shared" si="2"/>
        <v>184875.1557</v>
      </c>
      <c r="G61" s="8">
        <f t="shared" si="3"/>
        <v>1767075.129</v>
      </c>
      <c r="H61" s="8">
        <f t="shared" si="4"/>
        <v>16720440.44</v>
      </c>
      <c r="J61" s="5"/>
    </row>
    <row r="62" ht="15.75" customHeight="1">
      <c r="B62" s="2"/>
      <c r="C62" s="30">
        <v>47309.0</v>
      </c>
      <c r="D62" s="8">
        <f t="shared" si="1"/>
        <v>1951950.284</v>
      </c>
      <c r="E62" s="46"/>
      <c r="F62" s="8">
        <f t="shared" si="2"/>
        <v>167204.4044</v>
      </c>
      <c r="G62" s="8">
        <f t="shared" si="3"/>
        <v>1784745.88</v>
      </c>
      <c r="H62" s="8">
        <f t="shared" si="4"/>
        <v>14935694.56</v>
      </c>
      <c r="J62" s="5"/>
    </row>
    <row r="63" ht="15.75" customHeight="1">
      <c r="B63" s="2"/>
      <c r="C63" s="30">
        <v>47340.0</v>
      </c>
      <c r="D63" s="8">
        <f t="shared" si="1"/>
        <v>1951950.284</v>
      </c>
      <c r="E63" s="46"/>
      <c r="F63" s="8">
        <f t="shared" si="2"/>
        <v>149356.9456</v>
      </c>
      <c r="G63" s="8">
        <f t="shared" si="3"/>
        <v>1802593.339</v>
      </c>
      <c r="H63" s="8">
        <f t="shared" si="4"/>
        <v>13133101.22</v>
      </c>
      <c r="J63" s="5"/>
    </row>
    <row r="64" ht="15.75" customHeight="1">
      <c r="B64" s="2"/>
      <c r="C64" s="30">
        <v>47371.0</v>
      </c>
      <c r="D64" s="8">
        <f t="shared" si="1"/>
        <v>1951950.284</v>
      </c>
      <c r="E64" s="46"/>
      <c r="F64" s="8">
        <f t="shared" si="2"/>
        <v>131331.0122</v>
      </c>
      <c r="G64" s="8">
        <f t="shared" si="3"/>
        <v>1820619.272</v>
      </c>
      <c r="H64" s="8">
        <f t="shared" si="4"/>
        <v>11312481.95</v>
      </c>
      <c r="J64" s="5"/>
    </row>
    <row r="65" ht="15.75" customHeight="1">
      <c r="B65" s="2"/>
      <c r="C65" s="30">
        <v>47401.0</v>
      </c>
      <c r="D65" s="8">
        <f t="shared" si="1"/>
        <v>1951950.284</v>
      </c>
      <c r="E65" s="46"/>
      <c r="F65" s="8">
        <f t="shared" si="2"/>
        <v>113124.8195</v>
      </c>
      <c r="G65" s="8">
        <f t="shared" si="3"/>
        <v>1838825.465</v>
      </c>
      <c r="H65" s="8">
        <f t="shared" si="4"/>
        <v>9473656.488</v>
      </c>
      <c r="J65" s="5"/>
    </row>
    <row r="66" ht="15.75" customHeight="1">
      <c r="B66" s="2"/>
      <c r="C66" s="30">
        <v>47432.0</v>
      </c>
      <c r="D66" s="8">
        <f t="shared" si="1"/>
        <v>1951950.284</v>
      </c>
      <c r="E66" s="46"/>
      <c r="F66" s="8">
        <f t="shared" si="2"/>
        <v>94736.56488</v>
      </c>
      <c r="G66" s="8">
        <f t="shared" si="3"/>
        <v>1857213.719</v>
      </c>
      <c r="H66" s="8">
        <f t="shared" si="4"/>
        <v>7616442.768</v>
      </c>
      <c r="J66" s="5"/>
    </row>
    <row r="67" ht="15.75" customHeight="1">
      <c r="B67" s="2"/>
      <c r="C67" s="30">
        <v>47462.0</v>
      </c>
      <c r="D67" s="8">
        <f t="shared" si="1"/>
        <v>1951950.284</v>
      </c>
      <c r="E67" s="46"/>
      <c r="F67" s="8">
        <f t="shared" si="2"/>
        <v>76164.42768</v>
      </c>
      <c r="G67" s="8">
        <f t="shared" si="3"/>
        <v>1875785.857</v>
      </c>
      <c r="H67" s="8">
        <f t="shared" si="4"/>
        <v>5740656.912</v>
      </c>
      <c r="J67" s="5"/>
    </row>
    <row r="68" ht="15.75" customHeight="1">
      <c r="B68" s="2"/>
      <c r="C68" s="30">
        <v>47493.0</v>
      </c>
      <c r="D68" s="8">
        <f t="shared" si="1"/>
        <v>1951950.284</v>
      </c>
      <c r="E68" s="46"/>
      <c r="F68" s="8">
        <f t="shared" si="2"/>
        <v>57406.56912</v>
      </c>
      <c r="G68" s="8">
        <f t="shared" si="3"/>
        <v>1894543.715</v>
      </c>
      <c r="H68" s="8">
        <f t="shared" si="4"/>
        <v>3846113.196</v>
      </c>
      <c r="J68" s="5"/>
    </row>
    <row r="69" ht="15.75" customHeight="1">
      <c r="A69" s="47"/>
      <c r="B69" s="48"/>
      <c r="C69" s="49">
        <v>47524.0</v>
      </c>
      <c r="D69" s="50">
        <f t="shared" si="1"/>
        <v>1951950.284</v>
      </c>
      <c r="E69" s="51"/>
      <c r="F69" s="50">
        <f t="shared" si="2"/>
        <v>38461.13196</v>
      </c>
      <c r="G69" s="50">
        <f t="shared" si="3"/>
        <v>1913489.152</v>
      </c>
      <c r="H69" s="50">
        <f t="shared" si="4"/>
        <v>1932624.044</v>
      </c>
      <c r="J69" s="5"/>
    </row>
    <row r="70" ht="15.75" customHeight="1">
      <c r="A70" s="47"/>
      <c r="B70" s="48"/>
      <c r="C70" s="49">
        <v>47552.0</v>
      </c>
      <c r="D70" s="50">
        <f t="shared" si="1"/>
        <v>1951950.284</v>
      </c>
      <c r="E70" s="51"/>
      <c r="F70" s="50">
        <f t="shared" si="2"/>
        <v>19326.24044</v>
      </c>
      <c r="G70" s="50">
        <f t="shared" si="3"/>
        <v>1932624.044</v>
      </c>
      <c r="H70" s="50">
        <f t="shared" si="4"/>
        <v>0.0000001434236765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582</v>
      </c>
      <c r="J1" s="5"/>
    </row>
    <row r="2" ht="15.75" customHeight="1">
      <c r="B2" s="2"/>
      <c r="C2" s="1" t="s">
        <v>6</v>
      </c>
      <c r="D2" s="6">
        <f>+A5*20%</f>
        <v>20000000</v>
      </c>
      <c r="E2" s="7"/>
      <c r="J2" s="5"/>
    </row>
    <row r="3" ht="15.75" customHeight="1">
      <c r="B3" s="2"/>
      <c r="C3" s="1" t="s">
        <v>7</v>
      </c>
      <c r="D3" s="8">
        <f>+A5-D2</f>
        <v>80000000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1779555.815</v>
      </c>
      <c r="E6" s="12"/>
      <c r="H6" s="5"/>
      <c r="J6" s="5"/>
    </row>
    <row r="7" ht="15.75" customHeight="1">
      <c r="B7" s="2"/>
      <c r="C7" s="1" t="s">
        <v>12</v>
      </c>
      <c r="D7" s="20" t="s">
        <v>583</v>
      </c>
      <c r="H7" s="5"/>
      <c r="J7" s="5"/>
    </row>
    <row r="8" ht="15.75" customHeight="1">
      <c r="B8" s="2"/>
      <c r="C8" s="1" t="s">
        <v>16</v>
      </c>
      <c r="D8" s="2">
        <v>6.6904994E7</v>
      </c>
      <c r="H8" s="5"/>
      <c r="I8" s="17"/>
      <c r="J8" s="19"/>
      <c r="K8" s="17"/>
      <c r="L8" s="21" t="s">
        <v>584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80000000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1.26773349E8</v>
      </c>
      <c r="U10" s="25"/>
    </row>
    <row r="11" ht="15.75" customHeight="1">
      <c r="A11" s="29">
        <v>46022.0</v>
      </c>
      <c r="B11" s="2" t="s">
        <v>585</v>
      </c>
      <c r="C11" s="30">
        <v>46016.0</v>
      </c>
      <c r="D11" s="8">
        <f t="shared" ref="D11:D70" si="1">$D$6</f>
        <v>1779555.815</v>
      </c>
      <c r="E11" s="15">
        <f>2295000-D11</f>
        <v>515444.1852</v>
      </c>
      <c r="F11" s="8">
        <f t="shared" ref="F11:F70" si="2">+H10*$D$4</f>
        <v>800000</v>
      </c>
      <c r="G11" s="8">
        <f t="shared" ref="G11:G70" si="3">+D11+E11-F11</f>
        <v>1495000</v>
      </c>
      <c r="H11" s="8">
        <f t="shared" ref="H11:H70" si="4">+H10-G11</f>
        <v>78505000</v>
      </c>
      <c r="J11" s="5"/>
      <c r="L11" s="33">
        <v>45980.0</v>
      </c>
      <c r="M11" s="34" t="s">
        <v>44</v>
      </c>
      <c r="N11" s="35" t="s">
        <v>586</v>
      </c>
      <c r="O11" s="36"/>
      <c r="P11" s="36">
        <v>1.0E7</v>
      </c>
      <c r="Q11" s="36"/>
      <c r="R11" s="36"/>
      <c r="S11" s="36">
        <f t="shared" ref="S11:S21" si="5">SUM(O11:R11)</f>
        <v>10000000</v>
      </c>
      <c r="T11" s="36">
        <f t="shared" ref="T11:T21" si="6">T10-S11</f>
        <v>116773349</v>
      </c>
      <c r="U11" s="34"/>
    </row>
    <row r="12" ht="15.75" customHeight="1">
      <c r="A12" s="29">
        <v>46048.0</v>
      </c>
      <c r="B12" s="2" t="s">
        <v>587</v>
      </c>
      <c r="C12" s="30">
        <v>46047.0</v>
      </c>
      <c r="D12" s="8">
        <f t="shared" si="1"/>
        <v>1779555.815</v>
      </c>
      <c r="E12" s="15">
        <f>1780000-D12</f>
        <v>444.1852079</v>
      </c>
      <c r="F12" s="8">
        <f t="shared" si="2"/>
        <v>785050</v>
      </c>
      <c r="G12" s="8">
        <f t="shared" si="3"/>
        <v>994950</v>
      </c>
      <c r="H12" s="8">
        <f t="shared" si="4"/>
        <v>77510050</v>
      </c>
      <c r="J12" s="5"/>
      <c r="L12" s="33">
        <v>45988.0</v>
      </c>
      <c r="M12" s="34" t="s">
        <v>44</v>
      </c>
      <c r="N12" s="35" t="s">
        <v>588</v>
      </c>
      <c r="O12" s="36"/>
      <c r="P12" s="36">
        <v>1.0E7</v>
      </c>
      <c r="Q12" s="36"/>
      <c r="R12" s="36"/>
      <c r="S12" s="36">
        <f t="shared" si="5"/>
        <v>10000000</v>
      </c>
      <c r="T12" s="36">
        <f t="shared" si="6"/>
        <v>106773349</v>
      </c>
      <c r="U12" s="34"/>
    </row>
    <row r="13" ht="15.75" customHeight="1">
      <c r="A13" s="29">
        <v>46071.0</v>
      </c>
      <c r="B13" s="2" t="s">
        <v>589</v>
      </c>
      <c r="C13" s="30">
        <v>46078.0</v>
      </c>
      <c r="D13" s="8">
        <f t="shared" si="1"/>
        <v>1779555.815</v>
      </c>
      <c r="E13" s="15">
        <f>2000000-D13</f>
        <v>220444.1852</v>
      </c>
      <c r="F13" s="8">
        <f t="shared" si="2"/>
        <v>775100.5</v>
      </c>
      <c r="G13" s="8">
        <f t="shared" si="3"/>
        <v>1224899.5</v>
      </c>
      <c r="H13" s="8">
        <f t="shared" si="4"/>
        <v>76285150.5</v>
      </c>
      <c r="J13" s="5" t="s">
        <v>56</v>
      </c>
      <c r="L13" s="33">
        <v>46018.0</v>
      </c>
      <c r="M13" s="34" t="s">
        <v>73</v>
      </c>
      <c r="N13" s="35" t="s">
        <v>585</v>
      </c>
      <c r="O13" s="36"/>
      <c r="P13" s="36">
        <v>2295000.0</v>
      </c>
      <c r="Q13" s="36"/>
      <c r="R13" s="36"/>
      <c r="S13" s="36">
        <f t="shared" si="5"/>
        <v>2295000</v>
      </c>
      <c r="T13" s="36">
        <f t="shared" si="6"/>
        <v>104478349</v>
      </c>
      <c r="U13" s="34"/>
    </row>
    <row r="14" ht="15.75" customHeight="1">
      <c r="A14" s="29">
        <v>46092.0</v>
      </c>
      <c r="B14" s="2" t="s">
        <v>590</v>
      </c>
      <c r="C14" s="30">
        <v>46106.0</v>
      </c>
      <c r="D14" s="8">
        <f t="shared" si="1"/>
        <v>1779555.815</v>
      </c>
      <c r="E14" s="15">
        <f>2664000-D14</f>
        <v>884444.1852</v>
      </c>
      <c r="F14" s="8">
        <f t="shared" si="2"/>
        <v>762851.505</v>
      </c>
      <c r="G14" s="8">
        <f t="shared" si="3"/>
        <v>1901148.495</v>
      </c>
      <c r="H14" s="8">
        <f t="shared" si="4"/>
        <v>74384002.01</v>
      </c>
      <c r="J14" s="8">
        <f>+H10</f>
        <v>80000000</v>
      </c>
      <c r="L14" s="33">
        <v>46048.0</v>
      </c>
      <c r="M14" s="34" t="s">
        <v>78</v>
      </c>
      <c r="N14" s="35" t="s">
        <v>587</v>
      </c>
      <c r="O14" s="36"/>
      <c r="P14" s="36">
        <v>1780000.0</v>
      </c>
      <c r="Q14" s="36"/>
      <c r="R14" s="36"/>
      <c r="S14" s="36">
        <f t="shared" si="5"/>
        <v>1780000</v>
      </c>
      <c r="T14" s="36">
        <f t="shared" si="6"/>
        <v>102698349</v>
      </c>
      <c r="U14" s="34"/>
    </row>
    <row r="15" ht="15.75" customHeight="1">
      <c r="A15" s="29">
        <v>46136.0</v>
      </c>
      <c r="B15" s="2" t="s">
        <v>591</v>
      </c>
      <c r="C15" s="30">
        <v>46137.0</v>
      </c>
      <c r="D15" s="8">
        <f t="shared" si="1"/>
        <v>1779555.815</v>
      </c>
      <c r="E15" s="15">
        <f>1800000-D15</f>
        <v>20444.18521</v>
      </c>
      <c r="F15" s="8">
        <f t="shared" si="2"/>
        <v>743840.0201</v>
      </c>
      <c r="G15" s="8">
        <f t="shared" si="3"/>
        <v>1056159.98</v>
      </c>
      <c r="H15" s="8">
        <f t="shared" si="4"/>
        <v>73327842.03</v>
      </c>
      <c r="J15" s="5"/>
      <c r="L15" s="33">
        <v>46069.0</v>
      </c>
      <c r="M15" s="34" t="s">
        <v>83</v>
      </c>
      <c r="N15" s="35" t="s">
        <v>589</v>
      </c>
      <c r="O15" s="36"/>
      <c r="P15" s="36">
        <v>2000000.0</v>
      </c>
      <c r="Q15" s="36"/>
      <c r="R15" s="36"/>
      <c r="S15" s="36">
        <f t="shared" si="5"/>
        <v>2000000</v>
      </c>
      <c r="T15" s="36">
        <f t="shared" si="6"/>
        <v>100698349</v>
      </c>
      <c r="U15" s="34"/>
    </row>
    <row r="16" ht="15.75" customHeight="1">
      <c r="A16" s="29">
        <v>46168.0</v>
      </c>
      <c r="B16" s="2" t="s">
        <v>592</v>
      </c>
      <c r="C16" s="30">
        <v>46167.0</v>
      </c>
      <c r="D16" s="8">
        <f t="shared" si="1"/>
        <v>1779555.815</v>
      </c>
      <c r="E16" s="15">
        <f>3500000-D16</f>
        <v>1720444.185</v>
      </c>
      <c r="F16" s="8">
        <f t="shared" si="2"/>
        <v>733278.4203</v>
      </c>
      <c r="G16" s="8">
        <f t="shared" si="3"/>
        <v>2766721.58</v>
      </c>
      <c r="H16" s="8">
        <f t="shared" si="4"/>
        <v>70561120.45</v>
      </c>
      <c r="J16" s="5"/>
      <c r="L16" s="33">
        <v>46092.0</v>
      </c>
      <c r="M16" s="34" t="s">
        <v>85</v>
      </c>
      <c r="N16" s="35" t="s">
        <v>590</v>
      </c>
      <c r="O16" s="36"/>
      <c r="P16" s="36">
        <v>2664000.0</v>
      </c>
      <c r="Q16" s="36"/>
      <c r="R16" s="36"/>
      <c r="S16" s="36">
        <f t="shared" si="5"/>
        <v>2664000</v>
      </c>
      <c r="T16" s="36">
        <f t="shared" si="6"/>
        <v>98034349</v>
      </c>
      <c r="U16" s="34"/>
    </row>
    <row r="17" ht="15.75" customHeight="1">
      <c r="A17" s="29">
        <v>46198.0</v>
      </c>
      <c r="B17" s="2" t="s">
        <v>593</v>
      </c>
      <c r="C17" s="30">
        <v>46198.0</v>
      </c>
      <c r="D17" s="8">
        <f t="shared" si="1"/>
        <v>1779555.815</v>
      </c>
      <c r="E17" s="15">
        <f t="shared" ref="E17:E19" si="7">1780000-D17</f>
        <v>444.1852079</v>
      </c>
      <c r="F17" s="8">
        <f t="shared" si="2"/>
        <v>705611.2045</v>
      </c>
      <c r="G17" s="8">
        <f t="shared" si="3"/>
        <v>1074388.796</v>
      </c>
      <c r="H17" s="8">
        <f t="shared" si="4"/>
        <v>69486731.65</v>
      </c>
      <c r="J17" s="5"/>
      <c r="L17" s="33">
        <v>46136.0</v>
      </c>
      <c r="M17" s="34" t="s">
        <v>89</v>
      </c>
      <c r="N17" s="35" t="s">
        <v>591</v>
      </c>
      <c r="O17" s="36"/>
      <c r="P17" s="36">
        <v>1800000.0</v>
      </c>
      <c r="Q17" s="36"/>
      <c r="R17" s="36"/>
      <c r="S17" s="36">
        <f t="shared" si="5"/>
        <v>1800000</v>
      </c>
      <c r="T17" s="36">
        <f t="shared" si="6"/>
        <v>96234349</v>
      </c>
      <c r="U17" s="34"/>
    </row>
    <row r="18" ht="15.75" customHeight="1">
      <c r="A18" s="29">
        <v>46228.0</v>
      </c>
      <c r="B18" s="2" t="s">
        <v>594</v>
      </c>
      <c r="C18" s="30">
        <v>46228.0</v>
      </c>
      <c r="D18" s="8">
        <f t="shared" si="1"/>
        <v>1779555.815</v>
      </c>
      <c r="E18" s="15">
        <f t="shared" si="7"/>
        <v>444.1852079</v>
      </c>
      <c r="F18" s="8">
        <f t="shared" si="2"/>
        <v>694867.3165</v>
      </c>
      <c r="G18" s="8">
        <f t="shared" si="3"/>
        <v>1085132.684</v>
      </c>
      <c r="H18" s="8">
        <f t="shared" si="4"/>
        <v>68401598.97</v>
      </c>
      <c r="J18" s="5"/>
      <c r="L18" s="33">
        <v>46168.0</v>
      </c>
      <c r="M18" s="34" t="s">
        <v>93</v>
      </c>
      <c r="N18" s="35" t="s">
        <v>592</v>
      </c>
      <c r="O18" s="36"/>
      <c r="P18" s="36">
        <v>3500000.0</v>
      </c>
      <c r="Q18" s="36"/>
      <c r="R18" s="36"/>
      <c r="S18" s="36">
        <f t="shared" si="5"/>
        <v>3500000</v>
      </c>
      <c r="T18" s="36">
        <f t="shared" si="6"/>
        <v>92734349</v>
      </c>
      <c r="U18" s="34"/>
    </row>
    <row r="19" ht="15.75" customHeight="1">
      <c r="A19" s="29">
        <v>46263.0</v>
      </c>
      <c r="B19" s="2" t="s">
        <v>595</v>
      </c>
      <c r="C19" s="30">
        <v>46259.0</v>
      </c>
      <c r="D19" s="8">
        <f t="shared" si="1"/>
        <v>1779555.815</v>
      </c>
      <c r="E19" s="15">
        <f t="shared" si="7"/>
        <v>444.1852079</v>
      </c>
      <c r="F19" s="8">
        <f t="shared" si="2"/>
        <v>684015.9897</v>
      </c>
      <c r="G19" s="8">
        <f t="shared" si="3"/>
        <v>1095984.01</v>
      </c>
      <c r="H19" s="8">
        <f t="shared" si="4"/>
        <v>67305614.96</v>
      </c>
      <c r="I19" s="1"/>
      <c r="J19" s="41"/>
      <c r="K19" s="1"/>
      <c r="L19" s="42">
        <v>46198.0</v>
      </c>
      <c r="M19" s="43" t="s">
        <v>96</v>
      </c>
      <c r="N19" s="44" t="s">
        <v>593</v>
      </c>
      <c r="O19" s="45"/>
      <c r="P19" s="45">
        <v>1780000.0</v>
      </c>
      <c r="Q19" s="45"/>
      <c r="R19" s="45"/>
      <c r="S19" s="45">
        <f t="shared" si="5"/>
        <v>1780000</v>
      </c>
      <c r="T19" s="45">
        <f t="shared" si="6"/>
        <v>90954349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46290.0</v>
      </c>
      <c r="D20" s="8">
        <f t="shared" si="1"/>
        <v>1779555.815</v>
      </c>
      <c r="E20" s="15"/>
      <c r="F20" s="8">
        <f t="shared" si="2"/>
        <v>673056.1496</v>
      </c>
      <c r="G20" s="8">
        <f t="shared" si="3"/>
        <v>1106499.665</v>
      </c>
      <c r="H20" s="8">
        <f t="shared" si="4"/>
        <v>66199115.29</v>
      </c>
      <c r="J20" s="5"/>
      <c r="L20" s="33">
        <v>46228.0</v>
      </c>
      <c r="M20" s="34" t="s">
        <v>100</v>
      </c>
      <c r="N20" s="35" t="s">
        <v>594</v>
      </c>
      <c r="O20" s="36"/>
      <c r="P20" s="36">
        <v>1780000.0</v>
      </c>
      <c r="Q20" s="36"/>
      <c r="R20" s="36"/>
      <c r="S20" s="36">
        <f t="shared" si="5"/>
        <v>1780000</v>
      </c>
      <c r="T20" s="36">
        <f t="shared" si="6"/>
        <v>89174349</v>
      </c>
      <c r="U20" s="34"/>
    </row>
    <row r="21" ht="15.75" customHeight="1">
      <c r="A21" s="37"/>
      <c r="B21" s="2"/>
      <c r="C21" s="30">
        <v>46320.0</v>
      </c>
      <c r="D21" s="8">
        <f t="shared" si="1"/>
        <v>1779555.815</v>
      </c>
      <c r="E21" s="15"/>
      <c r="F21" s="8">
        <f t="shared" si="2"/>
        <v>661991.1529</v>
      </c>
      <c r="G21" s="8">
        <f t="shared" si="3"/>
        <v>1117564.662</v>
      </c>
      <c r="H21" s="8">
        <f t="shared" si="4"/>
        <v>65081550.63</v>
      </c>
      <c r="J21" s="5"/>
      <c r="L21" s="40">
        <v>46263.0</v>
      </c>
      <c r="M21" s="34" t="s">
        <v>103</v>
      </c>
      <c r="N21" s="35" t="s">
        <v>595</v>
      </c>
      <c r="O21" s="36"/>
      <c r="P21" s="36"/>
      <c r="Q21" s="36"/>
      <c r="R21" s="36">
        <v>1780000.0</v>
      </c>
      <c r="S21" s="36">
        <f t="shared" si="5"/>
        <v>1780000</v>
      </c>
      <c r="T21" s="36">
        <f t="shared" si="6"/>
        <v>87394349</v>
      </c>
      <c r="U21" s="34" t="s">
        <v>125</v>
      </c>
    </row>
    <row r="22" ht="15.75" customHeight="1">
      <c r="A22" s="37"/>
      <c r="B22" s="2"/>
      <c r="C22" s="30">
        <v>46351.0</v>
      </c>
      <c r="D22" s="8">
        <f t="shared" si="1"/>
        <v>1779555.815</v>
      </c>
      <c r="E22" s="15"/>
      <c r="F22" s="8">
        <f t="shared" si="2"/>
        <v>650815.5063</v>
      </c>
      <c r="G22" s="8">
        <f t="shared" si="3"/>
        <v>1128740.309</v>
      </c>
      <c r="H22" s="8">
        <f t="shared" si="4"/>
        <v>63952810.32</v>
      </c>
      <c r="J22" s="5"/>
      <c r="L22" s="25"/>
      <c r="M22" s="38" t="s">
        <v>69</v>
      </c>
      <c r="N22" s="39"/>
      <c r="O22" s="27">
        <f t="shared" ref="O22:S22" si="8">SUM(O11:O21)</f>
        <v>0</v>
      </c>
      <c r="P22" s="27">
        <f t="shared" si="8"/>
        <v>37599000</v>
      </c>
      <c r="Q22" s="27">
        <f t="shared" si="8"/>
        <v>0</v>
      </c>
      <c r="R22" s="27">
        <f t="shared" si="8"/>
        <v>1780000</v>
      </c>
      <c r="S22" s="27">
        <f t="shared" si="8"/>
        <v>39379000</v>
      </c>
      <c r="T22" s="27">
        <f>T21</f>
        <v>87394349</v>
      </c>
      <c r="U22" s="25"/>
    </row>
    <row r="23" ht="15.75" customHeight="1">
      <c r="A23" s="37"/>
      <c r="B23" s="2"/>
      <c r="C23" s="30">
        <v>46381.0</v>
      </c>
      <c r="D23" s="8">
        <f t="shared" si="1"/>
        <v>1779555.815</v>
      </c>
      <c r="E23" s="46"/>
      <c r="F23" s="8">
        <f t="shared" si="2"/>
        <v>639528.1032</v>
      </c>
      <c r="G23" s="8">
        <f t="shared" si="3"/>
        <v>1140027.712</v>
      </c>
      <c r="H23" s="8">
        <f t="shared" si="4"/>
        <v>62812782.61</v>
      </c>
      <c r="J23" s="5"/>
    </row>
    <row r="24" ht="15.75" customHeight="1">
      <c r="A24" s="37"/>
      <c r="B24" s="2"/>
      <c r="C24" s="30">
        <v>46412.0</v>
      </c>
      <c r="D24" s="8">
        <f t="shared" si="1"/>
        <v>1779555.815</v>
      </c>
      <c r="E24" s="46"/>
      <c r="F24" s="8">
        <f t="shared" si="2"/>
        <v>628127.8261</v>
      </c>
      <c r="G24" s="8">
        <f t="shared" si="3"/>
        <v>1151427.989</v>
      </c>
      <c r="H24" s="8">
        <f t="shared" si="4"/>
        <v>61661354.62</v>
      </c>
      <c r="J24" s="5"/>
    </row>
    <row r="25" ht="15.75" customHeight="1">
      <c r="B25" s="2"/>
      <c r="C25" s="30">
        <v>46443.0</v>
      </c>
      <c r="D25" s="8">
        <f t="shared" si="1"/>
        <v>1779555.815</v>
      </c>
      <c r="E25" s="46"/>
      <c r="F25" s="8">
        <f t="shared" si="2"/>
        <v>616613.5462</v>
      </c>
      <c r="G25" s="8">
        <f t="shared" si="3"/>
        <v>1162942.269</v>
      </c>
      <c r="H25" s="8">
        <f t="shared" si="4"/>
        <v>60498412.35</v>
      </c>
      <c r="J25" s="5"/>
    </row>
    <row r="26" ht="15.75" customHeight="1">
      <c r="B26" s="2"/>
      <c r="C26" s="30">
        <v>46471.0</v>
      </c>
      <c r="D26" s="8">
        <f t="shared" si="1"/>
        <v>1779555.815</v>
      </c>
      <c r="E26" s="46"/>
      <c r="F26" s="8">
        <f t="shared" si="2"/>
        <v>604984.1235</v>
      </c>
      <c r="G26" s="8">
        <f t="shared" si="3"/>
        <v>1174571.691</v>
      </c>
      <c r="H26" s="8">
        <f t="shared" si="4"/>
        <v>59323840.66</v>
      </c>
      <c r="J26" s="5"/>
    </row>
    <row r="27" ht="15.75" customHeight="1">
      <c r="B27" s="2"/>
      <c r="C27" s="30">
        <v>46502.0</v>
      </c>
      <c r="D27" s="8">
        <f t="shared" si="1"/>
        <v>1779555.815</v>
      </c>
      <c r="E27" s="46"/>
      <c r="F27" s="8">
        <f t="shared" si="2"/>
        <v>593238.4066</v>
      </c>
      <c r="G27" s="8">
        <f t="shared" si="3"/>
        <v>1186317.408</v>
      </c>
      <c r="H27" s="8">
        <f t="shared" si="4"/>
        <v>58137523.25</v>
      </c>
      <c r="J27" s="5"/>
    </row>
    <row r="28" ht="15.75" customHeight="1">
      <c r="B28" s="2"/>
      <c r="C28" s="30">
        <v>46532.0</v>
      </c>
      <c r="D28" s="8">
        <f t="shared" si="1"/>
        <v>1779555.815</v>
      </c>
      <c r="E28" s="46"/>
      <c r="F28" s="8">
        <f t="shared" si="2"/>
        <v>581375.2325</v>
      </c>
      <c r="G28" s="8">
        <f t="shared" si="3"/>
        <v>1198180.582</v>
      </c>
      <c r="H28" s="8">
        <f t="shared" si="4"/>
        <v>56939342.67</v>
      </c>
      <c r="J28" s="5"/>
    </row>
    <row r="29" ht="15.75" customHeight="1">
      <c r="B29" s="2"/>
      <c r="C29" s="30">
        <v>46563.0</v>
      </c>
      <c r="D29" s="8">
        <f t="shared" si="1"/>
        <v>1779555.815</v>
      </c>
      <c r="E29" s="46"/>
      <c r="F29" s="8">
        <f t="shared" si="2"/>
        <v>569393.4267</v>
      </c>
      <c r="G29" s="8">
        <f t="shared" si="3"/>
        <v>1210162.388</v>
      </c>
      <c r="H29" s="8">
        <f t="shared" si="4"/>
        <v>55729180.28</v>
      </c>
      <c r="J29" s="5"/>
    </row>
    <row r="30" ht="15.75" customHeight="1">
      <c r="B30" s="2"/>
      <c r="C30" s="30">
        <v>46593.0</v>
      </c>
      <c r="D30" s="8">
        <f t="shared" si="1"/>
        <v>1779555.815</v>
      </c>
      <c r="E30" s="46"/>
      <c r="F30" s="8">
        <f t="shared" si="2"/>
        <v>557291.8028</v>
      </c>
      <c r="G30" s="8">
        <f t="shared" si="3"/>
        <v>1222264.012</v>
      </c>
      <c r="H30" s="8">
        <f t="shared" si="4"/>
        <v>54506916.27</v>
      </c>
      <c r="J30" s="5"/>
    </row>
    <row r="31" ht="15.75" customHeight="1">
      <c r="B31" s="2"/>
      <c r="C31" s="30">
        <v>46624.0</v>
      </c>
      <c r="D31" s="8">
        <f t="shared" si="1"/>
        <v>1779555.815</v>
      </c>
      <c r="E31" s="46"/>
      <c r="F31" s="8">
        <f t="shared" si="2"/>
        <v>545069.1627</v>
      </c>
      <c r="G31" s="8">
        <f t="shared" si="3"/>
        <v>1234486.652</v>
      </c>
      <c r="H31" s="8">
        <f t="shared" si="4"/>
        <v>53272429.62</v>
      </c>
      <c r="J31" s="5"/>
    </row>
    <row r="32" ht="15.75" customHeight="1">
      <c r="B32" s="2"/>
      <c r="C32" s="30">
        <v>46655.0</v>
      </c>
      <c r="D32" s="8">
        <f t="shared" si="1"/>
        <v>1779555.815</v>
      </c>
      <c r="E32" s="46"/>
      <c r="F32" s="8">
        <f t="shared" si="2"/>
        <v>532724.2962</v>
      </c>
      <c r="G32" s="8">
        <f t="shared" si="3"/>
        <v>1246831.519</v>
      </c>
      <c r="H32" s="8">
        <f t="shared" si="4"/>
        <v>52025598.1</v>
      </c>
      <c r="J32" s="5"/>
    </row>
    <row r="33" ht="15.75" customHeight="1">
      <c r="B33" s="2"/>
      <c r="C33" s="30">
        <v>46685.0</v>
      </c>
      <c r="D33" s="8">
        <f t="shared" si="1"/>
        <v>1779555.815</v>
      </c>
      <c r="E33" s="46"/>
      <c r="F33" s="8">
        <f t="shared" si="2"/>
        <v>520255.981</v>
      </c>
      <c r="G33" s="8">
        <f t="shared" si="3"/>
        <v>1259299.834</v>
      </c>
      <c r="H33" s="8">
        <f t="shared" si="4"/>
        <v>50766298.27</v>
      </c>
      <c r="J33" s="5"/>
    </row>
    <row r="34" ht="15.75" customHeight="1">
      <c r="B34" s="2"/>
      <c r="C34" s="30">
        <v>46716.0</v>
      </c>
      <c r="D34" s="8">
        <f t="shared" si="1"/>
        <v>1779555.815</v>
      </c>
      <c r="E34" s="46"/>
      <c r="F34" s="8">
        <f t="shared" si="2"/>
        <v>507662.9827</v>
      </c>
      <c r="G34" s="8">
        <f t="shared" si="3"/>
        <v>1271892.832</v>
      </c>
      <c r="H34" s="8">
        <f t="shared" si="4"/>
        <v>49494405.43</v>
      </c>
      <c r="J34" s="5"/>
    </row>
    <row r="35" ht="15.75" customHeight="1">
      <c r="B35" s="2"/>
      <c r="C35" s="30">
        <v>46746.0</v>
      </c>
      <c r="D35" s="8">
        <f t="shared" si="1"/>
        <v>1779555.815</v>
      </c>
      <c r="E35" s="46"/>
      <c r="F35" s="8">
        <f t="shared" si="2"/>
        <v>494944.0543</v>
      </c>
      <c r="G35" s="8">
        <f t="shared" si="3"/>
        <v>1284611.76</v>
      </c>
      <c r="H35" s="8">
        <f t="shared" si="4"/>
        <v>48209793.67</v>
      </c>
      <c r="J35" s="5"/>
    </row>
    <row r="36" ht="15.75" customHeight="1">
      <c r="B36" s="2"/>
      <c r="C36" s="30">
        <v>46777.0</v>
      </c>
      <c r="D36" s="8">
        <f t="shared" si="1"/>
        <v>1779555.815</v>
      </c>
      <c r="E36" s="46"/>
      <c r="F36" s="8">
        <f t="shared" si="2"/>
        <v>482097.9367</v>
      </c>
      <c r="G36" s="8">
        <f t="shared" si="3"/>
        <v>1297457.878</v>
      </c>
      <c r="H36" s="8">
        <f t="shared" si="4"/>
        <v>46912335.79</v>
      </c>
      <c r="J36" s="5"/>
    </row>
    <row r="37" ht="15.75" customHeight="1">
      <c r="B37" s="2"/>
      <c r="C37" s="30">
        <v>46808.0</v>
      </c>
      <c r="D37" s="8">
        <f t="shared" si="1"/>
        <v>1779555.815</v>
      </c>
      <c r="E37" s="46"/>
      <c r="F37" s="8">
        <f t="shared" si="2"/>
        <v>469123.3579</v>
      </c>
      <c r="G37" s="8">
        <f t="shared" si="3"/>
        <v>1310432.457</v>
      </c>
      <c r="H37" s="8">
        <f t="shared" si="4"/>
        <v>45601903.34</v>
      </c>
      <c r="J37" s="5"/>
    </row>
    <row r="38" ht="15.75" customHeight="1">
      <c r="B38" s="2"/>
      <c r="C38" s="30">
        <v>46837.0</v>
      </c>
      <c r="D38" s="8">
        <f t="shared" si="1"/>
        <v>1779555.815</v>
      </c>
      <c r="E38" s="46"/>
      <c r="F38" s="8">
        <f t="shared" si="2"/>
        <v>456019.0334</v>
      </c>
      <c r="G38" s="8">
        <f t="shared" si="3"/>
        <v>1323536.781</v>
      </c>
      <c r="H38" s="8">
        <f t="shared" si="4"/>
        <v>44278366.56</v>
      </c>
      <c r="J38" s="5"/>
    </row>
    <row r="39" ht="15.75" customHeight="1">
      <c r="B39" s="2"/>
      <c r="C39" s="30">
        <v>46868.0</v>
      </c>
      <c r="D39" s="8">
        <f t="shared" si="1"/>
        <v>1779555.815</v>
      </c>
      <c r="E39" s="46"/>
      <c r="F39" s="8">
        <f t="shared" si="2"/>
        <v>442783.6656</v>
      </c>
      <c r="G39" s="8">
        <f t="shared" si="3"/>
        <v>1336772.149</v>
      </c>
      <c r="H39" s="8">
        <f t="shared" si="4"/>
        <v>42941594.41</v>
      </c>
      <c r="J39" s="5"/>
    </row>
    <row r="40" ht="15.75" customHeight="1">
      <c r="B40" s="2"/>
      <c r="C40" s="30">
        <v>46898.0</v>
      </c>
      <c r="D40" s="8">
        <f t="shared" si="1"/>
        <v>1779555.815</v>
      </c>
      <c r="E40" s="46"/>
      <c r="F40" s="8">
        <f t="shared" si="2"/>
        <v>429415.9441</v>
      </c>
      <c r="G40" s="8">
        <f t="shared" si="3"/>
        <v>1350139.871</v>
      </c>
      <c r="H40" s="8">
        <f t="shared" si="4"/>
        <v>41591454.54</v>
      </c>
      <c r="J40" s="5"/>
    </row>
    <row r="41" ht="15.75" customHeight="1">
      <c r="B41" s="2"/>
      <c r="C41" s="30">
        <v>46929.0</v>
      </c>
      <c r="D41" s="8">
        <f t="shared" si="1"/>
        <v>1779555.815</v>
      </c>
      <c r="E41" s="46"/>
      <c r="F41" s="8">
        <f t="shared" si="2"/>
        <v>415914.5454</v>
      </c>
      <c r="G41" s="8">
        <f t="shared" si="3"/>
        <v>1363641.269</v>
      </c>
      <c r="H41" s="8">
        <f t="shared" si="4"/>
        <v>40227813.27</v>
      </c>
      <c r="J41" s="5"/>
    </row>
    <row r="42" ht="15.75" customHeight="1">
      <c r="B42" s="2"/>
      <c r="C42" s="30">
        <v>46959.0</v>
      </c>
      <c r="D42" s="8">
        <f t="shared" si="1"/>
        <v>1779555.815</v>
      </c>
      <c r="E42" s="46"/>
      <c r="F42" s="8">
        <f t="shared" si="2"/>
        <v>402278.1327</v>
      </c>
      <c r="G42" s="8">
        <f t="shared" si="3"/>
        <v>1377277.682</v>
      </c>
      <c r="H42" s="8">
        <f t="shared" si="4"/>
        <v>38850535.58</v>
      </c>
      <c r="J42" s="5"/>
    </row>
    <row r="43" ht="15.75" customHeight="1">
      <c r="B43" s="2"/>
      <c r="C43" s="30">
        <v>46990.0</v>
      </c>
      <c r="D43" s="8">
        <f t="shared" si="1"/>
        <v>1779555.815</v>
      </c>
      <c r="E43" s="46"/>
      <c r="F43" s="8">
        <f t="shared" si="2"/>
        <v>388505.3558</v>
      </c>
      <c r="G43" s="8">
        <f t="shared" si="3"/>
        <v>1391050.459</v>
      </c>
      <c r="H43" s="8">
        <f t="shared" si="4"/>
        <v>37459485.13</v>
      </c>
      <c r="J43" s="5"/>
    </row>
    <row r="44" ht="15.75" customHeight="1">
      <c r="B44" s="2"/>
      <c r="C44" s="30">
        <v>47021.0</v>
      </c>
      <c r="D44" s="8">
        <f t="shared" si="1"/>
        <v>1779555.815</v>
      </c>
      <c r="E44" s="46"/>
      <c r="F44" s="8">
        <f t="shared" si="2"/>
        <v>374594.8513</v>
      </c>
      <c r="G44" s="8">
        <f t="shared" si="3"/>
        <v>1404960.964</v>
      </c>
      <c r="H44" s="8">
        <f t="shared" si="4"/>
        <v>36054524.16</v>
      </c>
      <c r="J44" s="5"/>
    </row>
    <row r="45" ht="15.75" customHeight="1">
      <c r="B45" s="2"/>
      <c r="C45" s="30">
        <v>47051.0</v>
      </c>
      <c r="D45" s="8">
        <f t="shared" si="1"/>
        <v>1779555.815</v>
      </c>
      <c r="E45" s="46"/>
      <c r="F45" s="8">
        <f t="shared" si="2"/>
        <v>360545.2416</v>
      </c>
      <c r="G45" s="8">
        <f t="shared" si="3"/>
        <v>1419010.573</v>
      </c>
      <c r="H45" s="8">
        <f t="shared" si="4"/>
        <v>34635513.59</v>
      </c>
      <c r="J45" s="5"/>
    </row>
    <row r="46" ht="15.75" customHeight="1">
      <c r="B46" s="2"/>
      <c r="C46" s="30">
        <v>47082.0</v>
      </c>
      <c r="D46" s="8">
        <f t="shared" si="1"/>
        <v>1779555.815</v>
      </c>
      <c r="E46" s="46"/>
      <c r="F46" s="8">
        <f t="shared" si="2"/>
        <v>346355.1359</v>
      </c>
      <c r="G46" s="8">
        <f t="shared" si="3"/>
        <v>1433200.679</v>
      </c>
      <c r="H46" s="8">
        <f t="shared" si="4"/>
        <v>33202312.91</v>
      </c>
      <c r="J46" s="5"/>
    </row>
    <row r="47" ht="15.75" customHeight="1">
      <c r="B47" s="2"/>
      <c r="C47" s="30">
        <v>47112.0</v>
      </c>
      <c r="D47" s="8">
        <f t="shared" si="1"/>
        <v>1779555.815</v>
      </c>
      <c r="E47" s="46"/>
      <c r="F47" s="8">
        <f t="shared" si="2"/>
        <v>332023.1291</v>
      </c>
      <c r="G47" s="8">
        <f t="shared" si="3"/>
        <v>1447532.686</v>
      </c>
      <c r="H47" s="8">
        <f t="shared" si="4"/>
        <v>31754780.22</v>
      </c>
      <c r="J47" s="5"/>
    </row>
    <row r="48" ht="15.75" customHeight="1">
      <c r="B48" s="2"/>
      <c r="C48" s="30">
        <v>47143.0</v>
      </c>
      <c r="D48" s="8">
        <f t="shared" si="1"/>
        <v>1779555.815</v>
      </c>
      <c r="E48" s="46"/>
      <c r="F48" s="8">
        <f t="shared" si="2"/>
        <v>317547.8022</v>
      </c>
      <c r="G48" s="8">
        <f t="shared" si="3"/>
        <v>1462008.013</v>
      </c>
      <c r="H48" s="8">
        <f t="shared" si="4"/>
        <v>30292772.21</v>
      </c>
      <c r="J48" s="5"/>
    </row>
    <row r="49" ht="15.75" customHeight="1">
      <c r="B49" s="2"/>
      <c r="C49" s="30">
        <v>47174.0</v>
      </c>
      <c r="D49" s="8">
        <f t="shared" si="1"/>
        <v>1779555.815</v>
      </c>
      <c r="E49" s="46"/>
      <c r="F49" s="8">
        <f t="shared" si="2"/>
        <v>302927.7221</v>
      </c>
      <c r="G49" s="8">
        <f t="shared" si="3"/>
        <v>1476628.093</v>
      </c>
      <c r="H49" s="8">
        <f t="shared" si="4"/>
        <v>28816144.12</v>
      </c>
      <c r="J49" s="5"/>
    </row>
    <row r="50" ht="15.75" customHeight="1">
      <c r="B50" s="2"/>
      <c r="C50" s="30">
        <v>47202.0</v>
      </c>
      <c r="D50" s="8">
        <f t="shared" si="1"/>
        <v>1779555.815</v>
      </c>
      <c r="E50" s="46"/>
      <c r="F50" s="8">
        <f t="shared" si="2"/>
        <v>288161.4412</v>
      </c>
      <c r="G50" s="8">
        <f t="shared" si="3"/>
        <v>1491394.374</v>
      </c>
      <c r="H50" s="8">
        <f t="shared" si="4"/>
        <v>27324749.75</v>
      </c>
      <c r="J50" s="5"/>
    </row>
    <row r="51" ht="15.75" customHeight="1">
      <c r="B51" s="2"/>
      <c r="C51" s="30">
        <v>47233.0</v>
      </c>
      <c r="D51" s="8">
        <f t="shared" si="1"/>
        <v>1779555.815</v>
      </c>
      <c r="E51" s="46"/>
      <c r="F51" s="8">
        <f t="shared" si="2"/>
        <v>273247.4975</v>
      </c>
      <c r="G51" s="8">
        <f t="shared" si="3"/>
        <v>1506308.317</v>
      </c>
      <c r="H51" s="8">
        <f t="shared" si="4"/>
        <v>25818441.43</v>
      </c>
      <c r="J51" s="5"/>
    </row>
    <row r="52" ht="15.75" customHeight="1">
      <c r="B52" s="2"/>
      <c r="C52" s="30">
        <v>47263.0</v>
      </c>
      <c r="D52" s="8">
        <f t="shared" si="1"/>
        <v>1779555.815</v>
      </c>
      <c r="E52" s="46"/>
      <c r="F52" s="8">
        <f t="shared" si="2"/>
        <v>258184.4143</v>
      </c>
      <c r="G52" s="8">
        <f t="shared" si="3"/>
        <v>1521371.401</v>
      </c>
      <c r="H52" s="8">
        <f t="shared" si="4"/>
        <v>24297070.03</v>
      </c>
      <c r="J52" s="5"/>
    </row>
    <row r="53" ht="15.75" customHeight="1">
      <c r="B53" s="2"/>
      <c r="C53" s="30">
        <v>47294.0</v>
      </c>
      <c r="D53" s="8">
        <f t="shared" si="1"/>
        <v>1779555.815</v>
      </c>
      <c r="E53" s="46"/>
      <c r="F53" s="8">
        <f t="shared" si="2"/>
        <v>242970.7003</v>
      </c>
      <c r="G53" s="8">
        <f t="shared" si="3"/>
        <v>1536585.115</v>
      </c>
      <c r="H53" s="8">
        <f t="shared" si="4"/>
        <v>22760484.91</v>
      </c>
      <c r="J53" s="5"/>
    </row>
    <row r="54" ht="15.75" customHeight="1">
      <c r="B54" s="2"/>
      <c r="C54" s="30">
        <v>47324.0</v>
      </c>
      <c r="D54" s="8">
        <f t="shared" si="1"/>
        <v>1779555.815</v>
      </c>
      <c r="E54" s="46"/>
      <c r="F54" s="8">
        <f t="shared" si="2"/>
        <v>227604.8491</v>
      </c>
      <c r="G54" s="8">
        <f t="shared" si="3"/>
        <v>1551950.966</v>
      </c>
      <c r="H54" s="8">
        <f t="shared" si="4"/>
        <v>21208533.95</v>
      </c>
      <c r="J54" s="5"/>
    </row>
    <row r="55" ht="15.75" customHeight="1">
      <c r="B55" s="2"/>
      <c r="C55" s="30">
        <v>47355.0</v>
      </c>
      <c r="D55" s="8">
        <f t="shared" si="1"/>
        <v>1779555.815</v>
      </c>
      <c r="E55" s="46"/>
      <c r="F55" s="8">
        <f t="shared" si="2"/>
        <v>212085.3395</v>
      </c>
      <c r="G55" s="8">
        <f t="shared" si="3"/>
        <v>1567470.475</v>
      </c>
      <c r="H55" s="8">
        <f t="shared" si="4"/>
        <v>19641063.47</v>
      </c>
      <c r="J55" s="5"/>
    </row>
    <row r="56" ht="15.75" customHeight="1">
      <c r="B56" s="2"/>
      <c r="C56" s="30">
        <v>47386.0</v>
      </c>
      <c r="D56" s="8">
        <f t="shared" si="1"/>
        <v>1779555.815</v>
      </c>
      <c r="E56" s="46"/>
      <c r="F56" s="8">
        <f t="shared" si="2"/>
        <v>196410.6347</v>
      </c>
      <c r="G56" s="8">
        <f t="shared" si="3"/>
        <v>1583145.18</v>
      </c>
      <c r="H56" s="8">
        <f t="shared" si="4"/>
        <v>18057918.29</v>
      </c>
      <c r="J56" s="5"/>
    </row>
    <row r="57" ht="15.75" customHeight="1">
      <c r="B57" s="2"/>
      <c r="C57" s="30">
        <v>47416.0</v>
      </c>
      <c r="D57" s="8">
        <f t="shared" si="1"/>
        <v>1779555.815</v>
      </c>
      <c r="E57" s="46"/>
      <c r="F57" s="8">
        <f t="shared" si="2"/>
        <v>180579.1829</v>
      </c>
      <c r="G57" s="8">
        <f t="shared" si="3"/>
        <v>1598976.632</v>
      </c>
      <c r="H57" s="8">
        <f t="shared" si="4"/>
        <v>16458941.66</v>
      </c>
      <c r="J57" s="5"/>
    </row>
    <row r="58" ht="15.75" customHeight="1">
      <c r="B58" s="2"/>
      <c r="C58" s="30">
        <v>47447.0</v>
      </c>
      <c r="D58" s="8">
        <f t="shared" si="1"/>
        <v>1779555.815</v>
      </c>
      <c r="E58" s="46"/>
      <c r="F58" s="8">
        <f t="shared" si="2"/>
        <v>164589.4166</v>
      </c>
      <c r="G58" s="8">
        <f t="shared" si="3"/>
        <v>1614966.398</v>
      </c>
      <c r="H58" s="8">
        <f t="shared" si="4"/>
        <v>14843975.26</v>
      </c>
      <c r="J58" s="5"/>
    </row>
    <row r="59" ht="15.75" customHeight="1">
      <c r="B59" s="2"/>
      <c r="C59" s="30">
        <v>47477.0</v>
      </c>
      <c r="D59" s="8">
        <f t="shared" si="1"/>
        <v>1779555.815</v>
      </c>
      <c r="E59" s="46"/>
      <c r="F59" s="8">
        <f t="shared" si="2"/>
        <v>148439.7526</v>
      </c>
      <c r="G59" s="8">
        <f t="shared" si="3"/>
        <v>1631116.062</v>
      </c>
      <c r="H59" s="8">
        <f t="shared" si="4"/>
        <v>13212859.2</v>
      </c>
      <c r="J59" s="5"/>
    </row>
    <row r="60" ht="15.75" customHeight="1">
      <c r="B60" s="2"/>
      <c r="C60" s="30">
        <v>47508.0</v>
      </c>
      <c r="D60" s="8">
        <f t="shared" si="1"/>
        <v>1779555.815</v>
      </c>
      <c r="E60" s="46"/>
      <c r="F60" s="8">
        <f t="shared" si="2"/>
        <v>132128.592</v>
      </c>
      <c r="G60" s="8">
        <f t="shared" si="3"/>
        <v>1647427.223</v>
      </c>
      <c r="H60" s="8">
        <f t="shared" si="4"/>
        <v>11565431.98</v>
      </c>
      <c r="J60" s="5"/>
    </row>
    <row r="61" ht="15.75" customHeight="1">
      <c r="B61" s="2"/>
      <c r="C61" s="30">
        <v>47539.0</v>
      </c>
      <c r="D61" s="8">
        <f t="shared" si="1"/>
        <v>1779555.815</v>
      </c>
      <c r="E61" s="46"/>
      <c r="F61" s="8">
        <f t="shared" si="2"/>
        <v>115654.3198</v>
      </c>
      <c r="G61" s="8">
        <f t="shared" si="3"/>
        <v>1663901.495</v>
      </c>
      <c r="H61" s="8">
        <f t="shared" si="4"/>
        <v>9901530.482</v>
      </c>
      <c r="J61" s="5"/>
    </row>
    <row r="62" ht="15.75" customHeight="1">
      <c r="B62" s="2"/>
      <c r="C62" s="30">
        <v>47567.0</v>
      </c>
      <c r="D62" s="8">
        <f t="shared" si="1"/>
        <v>1779555.815</v>
      </c>
      <c r="E62" s="46"/>
      <c r="F62" s="8">
        <f t="shared" si="2"/>
        <v>99015.30482</v>
      </c>
      <c r="G62" s="8">
        <f t="shared" si="3"/>
        <v>1680540.51</v>
      </c>
      <c r="H62" s="8">
        <f t="shared" si="4"/>
        <v>8220989.972</v>
      </c>
      <c r="J62" s="5"/>
    </row>
    <row r="63" ht="15.75" customHeight="1">
      <c r="B63" s="2"/>
      <c r="C63" s="30">
        <v>47598.0</v>
      </c>
      <c r="D63" s="8">
        <f t="shared" si="1"/>
        <v>1779555.815</v>
      </c>
      <c r="E63" s="46"/>
      <c r="F63" s="8">
        <f t="shared" si="2"/>
        <v>82209.89972</v>
      </c>
      <c r="G63" s="8">
        <f t="shared" si="3"/>
        <v>1697345.915</v>
      </c>
      <c r="H63" s="8">
        <f t="shared" si="4"/>
        <v>6523644.057</v>
      </c>
      <c r="J63" s="5"/>
    </row>
    <row r="64" ht="15.75" customHeight="1">
      <c r="B64" s="2"/>
      <c r="C64" s="30">
        <v>47628.0</v>
      </c>
      <c r="D64" s="8">
        <f t="shared" si="1"/>
        <v>1779555.815</v>
      </c>
      <c r="E64" s="46"/>
      <c r="F64" s="8">
        <f t="shared" si="2"/>
        <v>65236.44057</v>
      </c>
      <c r="G64" s="8">
        <f t="shared" si="3"/>
        <v>1714319.374</v>
      </c>
      <c r="H64" s="8">
        <f t="shared" si="4"/>
        <v>4809324.683</v>
      </c>
      <c r="J64" s="5"/>
    </row>
    <row r="65" ht="15.75" customHeight="1">
      <c r="B65" s="2"/>
      <c r="C65" s="30">
        <v>47659.0</v>
      </c>
      <c r="D65" s="8">
        <f t="shared" si="1"/>
        <v>1779555.815</v>
      </c>
      <c r="E65" s="46"/>
      <c r="F65" s="8">
        <f t="shared" si="2"/>
        <v>48093.24683</v>
      </c>
      <c r="G65" s="8">
        <f t="shared" si="3"/>
        <v>1731462.568</v>
      </c>
      <c r="H65" s="8">
        <f t="shared" si="4"/>
        <v>3077862.115</v>
      </c>
      <c r="J65" s="5"/>
    </row>
    <row r="66" ht="15.75" customHeight="1">
      <c r="B66" s="2"/>
      <c r="C66" s="30">
        <v>47689.0</v>
      </c>
      <c r="D66" s="8">
        <f t="shared" si="1"/>
        <v>1779555.815</v>
      </c>
      <c r="E66" s="46"/>
      <c r="F66" s="8">
        <f t="shared" si="2"/>
        <v>30778.62115</v>
      </c>
      <c r="G66" s="8">
        <f t="shared" si="3"/>
        <v>1748777.194</v>
      </c>
      <c r="H66" s="8">
        <f t="shared" si="4"/>
        <v>1329084.921</v>
      </c>
      <c r="J66" s="5"/>
    </row>
    <row r="67" ht="15.75" customHeight="1">
      <c r="B67" s="2"/>
      <c r="C67" s="30">
        <v>47720.0</v>
      </c>
      <c r="D67" s="8">
        <f t="shared" si="1"/>
        <v>1779555.815</v>
      </c>
      <c r="E67" s="46"/>
      <c r="F67" s="8">
        <f t="shared" si="2"/>
        <v>13290.84921</v>
      </c>
      <c r="G67" s="8">
        <f t="shared" si="3"/>
        <v>1766264.966</v>
      </c>
      <c r="H67" s="8">
        <f t="shared" si="4"/>
        <v>-437180.0443</v>
      </c>
      <c r="J67" s="5"/>
    </row>
    <row r="68" ht="15.75" customHeight="1">
      <c r="B68" s="2"/>
      <c r="C68" s="30">
        <v>47751.0</v>
      </c>
      <c r="D68" s="8">
        <f t="shared" si="1"/>
        <v>1779555.815</v>
      </c>
      <c r="E68" s="46"/>
      <c r="F68" s="8">
        <f t="shared" si="2"/>
        <v>-4371.800443</v>
      </c>
      <c r="G68" s="8">
        <f t="shared" si="3"/>
        <v>1783927.615</v>
      </c>
      <c r="H68" s="8">
        <f t="shared" si="4"/>
        <v>-2221107.66</v>
      </c>
      <c r="J68" s="5"/>
    </row>
    <row r="69" ht="15.75" customHeight="1">
      <c r="A69" s="47"/>
      <c r="B69" s="48"/>
      <c r="C69" s="49">
        <v>47781.0</v>
      </c>
      <c r="D69" s="50">
        <f t="shared" si="1"/>
        <v>1779555.815</v>
      </c>
      <c r="E69" s="51"/>
      <c r="F69" s="50">
        <f t="shared" si="2"/>
        <v>-22211.0766</v>
      </c>
      <c r="G69" s="50">
        <f t="shared" si="3"/>
        <v>1801766.891</v>
      </c>
      <c r="H69" s="50">
        <f t="shared" si="4"/>
        <v>-4022874.551</v>
      </c>
      <c r="J69" s="5"/>
    </row>
    <row r="70" ht="15.75" customHeight="1">
      <c r="A70" s="47"/>
      <c r="B70" s="48"/>
      <c r="C70" s="49">
        <v>47812.0</v>
      </c>
      <c r="D70" s="50">
        <f t="shared" si="1"/>
        <v>1779555.815</v>
      </c>
      <c r="E70" s="51"/>
      <c r="F70" s="50">
        <f t="shared" si="2"/>
        <v>-40228.74551</v>
      </c>
      <c r="G70" s="50">
        <f t="shared" si="3"/>
        <v>1819784.56</v>
      </c>
      <c r="H70" s="50">
        <f t="shared" si="4"/>
        <v>-5842659.111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596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597</v>
      </c>
      <c r="H7" s="5"/>
      <c r="J7" s="5"/>
    </row>
    <row r="8" ht="15.75" customHeight="1">
      <c r="B8" s="2"/>
      <c r="C8" s="1" t="s">
        <v>172</v>
      </c>
      <c r="D8" s="2">
        <v>1.083929082E9</v>
      </c>
      <c r="H8" s="5"/>
      <c r="I8" s="17"/>
      <c r="J8" s="19"/>
      <c r="K8" s="17"/>
      <c r="L8" s="21" t="s">
        <v>598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45862.0</v>
      </c>
      <c r="B11" s="2" t="s">
        <v>599</v>
      </c>
      <c r="C11" s="30">
        <v>45863.0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45787.0</v>
      </c>
      <c r="M11" s="34" t="s">
        <v>44</v>
      </c>
      <c r="N11" s="35" t="s">
        <v>600</v>
      </c>
      <c r="O11" s="36"/>
      <c r="P11" s="36">
        <v>5000000.0</v>
      </c>
      <c r="Q11" s="36"/>
      <c r="R11" s="36"/>
      <c r="S11" s="36">
        <f t="shared" ref="S11:S25" si="5">SUM(O11:R11)</f>
        <v>5000000</v>
      </c>
      <c r="T11" s="36">
        <f t="shared" ref="T11:T25" si="6">T10-S11</f>
        <v>121867017</v>
      </c>
      <c r="U11" s="34"/>
    </row>
    <row r="12" ht="15.75" customHeight="1">
      <c r="A12" s="29">
        <v>45891.0</v>
      </c>
      <c r="B12" s="2" t="s">
        <v>601</v>
      </c>
      <c r="C12" s="30">
        <v>45894.0</v>
      </c>
      <c r="D12" s="8">
        <f t="shared" si="1"/>
        <v>1951950.284</v>
      </c>
      <c r="E12" s="15"/>
      <c r="F12" s="8">
        <f t="shared" si="2"/>
        <v>866755.4972</v>
      </c>
      <c r="G12" s="8">
        <f t="shared" si="3"/>
        <v>1085194.787</v>
      </c>
      <c r="H12" s="8">
        <f t="shared" si="4"/>
        <v>85590354.93</v>
      </c>
      <c r="J12" s="5"/>
      <c r="L12" s="33">
        <v>45817.0</v>
      </c>
      <c r="M12" s="34" t="s">
        <v>44</v>
      </c>
      <c r="N12" s="35" t="s">
        <v>602</v>
      </c>
      <c r="O12" s="36"/>
      <c r="P12" s="36">
        <v>4750000.0</v>
      </c>
      <c r="Q12" s="36"/>
      <c r="R12" s="36"/>
      <c r="S12" s="36">
        <f t="shared" si="5"/>
        <v>4750000</v>
      </c>
      <c r="T12" s="36">
        <f t="shared" si="6"/>
        <v>117117017</v>
      </c>
      <c r="U12" s="34"/>
    </row>
    <row r="13" ht="15.75" customHeight="1">
      <c r="A13" s="29">
        <v>45927.0</v>
      </c>
      <c r="B13" s="2" t="s">
        <v>603</v>
      </c>
      <c r="C13" s="30">
        <v>45925.0</v>
      </c>
      <c r="D13" s="8">
        <f t="shared" si="1"/>
        <v>1951950.284</v>
      </c>
      <c r="E13" s="15"/>
      <c r="F13" s="8">
        <f t="shared" si="2"/>
        <v>855903.5493</v>
      </c>
      <c r="G13" s="8">
        <f t="shared" si="3"/>
        <v>1096046.735</v>
      </c>
      <c r="H13" s="8">
        <f t="shared" si="4"/>
        <v>84494308.19</v>
      </c>
      <c r="J13" s="5" t="s">
        <v>56</v>
      </c>
      <c r="L13" s="33">
        <v>45862.0</v>
      </c>
      <c r="M13" s="34" t="s">
        <v>134</v>
      </c>
      <c r="N13" s="35" t="s">
        <v>599</v>
      </c>
      <c r="O13" s="36"/>
      <c r="P13" s="36">
        <v>3951950.0</v>
      </c>
      <c r="Q13" s="36"/>
      <c r="R13" s="36"/>
      <c r="S13" s="36">
        <f t="shared" si="5"/>
        <v>3951950</v>
      </c>
      <c r="T13" s="36">
        <f t="shared" si="6"/>
        <v>113165067</v>
      </c>
      <c r="U13" s="34"/>
    </row>
    <row r="14" ht="15.75" customHeight="1">
      <c r="A14" s="29">
        <v>45956.0</v>
      </c>
      <c r="B14" s="2" t="s">
        <v>604</v>
      </c>
      <c r="C14" s="30">
        <v>45955.0</v>
      </c>
      <c r="D14" s="8">
        <f t="shared" si="1"/>
        <v>1951950.284</v>
      </c>
      <c r="E14" s="15"/>
      <c r="F14" s="8">
        <f t="shared" si="2"/>
        <v>844943.0819</v>
      </c>
      <c r="G14" s="8">
        <f t="shared" si="3"/>
        <v>1107007.202</v>
      </c>
      <c r="H14" s="8">
        <f t="shared" si="4"/>
        <v>83387300.99</v>
      </c>
      <c r="J14" s="8">
        <f>+H10</f>
        <v>87750000</v>
      </c>
      <c r="L14" s="33">
        <v>45891.0</v>
      </c>
      <c r="M14" s="34" t="s">
        <v>78</v>
      </c>
      <c r="N14" s="35" t="s">
        <v>601</v>
      </c>
      <c r="O14" s="36"/>
      <c r="P14" s="36">
        <v>1951000.0</v>
      </c>
      <c r="Q14" s="36"/>
      <c r="R14" s="36"/>
      <c r="S14" s="36">
        <f t="shared" si="5"/>
        <v>1951000</v>
      </c>
      <c r="T14" s="36">
        <f t="shared" si="6"/>
        <v>111214067</v>
      </c>
      <c r="U14" s="34"/>
    </row>
    <row r="15" ht="15.75" customHeight="1">
      <c r="A15" s="29">
        <v>45991.0</v>
      </c>
      <c r="B15" s="2" t="s">
        <v>605</v>
      </c>
      <c r="C15" s="30">
        <v>45986.0</v>
      </c>
      <c r="D15" s="8">
        <f t="shared" si="1"/>
        <v>1951950.284</v>
      </c>
      <c r="E15" s="15"/>
      <c r="F15" s="8">
        <f t="shared" si="2"/>
        <v>833873.0099</v>
      </c>
      <c r="G15" s="8">
        <f t="shared" si="3"/>
        <v>1118077.274</v>
      </c>
      <c r="H15" s="8">
        <f t="shared" si="4"/>
        <v>82269223.72</v>
      </c>
      <c r="J15" s="5"/>
      <c r="L15" s="33">
        <v>45927.0</v>
      </c>
      <c r="M15" s="34" t="s">
        <v>83</v>
      </c>
      <c r="N15" s="35" t="s">
        <v>603</v>
      </c>
      <c r="O15" s="36"/>
      <c r="P15" s="36">
        <v>1951000.0</v>
      </c>
      <c r="Q15" s="36"/>
      <c r="R15" s="36"/>
      <c r="S15" s="36">
        <f t="shared" si="5"/>
        <v>1951000</v>
      </c>
      <c r="T15" s="36">
        <f t="shared" si="6"/>
        <v>109263067</v>
      </c>
      <c r="U15" s="34"/>
    </row>
    <row r="16" ht="15.75" customHeight="1">
      <c r="A16" s="29">
        <v>46018.0</v>
      </c>
      <c r="B16" s="2" t="s">
        <v>606</v>
      </c>
      <c r="C16" s="30">
        <v>46016.0</v>
      </c>
      <c r="D16" s="8">
        <f t="shared" si="1"/>
        <v>1951950.284</v>
      </c>
      <c r="E16" s="15">
        <f>1951000+1996200-D16</f>
        <v>1995249.716</v>
      </c>
      <c r="F16" s="8">
        <f t="shared" si="2"/>
        <v>822692.2372</v>
      </c>
      <c r="G16" s="8">
        <f t="shared" si="3"/>
        <v>3124507.763</v>
      </c>
      <c r="H16" s="8">
        <f t="shared" si="4"/>
        <v>79144715.95</v>
      </c>
      <c r="J16" s="5"/>
      <c r="L16" s="33">
        <v>45956.0</v>
      </c>
      <c r="M16" s="34" t="s">
        <v>85</v>
      </c>
      <c r="N16" s="35" t="s">
        <v>604</v>
      </c>
      <c r="O16" s="36"/>
      <c r="P16" s="36">
        <v>1951000.0</v>
      </c>
      <c r="Q16" s="36"/>
      <c r="R16" s="36"/>
      <c r="S16" s="36">
        <f t="shared" si="5"/>
        <v>1951000</v>
      </c>
      <c r="T16" s="36">
        <f t="shared" si="6"/>
        <v>107312067</v>
      </c>
      <c r="U16" s="34"/>
    </row>
    <row r="17" ht="15.75" customHeight="1">
      <c r="A17" s="29">
        <v>46050.0</v>
      </c>
      <c r="B17" s="2" t="s">
        <v>607</v>
      </c>
      <c r="C17" s="30">
        <v>46047.0</v>
      </c>
      <c r="D17" s="8">
        <f t="shared" si="1"/>
        <v>1951950.284</v>
      </c>
      <c r="E17" s="15">
        <f>2004600-D17</f>
        <v>52649.71565</v>
      </c>
      <c r="F17" s="8">
        <f t="shared" si="2"/>
        <v>791447.1595</v>
      </c>
      <c r="G17" s="8">
        <f t="shared" si="3"/>
        <v>1213152.84</v>
      </c>
      <c r="H17" s="8">
        <f t="shared" si="4"/>
        <v>77931563.11</v>
      </c>
      <c r="J17" s="5"/>
      <c r="L17" s="33">
        <v>45991.0</v>
      </c>
      <c r="M17" s="34" t="s">
        <v>89</v>
      </c>
      <c r="N17" s="35" t="s">
        <v>605</v>
      </c>
      <c r="O17" s="36"/>
      <c r="P17" s="36">
        <v>1951000.0</v>
      </c>
      <c r="Q17" s="36"/>
      <c r="R17" s="36"/>
      <c r="S17" s="36">
        <f t="shared" si="5"/>
        <v>1951000</v>
      </c>
      <c r="T17" s="36">
        <f t="shared" si="6"/>
        <v>105361067</v>
      </c>
      <c r="U17" s="34"/>
    </row>
    <row r="18" ht="15.75" customHeight="1">
      <c r="A18" s="29">
        <v>46070.0</v>
      </c>
      <c r="B18" s="2" t="s">
        <v>608</v>
      </c>
      <c r="C18" s="30">
        <v>46078.0</v>
      </c>
      <c r="D18" s="8">
        <f t="shared" si="1"/>
        <v>1951950.284</v>
      </c>
      <c r="E18" s="15">
        <f t="shared" ref="E18:E23" si="7">2000000-D18</f>
        <v>48049.71565</v>
      </c>
      <c r="F18" s="8">
        <f t="shared" si="2"/>
        <v>779315.6311</v>
      </c>
      <c r="G18" s="8">
        <f t="shared" si="3"/>
        <v>1220684.369</v>
      </c>
      <c r="H18" s="8">
        <f t="shared" si="4"/>
        <v>76710878.74</v>
      </c>
      <c r="J18" s="5"/>
      <c r="L18" s="33">
        <v>46018.0</v>
      </c>
      <c r="M18" s="34" t="s">
        <v>93</v>
      </c>
      <c r="N18" s="35" t="s">
        <v>606</v>
      </c>
      <c r="O18" s="36"/>
      <c r="P18" s="36">
        <v>1951000.0</v>
      </c>
      <c r="Q18" s="36"/>
      <c r="R18" s="36"/>
      <c r="S18" s="36">
        <f t="shared" si="5"/>
        <v>1951000</v>
      </c>
      <c r="T18" s="36">
        <f t="shared" si="6"/>
        <v>103410067</v>
      </c>
      <c r="U18" s="34"/>
    </row>
    <row r="19" ht="15.75" customHeight="1">
      <c r="A19" s="29">
        <v>46108.0</v>
      </c>
      <c r="B19" s="2" t="s">
        <v>609</v>
      </c>
      <c r="C19" s="30">
        <v>46106.0</v>
      </c>
      <c r="D19" s="8">
        <f t="shared" si="1"/>
        <v>1951950.284</v>
      </c>
      <c r="E19" s="15">
        <f t="shared" si="7"/>
        <v>48049.71565</v>
      </c>
      <c r="F19" s="8">
        <f t="shared" si="2"/>
        <v>767108.7874</v>
      </c>
      <c r="G19" s="8">
        <f t="shared" si="3"/>
        <v>1232891.213</v>
      </c>
      <c r="H19" s="8">
        <f t="shared" si="4"/>
        <v>75477987.53</v>
      </c>
      <c r="I19" s="1"/>
      <c r="J19" s="41"/>
      <c r="K19" s="1"/>
      <c r="L19" s="42">
        <v>46050.0</v>
      </c>
      <c r="M19" s="43" t="s">
        <v>96</v>
      </c>
      <c r="N19" s="44" t="s">
        <v>607</v>
      </c>
      <c r="O19" s="45"/>
      <c r="P19" s="45">
        <v>2004600.0</v>
      </c>
      <c r="Q19" s="45"/>
      <c r="R19" s="45"/>
      <c r="S19" s="45">
        <f t="shared" si="5"/>
        <v>2004600</v>
      </c>
      <c r="T19" s="45">
        <f t="shared" si="6"/>
        <v>101405467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46138.0</v>
      </c>
      <c r="B20" s="2" t="s">
        <v>610</v>
      </c>
      <c r="C20" s="30">
        <v>46137.0</v>
      </c>
      <c r="D20" s="8">
        <f t="shared" si="1"/>
        <v>1951950.284</v>
      </c>
      <c r="E20" s="15">
        <f t="shared" si="7"/>
        <v>48049.71565</v>
      </c>
      <c r="F20" s="8">
        <f t="shared" si="2"/>
        <v>754779.8753</v>
      </c>
      <c r="G20" s="8">
        <f t="shared" si="3"/>
        <v>1245220.125</v>
      </c>
      <c r="H20" s="8">
        <f t="shared" si="4"/>
        <v>74232767.41</v>
      </c>
      <c r="J20" s="5"/>
      <c r="L20" s="33">
        <v>46070.0</v>
      </c>
      <c r="M20" s="34" t="s">
        <v>100</v>
      </c>
      <c r="N20" s="35" t="s">
        <v>608</v>
      </c>
      <c r="O20" s="36"/>
      <c r="P20" s="36">
        <v>2000000.0</v>
      </c>
      <c r="Q20" s="36"/>
      <c r="R20" s="36"/>
      <c r="S20" s="36">
        <f t="shared" si="5"/>
        <v>2000000</v>
      </c>
      <c r="T20" s="36">
        <f t="shared" si="6"/>
        <v>99405467</v>
      </c>
      <c r="U20" s="34"/>
    </row>
    <row r="21" ht="15.75" customHeight="1">
      <c r="A21" s="29">
        <v>46164.0</v>
      </c>
      <c r="B21" s="2" t="s">
        <v>611</v>
      </c>
      <c r="C21" s="30">
        <v>46167.0</v>
      </c>
      <c r="D21" s="8">
        <f t="shared" si="1"/>
        <v>1951950.284</v>
      </c>
      <c r="E21" s="15">
        <f t="shared" si="7"/>
        <v>48049.71565</v>
      </c>
      <c r="F21" s="8">
        <f t="shared" si="2"/>
        <v>742327.6741</v>
      </c>
      <c r="G21" s="8">
        <f t="shared" si="3"/>
        <v>1257672.326</v>
      </c>
      <c r="H21" s="8">
        <f t="shared" si="4"/>
        <v>72975095.08</v>
      </c>
      <c r="J21" s="5"/>
      <c r="L21" s="33">
        <v>46108.0</v>
      </c>
      <c r="M21" s="34" t="s">
        <v>103</v>
      </c>
      <c r="N21" s="35" t="s">
        <v>609</v>
      </c>
      <c r="O21" s="36"/>
      <c r="P21" s="36">
        <v>2000000.0</v>
      </c>
      <c r="Q21" s="36"/>
      <c r="R21" s="36"/>
      <c r="S21" s="36">
        <f t="shared" si="5"/>
        <v>2000000</v>
      </c>
      <c r="T21" s="36">
        <f t="shared" si="6"/>
        <v>97405467</v>
      </c>
      <c r="U21" s="34"/>
    </row>
    <row r="22" ht="15.75" customHeight="1">
      <c r="A22" s="29">
        <v>46199.0</v>
      </c>
      <c r="B22" s="2" t="s">
        <v>612</v>
      </c>
      <c r="C22" s="30">
        <v>46198.0</v>
      </c>
      <c r="D22" s="8">
        <f t="shared" si="1"/>
        <v>1951950.284</v>
      </c>
      <c r="E22" s="15">
        <f t="shared" si="7"/>
        <v>48049.71565</v>
      </c>
      <c r="F22" s="8">
        <f t="shared" si="2"/>
        <v>729750.9508</v>
      </c>
      <c r="G22" s="8">
        <f t="shared" si="3"/>
        <v>1270249.049</v>
      </c>
      <c r="H22" s="8">
        <f t="shared" si="4"/>
        <v>71704846.03</v>
      </c>
      <c r="J22" s="5"/>
      <c r="L22" s="33">
        <v>46138.0</v>
      </c>
      <c r="M22" s="34" t="s">
        <v>107</v>
      </c>
      <c r="N22" s="35" t="s">
        <v>610</v>
      </c>
      <c r="O22" s="36"/>
      <c r="P22" s="36">
        <v>2000000.0</v>
      </c>
      <c r="Q22" s="36"/>
      <c r="R22" s="36"/>
      <c r="S22" s="36">
        <f t="shared" si="5"/>
        <v>2000000</v>
      </c>
      <c r="T22" s="36">
        <f t="shared" si="6"/>
        <v>95405467</v>
      </c>
      <c r="U22" s="34"/>
    </row>
    <row r="23" ht="15.75" customHeight="1">
      <c r="A23" s="29">
        <v>46227.0</v>
      </c>
      <c r="B23" s="2" t="s">
        <v>613</v>
      </c>
      <c r="C23" s="30">
        <v>46228.0</v>
      </c>
      <c r="D23" s="8">
        <f t="shared" si="1"/>
        <v>1951950.284</v>
      </c>
      <c r="E23" s="8">
        <f t="shared" si="7"/>
        <v>48049.71565</v>
      </c>
      <c r="F23" s="8">
        <f t="shared" si="2"/>
        <v>717048.4603</v>
      </c>
      <c r="G23" s="8">
        <f t="shared" si="3"/>
        <v>1282951.54</v>
      </c>
      <c r="H23" s="8">
        <f t="shared" si="4"/>
        <v>70421894.49</v>
      </c>
      <c r="J23" s="5"/>
      <c r="L23" s="33">
        <v>46164.0</v>
      </c>
      <c r="M23" s="34" t="s">
        <v>112</v>
      </c>
      <c r="N23" s="35" t="s">
        <v>611</v>
      </c>
      <c r="O23" s="36"/>
      <c r="P23" s="36">
        <v>2000000.0</v>
      </c>
      <c r="Q23" s="36"/>
      <c r="R23" s="36"/>
      <c r="S23" s="36">
        <f t="shared" si="5"/>
        <v>2000000</v>
      </c>
      <c r="T23" s="36">
        <f t="shared" si="6"/>
        <v>93405467</v>
      </c>
      <c r="U23" s="34"/>
    </row>
    <row r="24" ht="15.75" customHeight="1">
      <c r="A24" s="37"/>
      <c r="B24" s="2"/>
      <c r="C24" s="30">
        <v>46259.0</v>
      </c>
      <c r="D24" s="8">
        <f t="shared" si="1"/>
        <v>1951950.284</v>
      </c>
      <c r="E24" s="46"/>
      <c r="F24" s="8">
        <f t="shared" si="2"/>
        <v>704218.9449</v>
      </c>
      <c r="G24" s="8">
        <f t="shared" si="3"/>
        <v>1247731.339</v>
      </c>
      <c r="H24" s="8">
        <f t="shared" si="4"/>
        <v>69174163.15</v>
      </c>
      <c r="J24" s="5"/>
      <c r="L24" s="33">
        <v>46199.0</v>
      </c>
      <c r="M24" s="34" t="s">
        <v>115</v>
      </c>
      <c r="N24" s="35" t="s">
        <v>612</v>
      </c>
      <c r="O24" s="36"/>
      <c r="P24" s="36">
        <v>2000000.0</v>
      </c>
      <c r="Q24" s="36"/>
      <c r="R24" s="36"/>
      <c r="S24" s="36">
        <f t="shared" si="5"/>
        <v>2000000</v>
      </c>
      <c r="T24" s="36">
        <f t="shared" si="6"/>
        <v>91405467</v>
      </c>
      <c r="U24" s="34"/>
    </row>
    <row r="25" ht="15.75" customHeight="1">
      <c r="B25" s="2"/>
      <c r="C25" s="30">
        <v>46290.0</v>
      </c>
      <c r="D25" s="8">
        <f t="shared" si="1"/>
        <v>1951950.284</v>
      </c>
      <c r="E25" s="46"/>
      <c r="F25" s="8">
        <f t="shared" si="2"/>
        <v>691741.6315</v>
      </c>
      <c r="G25" s="8">
        <f t="shared" si="3"/>
        <v>1260208.653</v>
      </c>
      <c r="H25" s="8">
        <f t="shared" si="4"/>
        <v>67913954.5</v>
      </c>
      <c r="J25" s="5"/>
      <c r="L25" s="33">
        <v>46227.0</v>
      </c>
      <c r="M25" s="34" t="s">
        <v>116</v>
      </c>
      <c r="N25" s="35" t="s">
        <v>613</v>
      </c>
      <c r="O25" s="36"/>
      <c r="P25" s="36">
        <v>2000000.0</v>
      </c>
      <c r="Q25" s="36"/>
      <c r="R25" s="36"/>
      <c r="S25" s="36">
        <f t="shared" si="5"/>
        <v>2000000</v>
      </c>
      <c r="T25" s="36">
        <f t="shared" si="6"/>
        <v>89405467</v>
      </c>
      <c r="U25" s="34"/>
    </row>
    <row r="26" ht="15.75" customHeight="1">
      <c r="B26" s="2"/>
      <c r="C26" s="30">
        <v>46320.0</v>
      </c>
      <c r="D26" s="8">
        <f t="shared" si="1"/>
        <v>1951950.284</v>
      </c>
      <c r="E26" s="46"/>
      <c r="F26" s="8">
        <f t="shared" si="2"/>
        <v>679139.545</v>
      </c>
      <c r="G26" s="8">
        <f t="shared" si="3"/>
        <v>1272810.739</v>
      </c>
      <c r="H26" s="8">
        <f t="shared" si="4"/>
        <v>66641143.76</v>
      </c>
      <c r="J26" s="5"/>
      <c r="L26" s="25"/>
      <c r="M26" s="38" t="s">
        <v>69</v>
      </c>
      <c r="N26" s="39"/>
      <c r="O26" s="27">
        <f t="shared" ref="O26:S26" si="8">SUM(O11:O25)</f>
        <v>0</v>
      </c>
      <c r="P26" s="27">
        <f t="shared" si="8"/>
        <v>37461550</v>
      </c>
      <c r="Q26" s="27">
        <f t="shared" si="8"/>
        <v>0</v>
      </c>
      <c r="R26" s="27">
        <f t="shared" si="8"/>
        <v>0</v>
      </c>
      <c r="S26" s="27">
        <f t="shared" si="8"/>
        <v>37461550</v>
      </c>
      <c r="T26" s="27">
        <f>T25</f>
        <v>89405467</v>
      </c>
      <c r="U26" s="25"/>
    </row>
    <row r="27" ht="15.75" customHeight="1">
      <c r="B27" s="2"/>
      <c r="C27" s="30">
        <v>46351.0</v>
      </c>
      <c r="D27" s="8">
        <f t="shared" si="1"/>
        <v>1951950.284</v>
      </c>
      <c r="E27" s="46"/>
      <c r="F27" s="8">
        <f t="shared" si="2"/>
        <v>666411.4376</v>
      </c>
      <c r="G27" s="8">
        <f t="shared" si="3"/>
        <v>1285538.847</v>
      </c>
      <c r="H27" s="8">
        <f t="shared" si="4"/>
        <v>65355604.91</v>
      </c>
      <c r="J27" s="5"/>
    </row>
    <row r="28" ht="15.75" customHeight="1">
      <c r="B28" s="2"/>
      <c r="C28" s="30">
        <v>46381.0</v>
      </c>
      <c r="D28" s="8">
        <f t="shared" si="1"/>
        <v>1951950.284</v>
      </c>
      <c r="E28" s="46"/>
      <c r="F28" s="8">
        <f t="shared" si="2"/>
        <v>653556.0491</v>
      </c>
      <c r="G28" s="8">
        <f t="shared" si="3"/>
        <v>1298394.235</v>
      </c>
      <c r="H28" s="8">
        <f t="shared" si="4"/>
        <v>64057210.68</v>
      </c>
      <c r="J28" s="5"/>
    </row>
    <row r="29" ht="15.75" customHeight="1">
      <c r="B29" s="2"/>
      <c r="C29" s="30">
        <v>46412.0</v>
      </c>
      <c r="D29" s="8">
        <f t="shared" si="1"/>
        <v>1951950.284</v>
      </c>
      <c r="E29" s="46"/>
      <c r="F29" s="8">
        <f t="shared" si="2"/>
        <v>640572.1068</v>
      </c>
      <c r="G29" s="8">
        <f t="shared" si="3"/>
        <v>1311378.178</v>
      </c>
      <c r="H29" s="8">
        <f t="shared" si="4"/>
        <v>62745832.5</v>
      </c>
      <c r="J29" s="5"/>
    </row>
    <row r="30" ht="15.75" customHeight="1">
      <c r="B30" s="2"/>
      <c r="C30" s="30">
        <v>46443.0</v>
      </c>
      <c r="D30" s="8">
        <f t="shared" si="1"/>
        <v>1951950.284</v>
      </c>
      <c r="E30" s="46"/>
      <c r="F30" s="8">
        <f t="shared" si="2"/>
        <v>627458.325</v>
      </c>
      <c r="G30" s="8">
        <f t="shared" si="3"/>
        <v>1324491.959</v>
      </c>
      <c r="H30" s="8">
        <f t="shared" si="4"/>
        <v>61421340.54</v>
      </c>
      <c r="J30" s="5"/>
    </row>
    <row r="31" ht="15.75" customHeight="1">
      <c r="B31" s="2"/>
      <c r="C31" s="30">
        <v>46471.0</v>
      </c>
      <c r="D31" s="8">
        <f t="shared" si="1"/>
        <v>1951950.284</v>
      </c>
      <c r="E31" s="46"/>
      <c r="F31" s="8">
        <f t="shared" si="2"/>
        <v>614213.4054</v>
      </c>
      <c r="G31" s="8">
        <f t="shared" si="3"/>
        <v>1337736.879</v>
      </c>
      <c r="H31" s="8">
        <f t="shared" si="4"/>
        <v>60083603.66</v>
      </c>
      <c r="J31" s="5"/>
    </row>
    <row r="32" ht="15.75" customHeight="1">
      <c r="B32" s="2"/>
      <c r="C32" s="30">
        <v>46502.0</v>
      </c>
      <c r="D32" s="8">
        <f t="shared" si="1"/>
        <v>1951950.284</v>
      </c>
      <c r="E32" s="46"/>
      <c r="F32" s="8">
        <f t="shared" si="2"/>
        <v>600836.0366</v>
      </c>
      <c r="G32" s="8">
        <f t="shared" si="3"/>
        <v>1351114.248</v>
      </c>
      <c r="H32" s="8">
        <f t="shared" si="4"/>
        <v>58732489.42</v>
      </c>
      <c r="J32" s="5"/>
    </row>
    <row r="33" ht="15.75" customHeight="1">
      <c r="B33" s="2"/>
      <c r="C33" s="30">
        <v>46532.0</v>
      </c>
      <c r="D33" s="8">
        <f t="shared" si="1"/>
        <v>1951950.284</v>
      </c>
      <c r="E33" s="46"/>
      <c r="F33" s="8">
        <f t="shared" si="2"/>
        <v>587324.8942</v>
      </c>
      <c r="G33" s="8">
        <f t="shared" si="3"/>
        <v>1364625.39</v>
      </c>
      <c r="H33" s="8">
        <f t="shared" si="4"/>
        <v>57367864.03</v>
      </c>
      <c r="J33" s="5"/>
    </row>
    <row r="34" ht="15.75" customHeight="1">
      <c r="B34" s="2"/>
      <c r="C34" s="30">
        <v>46563.0</v>
      </c>
      <c r="D34" s="8">
        <f t="shared" si="1"/>
        <v>1951950.284</v>
      </c>
      <c r="E34" s="46"/>
      <c r="F34" s="8">
        <f t="shared" si="2"/>
        <v>573678.6403</v>
      </c>
      <c r="G34" s="8">
        <f t="shared" si="3"/>
        <v>1378271.644</v>
      </c>
      <c r="H34" s="8">
        <f t="shared" si="4"/>
        <v>55989592.38</v>
      </c>
      <c r="J34" s="5"/>
    </row>
    <row r="35" ht="15.75" customHeight="1">
      <c r="B35" s="2"/>
      <c r="C35" s="30">
        <v>46593.0</v>
      </c>
      <c r="D35" s="8">
        <f t="shared" si="1"/>
        <v>1951950.284</v>
      </c>
      <c r="E35" s="46"/>
      <c r="F35" s="8">
        <f t="shared" si="2"/>
        <v>559895.9238</v>
      </c>
      <c r="G35" s="8">
        <f t="shared" si="3"/>
        <v>1392054.361</v>
      </c>
      <c r="H35" s="8">
        <f t="shared" si="4"/>
        <v>54597538.02</v>
      </c>
      <c r="J35" s="5"/>
    </row>
    <row r="36" ht="15.75" customHeight="1">
      <c r="B36" s="2"/>
      <c r="C36" s="30">
        <v>46624.0</v>
      </c>
      <c r="D36" s="8">
        <f t="shared" si="1"/>
        <v>1951950.284</v>
      </c>
      <c r="E36" s="46"/>
      <c r="F36" s="8">
        <f t="shared" si="2"/>
        <v>545975.3802</v>
      </c>
      <c r="G36" s="8">
        <f t="shared" si="3"/>
        <v>1405974.904</v>
      </c>
      <c r="H36" s="8">
        <f t="shared" si="4"/>
        <v>53191563.12</v>
      </c>
      <c r="J36" s="5"/>
    </row>
    <row r="37" ht="15.75" customHeight="1">
      <c r="B37" s="2"/>
      <c r="C37" s="30">
        <v>46655.0</v>
      </c>
      <c r="D37" s="8">
        <f t="shared" si="1"/>
        <v>1951950.284</v>
      </c>
      <c r="E37" s="46"/>
      <c r="F37" s="8">
        <f t="shared" si="2"/>
        <v>531915.6312</v>
      </c>
      <c r="G37" s="8">
        <f t="shared" si="3"/>
        <v>1420034.653</v>
      </c>
      <c r="H37" s="8">
        <f t="shared" si="4"/>
        <v>51771528.46</v>
      </c>
      <c r="J37" s="5"/>
    </row>
    <row r="38" ht="15.75" customHeight="1">
      <c r="B38" s="2"/>
      <c r="C38" s="30">
        <v>46685.0</v>
      </c>
      <c r="D38" s="8">
        <f t="shared" si="1"/>
        <v>1951950.284</v>
      </c>
      <c r="E38" s="46"/>
      <c r="F38" s="8">
        <f t="shared" si="2"/>
        <v>517715.2846</v>
      </c>
      <c r="G38" s="8">
        <f t="shared" si="3"/>
        <v>1434235</v>
      </c>
      <c r="H38" s="8">
        <f t="shared" si="4"/>
        <v>50337293.46</v>
      </c>
      <c r="J38" s="5"/>
    </row>
    <row r="39" ht="15.75" customHeight="1">
      <c r="B39" s="2"/>
      <c r="C39" s="30">
        <v>46716.0</v>
      </c>
      <c r="D39" s="8">
        <f t="shared" si="1"/>
        <v>1951950.284</v>
      </c>
      <c r="E39" s="46"/>
      <c r="F39" s="8">
        <f t="shared" si="2"/>
        <v>503372.9346</v>
      </c>
      <c r="G39" s="8">
        <f t="shared" si="3"/>
        <v>1448577.35</v>
      </c>
      <c r="H39" s="8">
        <f t="shared" si="4"/>
        <v>48888716.11</v>
      </c>
      <c r="J39" s="5"/>
    </row>
    <row r="40" ht="15.75" customHeight="1">
      <c r="B40" s="2"/>
      <c r="C40" s="30">
        <v>46746.0</v>
      </c>
      <c r="D40" s="8">
        <f t="shared" si="1"/>
        <v>1951950.284</v>
      </c>
      <c r="E40" s="46"/>
      <c r="F40" s="8">
        <f t="shared" si="2"/>
        <v>488887.1611</v>
      </c>
      <c r="G40" s="8">
        <f t="shared" si="3"/>
        <v>1463063.123</v>
      </c>
      <c r="H40" s="8">
        <f t="shared" si="4"/>
        <v>47425652.99</v>
      </c>
      <c r="J40" s="5"/>
    </row>
    <row r="41" ht="15.75" customHeight="1">
      <c r="B41" s="2"/>
      <c r="C41" s="30">
        <v>46777.0</v>
      </c>
      <c r="D41" s="8">
        <f t="shared" si="1"/>
        <v>1951950.284</v>
      </c>
      <c r="E41" s="46"/>
      <c r="F41" s="8">
        <f t="shared" si="2"/>
        <v>474256.5299</v>
      </c>
      <c r="G41" s="8">
        <f t="shared" si="3"/>
        <v>1477693.754</v>
      </c>
      <c r="H41" s="8">
        <f t="shared" si="4"/>
        <v>45947959.24</v>
      </c>
      <c r="J41" s="5"/>
    </row>
    <row r="42" ht="15.75" customHeight="1">
      <c r="B42" s="2"/>
      <c r="C42" s="30">
        <v>46808.0</v>
      </c>
      <c r="D42" s="8">
        <f t="shared" si="1"/>
        <v>1951950.284</v>
      </c>
      <c r="E42" s="46"/>
      <c r="F42" s="8">
        <f t="shared" si="2"/>
        <v>459479.5924</v>
      </c>
      <c r="G42" s="8">
        <f t="shared" si="3"/>
        <v>1492470.692</v>
      </c>
      <c r="H42" s="8">
        <f t="shared" si="4"/>
        <v>44455488.54</v>
      </c>
      <c r="J42" s="5"/>
    </row>
    <row r="43" ht="15.75" customHeight="1">
      <c r="B43" s="2"/>
      <c r="C43" s="30">
        <v>46837.0</v>
      </c>
      <c r="D43" s="8">
        <f t="shared" si="1"/>
        <v>1951950.284</v>
      </c>
      <c r="E43" s="46"/>
      <c r="F43" s="8">
        <f t="shared" si="2"/>
        <v>444554.8854</v>
      </c>
      <c r="G43" s="8">
        <f t="shared" si="3"/>
        <v>1507395.399</v>
      </c>
      <c r="H43" s="8">
        <f t="shared" si="4"/>
        <v>42948093.15</v>
      </c>
      <c r="J43" s="5"/>
    </row>
    <row r="44" ht="15.75" customHeight="1">
      <c r="B44" s="2"/>
      <c r="C44" s="30">
        <v>46868.0</v>
      </c>
      <c r="D44" s="8">
        <f t="shared" si="1"/>
        <v>1951950.284</v>
      </c>
      <c r="E44" s="46"/>
      <c r="F44" s="8">
        <f t="shared" si="2"/>
        <v>429480.9315</v>
      </c>
      <c r="G44" s="8">
        <f t="shared" si="3"/>
        <v>1522469.353</v>
      </c>
      <c r="H44" s="8">
        <f t="shared" si="4"/>
        <v>41425623.79</v>
      </c>
      <c r="J44" s="5"/>
    </row>
    <row r="45" ht="15.75" customHeight="1">
      <c r="B45" s="2"/>
      <c r="C45" s="30">
        <v>46898.0</v>
      </c>
      <c r="D45" s="8">
        <f t="shared" si="1"/>
        <v>1951950.284</v>
      </c>
      <c r="E45" s="46"/>
      <c r="F45" s="8">
        <f t="shared" si="2"/>
        <v>414256.2379</v>
      </c>
      <c r="G45" s="8">
        <f t="shared" si="3"/>
        <v>1537694.046</v>
      </c>
      <c r="H45" s="8">
        <f t="shared" si="4"/>
        <v>39887929.75</v>
      </c>
      <c r="J45" s="5"/>
    </row>
    <row r="46" ht="15.75" customHeight="1">
      <c r="B46" s="2"/>
      <c r="C46" s="30">
        <v>46929.0</v>
      </c>
      <c r="D46" s="8">
        <f t="shared" si="1"/>
        <v>1951950.284</v>
      </c>
      <c r="E46" s="46"/>
      <c r="F46" s="8">
        <f t="shared" si="2"/>
        <v>398879.2975</v>
      </c>
      <c r="G46" s="8">
        <f t="shared" si="3"/>
        <v>1553070.987</v>
      </c>
      <c r="H46" s="8">
        <f t="shared" si="4"/>
        <v>38334858.76</v>
      </c>
      <c r="J46" s="5"/>
    </row>
    <row r="47" ht="15.75" customHeight="1">
      <c r="B47" s="2"/>
      <c r="C47" s="30">
        <v>46959.0</v>
      </c>
      <c r="D47" s="8">
        <f t="shared" si="1"/>
        <v>1951950.284</v>
      </c>
      <c r="E47" s="46"/>
      <c r="F47" s="8">
        <f t="shared" si="2"/>
        <v>383348.5876</v>
      </c>
      <c r="G47" s="8">
        <f t="shared" si="3"/>
        <v>1568601.697</v>
      </c>
      <c r="H47" s="8">
        <f t="shared" si="4"/>
        <v>36766257.06</v>
      </c>
      <c r="J47" s="5"/>
    </row>
    <row r="48" ht="15.75" customHeight="1">
      <c r="B48" s="2"/>
      <c r="C48" s="30">
        <v>46990.0</v>
      </c>
      <c r="D48" s="8">
        <f t="shared" si="1"/>
        <v>1951950.284</v>
      </c>
      <c r="E48" s="46"/>
      <c r="F48" s="8">
        <f t="shared" si="2"/>
        <v>367662.5706</v>
      </c>
      <c r="G48" s="8">
        <f t="shared" si="3"/>
        <v>1584287.714</v>
      </c>
      <c r="H48" s="8">
        <f t="shared" si="4"/>
        <v>35181969.35</v>
      </c>
      <c r="J48" s="5"/>
    </row>
    <row r="49" ht="15.75" customHeight="1">
      <c r="B49" s="2"/>
      <c r="C49" s="30">
        <v>47021.0</v>
      </c>
      <c r="D49" s="8">
        <f t="shared" si="1"/>
        <v>1951950.284</v>
      </c>
      <c r="E49" s="46"/>
      <c r="F49" s="8">
        <f t="shared" si="2"/>
        <v>351819.6935</v>
      </c>
      <c r="G49" s="8">
        <f t="shared" si="3"/>
        <v>1600130.591</v>
      </c>
      <c r="H49" s="8">
        <f t="shared" si="4"/>
        <v>33581838.76</v>
      </c>
      <c r="J49" s="5"/>
    </row>
    <row r="50" ht="15.75" customHeight="1">
      <c r="B50" s="2"/>
      <c r="C50" s="30">
        <v>47051.0</v>
      </c>
      <c r="D50" s="8">
        <f t="shared" si="1"/>
        <v>1951950.284</v>
      </c>
      <c r="E50" s="46"/>
      <c r="F50" s="8">
        <f t="shared" si="2"/>
        <v>335818.3876</v>
      </c>
      <c r="G50" s="8">
        <f t="shared" si="3"/>
        <v>1616131.897</v>
      </c>
      <c r="H50" s="8">
        <f t="shared" si="4"/>
        <v>31965706.86</v>
      </c>
      <c r="J50" s="5"/>
    </row>
    <row r="51" ht="15.75" customHeight="1">
      <c r="B51" s="2"/>
      <c r="C51" s="30">
        <v>47082.0</v>
      </c>
      <c r="D51" s="8">
        <f t="shared" si="1"/>
        <v>1951950.284</v>
      </c>
      <c r="E51" s="46"/>
      <c r="F51" s="8">
        <f t="shared" si="2"/>
        <v>319657.0686</v>
      </c>
      <c r="G51" s="8">
        <f t="shared" si="3"/>
        <v>1632293.216</v>
      </c>
      <c r="H51" s="8">
        <f t="shared" si="4"/>
        <v>30333413.64</v>
      </c>
      <c r="J51" s="5"/>
    </row>
    <row r="52" ht="15.75" customHeight="1">
      <c r="B52" s="2"/>
      <c r="C52" s="30">
        <v>47112.0</v>
      </c>
      <c r="D52" s="8">
        <f t="shared" si="1"/>
        <v>1951950.284</v>
      </c>
      <c r="E52" s="46"/>
      <c r="F52" s="8">
        <f t="shared" si="2"/>
        <v>303334.1364</v>
      </c>
      <c r="G52" s="8">
        <f t="shared" si="3"/>
        <v>1648616.148</v>
      </c>
      <c r="H52" s="8">
        <f t="shared" si="4"/>
        <v>28684797.5</v>
      </c>
      <c r="J52" s="5"/>
    </row>
    <row r="53" ht="15.75" customHeight="1">
      <c r="B53" s="2"/>
      <c r="C53" s="30">
        <v>47143.0</v>
      </c>
      <c r="D53" s="8">
        <f t="shared" si="1"/>
        <v>1951950.284</v>
      </c>
      <c r="E53" s="46"/>
      <c r="F53" s="8">
        <f t="shared" si="2"/>
        <v>286847.975</v>
      </c>
      <c r="G53" s="8">
        <f t="shared" si="3"/>
        <v>1665102.309</v>
      </c>
      <c r="H53" s="8">
        <f t="shared" si="4"/>
        <v>27019695.19</v>
      </c>
      <c r="J53" s="5"/>
    </row>
    <row r="54" ht="15.75" customHeight="1">
      <c r="B54" s="2"/>
      <c r="C54" s="30">
        <v>47174.0</v>
      </c>
      <c r="D54" s="8">
        <f t="shared" si="1"/>
        <v>1951950.284</v>
      </c>
      <c r="E54" s="46"/>
      <c r="F54" s="8">
        <f t="shared" si="2"/>
        <v>270196.9519</v>
      </c>
      <c r="G54" s="8">
        <f t="shared" si="3"/>
        <v>1681753.332</v>
      </c>
      <c r="H54" s="8">
        <f t="shared" si="4"/>
        <v>25337941.86</v>
      </c>
      <c r="J54" s="5"/>
    </row>
    <row r="55" ht="15.75" customHeight="1">
      <c r="B55" s="2"/>
      <c r="C55" s="30">
        <v>47202.0</v>
      </c>
      <c r="D55" s="8">
        <f t="shared" si="1"/>
        <v>1951950.284</v>
      </c>
      <c r="E55" s="46"/>
      <c r="F55" s="8">
        <f t="shared" si="2"/>
        <v>253379.4186</v>
      </c>
      <c r="G55" s="8">
        <f t="shared" si="3"/>
        <v>1698570.866</v>
      </c>
      <c r="H55" s="8">
        <f t="shared" si="4"/>
        <v>23639370.99</v>
      </c>
      <c r="J55" s="5"/>
    </row>
    <row r="56" ht="15.75" customHeight="1">
      <c r="B56" s="2"/>
      <c r="C56" s="30">
        <v>47233.0</v>
      </c>
      <c r="D56" s="8">
        <f t="shared" si="1"/>
        <v>1951950.284</v>
      </c>
      <c r="E56" s="46"/>
      <c r="F56" s="8">
        <f t="shared" si="2"/>
        <v>236393.7099</v>
      </c>
      <c r="G56" s="8">
        <f t="shared" si="3"/>
        <v>1715556.574</v>
      </c>
      <c r="H56" s="8">
        <f t="shared" si="4"/>
        <v>21923814.41</v>
      </c>
      <c r="J56" s="5"/>
    </row>
    <row r="57" ht="15.75" customHeight="1">
      <c r="B57" s="2"/>
      <c r="C57" s="30">
        <v>47263.0</v>
      </c>
      <c r="D57" s="8">
        <f t="shared" si="1"/>
        <v>1951950.284</v>
      </c>
      <c r="E57" s="46"/>
      <c r="F57" s="8">
        <f t="shared" si="2"/>
        <v>219238.1441</v>
      </c>
      <c r="G57" s="8">
        <f t="shared" si="3"/>
        <v>1732712.14</v>
      </c>
      <c r="H57" s="8">
        <f t="shared" si="4"/>
        <v>20191102.27</v>
      </c>
      <c r="J57" s="5"/>
    </row>
    <row r="58" ht="15.75" customHeight="1">
      <c r="B58" s="2"/>
      <c r="C58" s="30">
        <v>47294.0</v>
      </c>
      <c r="D58" s="8">
        <f t="shared" si="1"/>
        <v>1951950.284</v>
      </c>
      <c r="E58" s="46"/>
      <c r="F58" s="8">
        <f t="shared" si="2"/>
        <v>201911.0227</v>
      </c>
      <c r="G58" s="8">
        <f t="shared" si="3"/>
        <v>1750039.262</v>
      </c>
      <c r="H58" s="8">
        <f t="shared" si="4"/>
        <v>18441063.01</v>
      </c>
      <c r="J58" s="5"/>
    </row>
    <row r="59" ht="15.75" customHeight="1">
      <c r="B59" s="2"/>
      <c r="C59" s="30">
        <v>47324.0</v>
      </c>
      <c r="D59" s="8">
        <f t="shared" si="1"/>
        <v>1951950.284</v>
      </c>
      <c r="E59" s="46"/>
      <c r="F59" s="8">
        <f t="shared" si="2"/>
        <v>184410.6301</v>
      </c>
      <c r="G59" s="8">
        <f t="shared" si="3"/>
        <v>1767539.654</v>
      </c>
      <c r="H59" s="8">
        <f t="shared" si="4"/>
        <v>16673523.36</v>
      </c>
      <c r="J59" s="5"/>
    </row>
    <row r="60" ht="15.75" customHeight="1">
      <c r="B60" s="2"/>
      <c r="C60" s="30">
        <v>47355.0</v>
      </c>
      <c r="D60" s="8">
        <f t="shared" si="1"/>
        <v>1951950.284</v>
      </c>
      <c r="E60" s="46"/>
      <c r="F60" s="8">
        <f t="shared" si="2"/>
        <v>166735.2336</v>
      </c>
      <c r="G60" s="8">
        <f t="shared" si="3"/>
        <v>1785215.051</v>
      </c>
      <c r="H60" s="8">
        <f t="shared" si="4"/>
        <v>14888308.31</v>
      </c>
      <c r="J60" s="5"/>
    </row>
    <row r="61" ht="15.75" customHeight="1">
      <c r="B61" s="2"/>
      <c r="C61" s="30">
        <v>47386.0</v>
      </c>
      <c r="D61" s="8">
        <f t="shared" si="1"/>
        <v>1951950.284</v>
      </c>
      <c r="E61" s="46"/>
      <c r="F61" s="8">
        <f t="shared" si="2"/>
        <v>148883.0831</v>
      </c>
      <c r="G61" s="8">
        <f t="shared" si="3"/>
        <v>1803067.201</v>
      </c>
      <c r="H61" s="8">
        <f t="shared" si="4"/>
        <v>13085241.11</v>
      </c>
      <c r="J61" s="5"/>
    </row>
    <row r="62" ht="15.75" customHeight="1">
      <c r="B62" s="2"/>
      <c r="C62" s="30">
        <v>47416.0</v>
      </c>
      <c r="D62" s="8">
        <f t="shared" si="1"/>
        <v>1951950.284</v>
      </c>
      <c r="E62" s="46"/>
      <c r="F62" s="8">
        <f t="shared" si="2"/>
        <v>130852.4111</v>
      </c>
      <c r="G62" s="8">
        <f t="shared" si="3"/>
        <v>1821097.873</v>
      </c>
      <c r="H62" s="8">
        <f t="shared" si="4"/>
        <v>11264143.23</v>
      </c>
      <c r="J62" s="5"/>
    </row>
    <row r="63" ht="15.75" customHeight="1">
      <c r="B63" s="2"/>
      <c r="C63" s="30">
        <v>47447.0</v>
      </c>
      <c r="D63" s="8">
        <f t="shared" si="1"/>
        <v>1951950.284</v>
      </c>
      <c r="E63" s="46"/>
      <c r="F63" s="8">
        <f t="shared" si="2"/>
        <v>112641.4323</v>
      </c>
      <c r="G63" s="8">
        <f t="shared" si="3"/>
        <v>1839308.852</v>
      </c>
      <c r="H63" s="8">
        <f t="shared" si="4"/>
        <v>9424834.382</v>
      </c>
      <c r="J63" s="5"/>
    </row>
    <row r="64" ht="15.75" customHeight="1">
      <c r="B64" s="2"/>
      <c r="C64" s="30">
        <v>47477.0</v>
      </c>
      <c r="D64" s="8">
        <f t="shared" si="1"/>
        <v>1951950.284</v>
      </c>
      <c r="E64" s="46"/>
      <c r="F64" s="8">
        <f t="shared" si="2"/>
        <v>94248.34382</v>
      </c>
      <c r="G64" s="8">
        <f t="shared" si="3"/>
        <v>1857701.941</v>
      </c>
      <c r="H64" s="8">
        <f t="shared" si="4"/>
        <v>7567132.441</v>
      </c>
      <c r="J64" s="5"/>
    </row>
    <row r="65" ht="15.75" customHeight="1">
      <c r="B65" s="2"/>
      <c r="C65" s="30">
        <v>47508.0</v>
      </c>
      <c r="D65" s="8">
        <f t="shared" si="1"/>
        <v>1951950.284</v>
      </c>
      <c r="E65" s="46"/>
      <c r="F65" s="8">
        <f t="shared" si="2"/>
        <v>75671.32441</v>
      </c>
      <c r="G65" s="8">
        <f t="shared" si="3"/>
        <v>1876278.96</v>
      </c>
      <c r="H65" s="8">
        <f t="shared" si="4"/>
        <v>5690853.481</v>
      </c>
      <c r="J65" s="5"/>
    </row>
    <row r="66" ht="15.75" customHeight="1">
      <c r="B66" s="2"/>
      <c r="C66" s="30">
        <v>47539.0</v>
      </c>
      <c r="D66" s="8">
        <f t="shared" si="1"/>
        <v>1951950.284</v>
      </c>
      <c r="E66" s="46"/>
      <c r="F66" s="8">
        <f t="shared" si="2"/>
        <v>56908.53481</v>
      </c>
      <c r="G66" s="8">
        <f t="shared" si="3"/>
        <v>1895041.75</v>
      </c>
      <c r="H66" s="8">
        <f t="shared" si="4"/>
        <v>3795811.732</v>
      </c>
      <c r="J66" s="5"/>
    </row>
    <row r="67" ht="15.75" customHeight="1">
      <c r="B67" s="2"/>
      <c r="C67" s="30">
        <v>47567.0</v>
      </c>
      <c r="D67" s="8">
        <f t="shared" si="1"/>
        <v>1951950.284</v>
      </c>
      <c r="E67" s="46"/>
      <c r="F67" s="8">
        <f t="shared" si="2"/>
        <v>37958.11732</v>
      </c>
      <c r="G67" s="8">
        <f t="shared" si="3"/>
        <v>1913992.167</v>
      </c>
      <c r="H67" s="8">
        <f t="shared" si="4"/>
        <v>1881819.565</v>
      </c>
      <c r="J67" s="5"/>
    </row>
    <row r="68" ht="15.75" customHeight="1">
      <c r="B68" s="2"/>
      <c r="C68" s="30">
        <v>47598.0</v>
      </c>
      <c r="D68" s="8">
        <f t="shared" si="1"/>
        <v>1951950.284</v>
      </c>
      <c r="E68" s="46"/>
      <c r="F68" s="8">
        <f t="shared" si="2"/>
        <v>18818.19565</v>
      </c>
      <c r="G68" s="8">
        <f t="shared" si="3"/>
        <v>1933132.089</v>
      </c>
      <c r="H68" s="8">
        <f t="shared" si="4"/>
        <v>-51312.52414</v>
      </c>
      <c r="J68" s="5"/>
    </row>
    <row r="69" ht="15.75" customHeight="1">
      <c r="A69" s="47"/>
      <c r="B69" s="48"/>
      <c r="C69" s="49">
        <v>47628.0</v>
      </c>
      <c r="D69" s="50">
        <f t="shared" si="1"/>
        <v>1951950.284</v>
      </c>
      <c r="E69" s="51"/>
      <c r="F69" s="50">
        <f t="shared" si="2"/>
        <v>-513.1252414</v>
      </c>
      <c r="G69" s="50">
        <f t="shared" si="3"/>
        <v>1952463.41</v>
      </c>
      <c r="H69" s="50">
        <f t="shared" si="4"/>
        <v>-2003775.934</v>
      </c>
      <c r="J69" s="5"/>
    </row>
    <row r="70" ht="15.75" customHeight="1">
      <c r="A70" s="47"/>
      <c r="B70" s="48"/>
      <c r="C70" s="49">
        <v>47659.0</v>
      </c>
      <c r="D70" s="50">
        <f t="shared" si="1"/>
        <v>1951950.284</v>
      </c>
      <c r="E70" s="51"/>
      <c r="F70" s="50">
        <f t="shared" si="2"/>
        <v>-20037.75934</v>
      </c>
      <c r="G70" s="50">
        <f t="shared" si="3"/>
        <v>1971988.044</v>
      </c>
      <c r="H70" s="50">
        <f t="shared" si="4"/>
        <v>-3975763.977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6.67"/>
    <col customWidth="1" min="6" max="7" width="12.78"/>
    <col customWidth="1" min="8" max="8" width="17.11"/>
    <col customWidth="1" min="9" max="9" width="45.11"/>
    <col customWidth="1" min="10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614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36.0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2914555.686</v>
      </c>
      <c r="E6" s="12"/>
      <c r="H6" s="5"/>
      <c r="J6" s="5"/>
    </row>
    <row r="7" ht="15.75" customHeight="1">
      <c r="B7" s="2"/>
      <c r="C7" s="1" t="s">
        <v>12</v>
      </c>
      <c r="D7" s="20" t="s">
        <v>616</v>
      </c>
      <c r="H7" s="5"/>
      <c r="J7" s="5"/>
    </row>
    <row r="8" ht="15.75" customHeight="1">
      <c r="B8" s="2"/>
      <c r="C8" s="1" t="s">
        <v>16</v>
      </c>
      <c r="D8" s="2">
        <v>1.11518644E9</v>
      </c>
      <c r="H8" s="5"/>
      <c r="I8" s="17"/>
      <c r="J8" s="19"/>
      <c r="K8" s="17"/>
      <c r="L8" s="21" t="s">
        <v>618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1.14674005E8</v>
      </c>
      <c r="U10" s="25"/>
    </row>
    <row r="11" ht="15.75" customHeight="1">
      <c r="A11" s="29">
        <v>45792.0</v>
      </c>
      <c r="B11" s="2" t="s">
        <v>619</v>
      </c>
      <c r="C11" s="30">
        <v>45792.0</v>
      </c>
      <c r="D11" s="8">
        <f t="shared" ref="D11:D46" si="1">$D$6</f>
        <v>2914555.686</v>
      </c>
      <c r="E11" s="15"/>
      <c r="F11" s="8">
        <f t="shared" ref="F11:F46" si="2">+H10*$D$4</f>
        <v>877500</v>
      </c>
      <c r="G11" s="8">
        <f t="shared" ref="G11:G46" si="3">+D11+E11-F11</f>
        <v>2037055.686</v>
      </c>
      <c r="H11" s="8">
        <f t="shared" ref="H11:H46" si="4">+H10-G11</f>
        <v>85712944.31</v>
      </c>
      <c r="I11" s="76"/>
      <c r="J11" s="5"/>
      <c r="L11" s="33">
        <v>45749.0</v>
      </c>
      <c r="M11" s="34" t="s">
        <v>44</v>
      </c>
      <c r="N11" s="35" t="s">
        <v>620</v>
      </c>
      <c r="O11" s="36"/>
      <c r="P11" s="36">
        <v>5000773.0</v>
      </c>
      <c r="Q11" s="36"/>
      <c r="R11" s="36"/>
      <c r="S11" s="36">
        <f t="shared" ref="S11:S26" si="5">SUM(O11:R11)</f>
        <v>5000773</v>
      </c>
      <c r="T11" s="36">
        <f t="shared" ref="T11:T26" si="6">T10-S11</f>
        <v>109673232</v>
      </c>
      <c r="U11" s="34"/>
    </row>
    <row r="12" ht="15.75" customHeight="1">
      <c r="A12" s="29">
        <v>45824.0</v>
      </c>
      <c r="B12" s="2" t="s">
        <v>621</v>
      </c>
      <c r="C12" s="30">
        <v>45823.0</v>
      </c>
      <c r="D12" s="8">
        <f t="shared" si="1"/>
        <v>2914555.686</v>
      </c>
      <c r="E12" s="15"/>
      <c r="F12" s="8">
        <f t="shared" si="2"/>
        <v>857129.4431</v>
      </c>
      <c r="G12" s="8">
        <f t="shared" si="3"/>
        <v>2057426.243</v>
      </c>
      <c r="H12" s="8">
        <f t="shared" si="4"/>
        <v>83655518.07</v>
      </c>
      <c r="J12" s="5"/>
      <c r="L12" s="33">
        <v>45782.0</v>
      </c>
      <c r="M12" s="34" t="s">
        <v>44</v>
      </c>
      <c r="N12" s="35" t="s">
        <v>622</v>
      </c>
      <c r="O12" s="36"/>
      <c r="P12" s="36">
        <v>4756333.0</v>
      </c>
      <c r="Q12" s="36"/>
      <c r="R12" s="36"/>
      <c r="S12" s="36">
        <f t="shared" si="5"/>
        <v>4756333</v>
      </c>
      <c r="T12" s="36">
        <f t="shared" si="6"/>
        <v>104916899</v>
      </c>
      <c r="U12" s="34"/>
    </row>
    <row r="13" ht="15.75" customHeight="1">
      <c r="A13" s="29">
        <v>45866.0</v>
      </c>
      <c r="B13" s="2" t="s">
        <v>625</v>
      </c>
      <c r="C13" s="30">
        <v>45853.0</v>
      </c>
      <c r="D13" s="8">
        <f t="shared" si="1"/>
        <v>2914555.686</v>
      </c>
      <c r="E13" s="15"/>
      <c r="F13" s="8">
        <f t="shared" si="2"/>
        <v>836555.1807</v>
      </c>
      <c r="G13" s="8">
        <f t="shared" si="3"/>
        <v>2078000.505</v>
      </c>
      <c r="H13" s="8">
        <f t="shared" si="4"/>
        <v>81577517.57</v>
      </c>
      <c r="J13" s="5" t="s">
        <v>56</v>
      </c>
      <c r="L13" s="33">
        <v>45792.0</v>
      </c>
      <c r="M13" s="34" t="s">
        <v>404</v>
      </c>
      <c r="N13" s="35" t="s">
        <v>619</v>
      </c>
      <c r="O13" s="36"/>
      <c r="P13" s="36">
        <v>2914556.0</v>
      </c>
      <c r="Q13" s="36"/>
      <c r="R13" s="36"/>
      <c r="S13" s="36">
        <f t="shared" si="5"/>
        <v>2914556</v>
      </c>
      <c r="T13" s="36">
        <f t="shared" si="6"/>
        <v>102002343</v>
      </c>
      <c r="U13" s="34"/>
    </row>
    <row r="14" ht="15.75" customHeight="1">
      <c r="A14" s="29">
        <v>45894.0</v>
      </c>
      <c r="B14" s="2" t="s">
        <v>624</v>
      </c>
      <c r="C14" s="30">
        <v>45884.0</v>
      </c>
      <c r="D14" s="8">
        <f t="shared" si="1"/>
        <v>2914555.686</v>
      </c>
      <c r="E14" s="15">
        <f t="shared" ref="E14:E24" si="7">3000000-D14</f>
        <v>85444.31392</v>
      </c>
      <c r="F14" s="8">
        <f t="shared" si="2"/>
        <v>815775.1757</v>
      </c>
      <c r="G14" s="8">
        <f t="shared" si="3"/>
        <v>2184224.824</v>
      </c>
      <c r="H14" s="8">
        <f t="shared" si="4"/>
        <v>79393292.74</v>
      </c>
      <c r="J14" s="8">
        <f>+H10</f>
        <v>87750000</v>
      </c>
      <c r="L14" s="33">
        <v>45824.0</v>
      </c>
      <c r="M14" s="34" t="s">
        <v>78</v>
      </c>
      <c r="N14" s="35" t="s">
        <v>621</v>
      </c>
      <c r="O14" s="36"/>
      <c r="P14" s="36">
        <v>2914556.0</v>
      </c>
      <c r="Q14" s="36"/>
      <c r="R14" s="36"/>
      <c r="S14" s="36">
        <f t="shared" si="5"/>
        <v>2914556</v>
      </c>
      <c r="T14" s="36">
        <f t="shared" si="6"/>
        <v>99087787</v>
      </c>
      <c r="U14" s="34"/>
    </row>
    <row r="15" ht="15.75" customHeight="1">
      <c r="A15" s="29">
        <v>45929.0</v>
      </c>
      <c r="B15" s="2" t="s">
        <v>626</v>
      </c>
      <c r="C15" s="30">
        <v>45915.0</v>
      </c>
      <c r="D15" s="8">
        <f t="shared" si="1"/>
        <v>2914555.686</v>
      </c>
      <c r="E15" s="15">
        <f t="shared" si="7"/>
        <v>85444.31392</v>
      </c>
      <c r="F15" s="8">
        <f t="shared" si="2"/>
        <v>793932.9274</v>
      </c>
      <c r="G15" s="8">
        <f t="shared" si="3"/>
        <v>2206067.073</v>
      </c>
      <c r="H15" s="8">
        <f t="shared" si="4"/>
        <v>77187225.67</v>
      </c>
      <c r="J15" s="5"/>
      <c r="L15" s="33">
        <v>45866.0</v>
      </c>
      <c r="M15" s="34" t="s">
        <v>630</v>
      </c>
      <c r="N15" s="35" t="s">
        <v>625</v>
      </c>
      <c r="O15" s="36"/>
      <c r="P15" s="36">
        <v>2914556.0</v>
      </c>
      <c r="Q15" s="36"/>
      <c r="R15" s="36"/>
      <c r="S15" s="36">
        <f t="shared" si="5"/>
        <v>2914556</v>
      </c>
      <c r="T15" s="36">
        <f t="shared" si="6"/>
        <v>96173231</v>
      </c>
      <c r="U15" s="34"/>
    </row>
    <row r="16" ht="15.75" customHeight="1">
      <c r="A16" s="29">
        <v>45958.0</v>
      </c>
      <c r="B16" s="2" t="s">
        <v>627</v>
      </c>
      <c r="C16" s="30">
        <v>45945.0</v>
      </c>
      <c r="D16" s="8">
        <f t="shared" si="1"/>
        <v>2914555.686</v>
      </c>
      <c r="E16" s="15">
        <f t="shared" si="7"/>
        <v>85444.31392</v>
      </c>
      <c r="F16" s="8">
        <f t="shared" si="2"/>
        <v>771872.2567</v>
      </c>
      <c r="G16" s="8">
        <f t="shared" si="3"/>
        <v>2228127.743</v>
      </c>
      <c r="H16" s="8">
        <f t="shared" si="4"/>
        <v>74959097.93</v>
      </c>
      <c r="J16" s="5"/>
      <c r="L16" s="33">
        <v>45894.0</v>
      </c>
      <c r="M16" s="34" t="s">
        <v>85</v>
      </c>
      <c r="N16" s="35" t="s">
        <v>624</v>
      </c>
      <c r="O16" s="36"/>
      <c r="P16" s="36">
        <v>3000000.0</v>
      </c>
      <c r="Q16" s="36"/>
      <c r="R16" s="36"/>
      <c r="S16" s="36">
        <f t="shared" si="5"/>
        <v>3000000</v>
      </c>
      <c r="T16" s="36">
        <f t="shared" si="6"/>
        <v>93173231</v>
      </c>
      <c r="U16" s="34"/>
    </row>
    <row r="17" ht="15.75" customHeight="1">
      <c r="A17" s="29">
        <v>45990.0</v>
      </c>
      <c r="B17" s="2" t="s">
        <v>628</v>
      </c>
      <c r="C17" s="30">
        <v>45976.0</v>
      </c>
      <c r="D17" s="8">
        <f t="shared" si="1"/>
        <v>2914555.686</v>
      </c>
      <c r="E17" s="15">
        <f t="shared" si="7"/>
        <v>85444.31392</v>
      </c>
      <c r="F17" s="8">
        <f t="shared" si="2"/>
        <v>749590.9793</v>
      </c>
      <c r="G17" s="8">
        <f t="shared" si="3"/>
        <v>2250409.021</v>
      </c>
      <c r="H17" s="8">
        <f t="shared" si="4"/>
        <v>72708688.9</v>
      </c>
      <c r="J17" s="5"/>
      <c r="L17" s="33">
        <v>45929.0</v>
      </c>
      <c r="M17" s="34" t="s">
        <v>89</v>
      </c>
      <c r="N17" s="35" t="s">
        <v>626</v>
      </c>
      <c r="O17" s="36"/>
      <c r="P17" s="36">
        <v>3000000.0</v>
      </c>
      <c r="Q17" s="36"/>
      <c r="R17" s="36"/>
      <c r="S17" s="36">
        <f t="shared" si="5"/>
        <v>3000000</v>
      </c>
      <c r="T17" s="36">
        <f t="shared" si="6"/>
        <v>90173231</v>
      </c>
      <c r="U17" s="34"/>
    </row>
    <row r="18" ht="15.75" customHeight="1">
      <c r="A18" s="29">
        <v>46040.0</v>
      </c>
      <c r="B18" s="2" t="s">
        <v>629</v>
      </c>
      <c r="C18" s="30">
        <v>46006.0</v>
      </c>
      <c r="D18" s="8">
        <f t="shared" si="1"/>
        <v>2914555.686</v>
      </c>
      <c r="E18" s="15">
        <f t="shared" si="7"/>
        <v>85444.31392</v>
      </c>
      <c r="F18" s="8">
        <f t="shared" si="2"/>
        <v>727086.889</v>
      </c>
      <c r="G18" s="8">
        <f t="shared" si="3"/>
        <v>2272913.111</v>
      </c>
      <c r="H18" s="8">
        <f t="shared" si="4"/>
        <v>70435775.79</v>
      </c>
      <c r="J18" s="5"/>
      <c r="L18" s="33">
        <v>45958.0</v>
      </c>
      <c r="M18" s="34" t="s">
        <v>93</v>
      </c>
      <c r="N18" s="35" t="s">
        <v>627</v>
      </c>
      <c r="O18" s="36"/>
      <c r="P18" s="36">
        <v>3000000.0</v>
      </c>
      <c r="Q18" s="36"/>
      <c r="R18" s="36"/>
      <c r="S18" s="36">
        <f t="shared" si="5"/>
        <v>3000000</v>
      </c>
      <c r="T18" s="36">
        <f t="shared" si="6"/>
        <v>87173231</v>
      </c>
      <c r="U18" s="34"/>
    </row>
    <row r="19" ht="15.75" customHeight="1">
      <c r="A19" s="29">
        <v>46069.0</v>
      </c>
      <c r="B19" s="2" t="s">
        <v>631</v>
      </c>
      <c r="C19" s="30">
        <v>46037.0</v>
      </c>
      <c r="D19" s="8">
        <f t="shared" si="1"/>
        <v>2914555.686</v>
      </c>
      <c r="E19" s="15">
        <f t="shared" si="7"/>
        <v>85444.31392</v>
      </c>
      <c r="F19" s="8">
        <f t="shared" si="2"/>
        <v>704357.7579</v>
      </c>
      <c r="G19" s="8">
        <f t="shared" si="3"/>
        <v>2295642.242</v>
      </c>
      <c r="H19" s="8">
        <f t="shared" si="4"/>
        <v>68140133.55</v>
      </c>
      <c r="I19" s="1"/>
      <c r="J19" s="41"/>
      <c r="K19" s="1"/>
      <c r="L19" s="42">
        <v>45990.0</v>
      </c>
      <c r="M19" s="43" t="s">
        <v>96</v>
      </c>
      <c r="N19" s="44" t="s">
        <v>628</v>
      </c>
      <c r="O19" s="45"/>
      <c r="P19" s="45">
        <v>3000000.0</v>
      </c>
      <c r="Q19" s="45"/>
      <c r="R19" s="45"/>
      <c r="S19" s="45">
        <f t="shared" si="5"/>
        <v>3000000</v>
      </c>
      <c r="T19" s="45">
        <f t="shared" si="6"/>
        <v>84173231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46097.0</v>
      </c>
      <c r="B20" s="2" t="s">
        <v>634</v>
      </c>
      <c r="C20" s="30">
        <v>46068.0</v>
      </c>
      <c r="D20" s="8">
        <f t="shared" si="1"/>
        <v>2914555.686</v>
      </c>
      <c r="E20" s="15">
        <f t="shared" si="7"/>
        <v>85444.31392</v>
      </c>
      <c r="F20" s="8">
        <f t="shared" si="2"/>
        <v>681401.3355</v>
      </c>
      <c r="G20" s="8">
        <f t="shared" si="3"/>
        <v>2318598.664</v>
      </c>
      <c r="H20" s="8">
        <f t="shared" si="4"/>
        <v>65821534.89</v>
      </c>
      <c r="J20" s="5"/>
      <c r="L20" s="33">
        <v>46040.0</v>
      </c>
      <c r="M20" s="34" t="s">
        <v>100</v>
      </c>
      <c r="N20" s="35" t="s">
        <v>629</v>
      </c>
      <c r="O20" s="36"/>
      <c r="P20" s="36">
        <v>3000000.0</v>
      </c>
      <c r="Q20" s="36"/>
      <c r="R20" s="36"/>
      <c r="S20" s="36">
        <f t="shared" si="5"/>
        <v>3000000</v>
      </c>
      <c r="T20" s="36">
        <f t="shared" si="6"/>
        <v>81173231</v>
      </c>
      <c r="U20" s="34"/>
    </row>
    <row r="21" ht="15.75" customHeight="1">
      <c r="A21" s="29">
        <v>46139.0</v>
      </c>
      <c r="B21" s="2" t="s">
        <v>636</v>
      </c>
      <c r="C21" s="30">
        <v>46096.0</v>
      </c>
      <c r="D21" s="8">
        <f t="shared" si="1"/>
        <v>2914555.686</v>
      </c>
      <c r="E21" s="15">
        <f t="shared" si="7"/>
        <v>85444.31392</v>
      </c>
      <c r="F21" s="8">
        <f t="shared" si="2"/>
        <v>658215.3489</v>
      </c>
      <c r="G21" s="8">
        <f t="shared" si="3"/>
        <v>2341784.651</v>
      </c>
      <c r="H21" s="8">
        <f t="shared" si="4"/>
        <v>63479750.24</v>
      </c>
      <c r="J21" s="5"/>
      <c r="L21" s="33">
        <v>46069.0</v>
      </c>
      <c r="M21" s="34" t="s">
        <v>103</v>
      </c>
      <c r="N21" s="35" t="s">
        <v>631</v>
      </c>
      <c r="O21" s="36"/>
      <c r="P21" s="36">
        <v>3000000.0</v>
      </c>
      <c r="Q21" s="36"/>
      <c r="R21" s="36"/>
      <c r="S21" s="36">
        <f t="shared" si="5"/>
        <v>3000000</v>
      </c>
      <c r="T21" s="36">
        <f t="shared" si="6"/>
        <v>78173231</v>
      </c>
      <c r="U21" s="34"/>
    </row>
    <row r="22" ht="15.75" customHeight="1">
      <c r="A22" s="29">
        <v>46176.0</v>
      </c>
      <c r="B22" s="2" t="s">
        <v>635</v>
      </c>
      <c r="C22" s="30">
        <v>46127.0</v>
      </c>
      <c r="D22" s="8">
        <f t="shared" si="1"/>
        <v>2914555.686</v>
      </c>
      <c r="E22" s="15">
        <f t="shared" si="7"/>
        <v>85444.31392</v>
      </c>
      <c r="F22" s="8">
        <f t="shared" si="2"/>
        <v>634797.5024</v>
      </c>
      <c r="G22" s="8">
        <f t="shared" si="3"/>
        <v>2365202.498</v>
      </c>
      <c r="H22" s="8">
        <f t="shared" si="4"/>
        <v>61114547.74</v>
      </c>
      <c r="J22" s="5"/>
      <c r="L22" s="33">
        <v>46097.0</v>
      </c>
      <c r="M22" s="34" t="s">
        <v>107</v>
      </c>
      <c r="N22" s="35" t="s">
        <v>634</v>
      </c>
      <c r="O22" s="36"/>
      <c r="P22" s="36">
        <v>3000000.0</v>
      </c>
      <c r="Q22" s="36"/>
      <c r="R22" s="36"/>
      <c r="S22" s="36">
        <f t="shared" si="5"/>
        <v>3000000</v>
      </c>
      <c r="T22" s="36">
        <f t="shared" si="6"/>
        <v>75173231</v>
      </c>
      <c r="U22" s="34"/>
    </row>
    <row r="23" ht="15.75" customHeight="1">
      <c r="A23" s="29">
        <v>46232.0</v>
      </c>
      <c r="B23" s="2" t="s">
        <v>637</v>
      </c>
      <c r="C23" s="30">
        <v>46157.0</v>
      </c>
      <c r="D23" s="8">
        <f t="shared" si="1"/>
        <v>2914555.686</v>
      </c>
      <c r="E23" s="8">
        <f t="shared" si="7"/>
        <v>85444.31392</v>
      </c>
      <c r="F23" s="8">
        <f t="shared" si="2"/>
        <v>611145.4774</v>
      </c>
      <c r="G23" s="8">
        <f t="shared" si="3"/>
        <v>2388854.523</v>
      </c>
      <c r="H23" s="8">
        <f t="shared" si="4"/>
        <v>58725693.22</v>
      </c>
      <c r="J23" s="5"/>
      <c r="L23" s="33">
        <v>46139.0</v>
      </c>
      <c r="M23" s="34" t="s">
        <v>112</v>
      </c>
      <c r="N23" s="35" t="s">
        <v>636</v>
      </c>
      <c r="O23" s="36"/>
      <c r="P23" s="36">
        <v>3000000.0</v>
      </c>
      <c r="Q23" s="36"/>
      <c r="R23" s="36"/>
      <c r="S23" s="36">
        <f t="shared" si="5"/>
        <v>3000000</v>
      </c>
      <c r="T23" s="36">
        <f t="shared" si="6"/>
        <v>72173231</v>
      </c>
      <c r="U23" s="34"/>
    </row>
    <row r="24" ht="15.75" customHeight="1">
      <c r="A24" s="29">
        <v>46257.0</v>
      </c>
      <c r="B24" s="2" t="s">
        <v>638</v>
      </c>
      <c r="C24" s="30">
        <v>46188.0</v>
      </c>
      <c r="D24" s="8">
        <f t="shared" si="1"/>
        <v>2914555.686</v>
      </c>
      <c r="E24" s="8">
        <f t="shared" si="7"/>
        <v>85444.31392</v>
      </c>
      <c r="F24" s="8">
        <f t="shared" si="2"/>
        <v>587256.9322</v>
      </c>
      <c r="G24" s="8">
        <f t="shared" si="3"/>
        <v>2412743.068</v>
      </c>
      <c r="H24" s="8">
        <f t="shared" si="4"/>
        <v>56312950.15</v>
      </c>
      <c r="J24" s="5"/>
      <c r="L24" s="33">
        <v>46176.0</v>
      </c>
      <c r="M24" s="34" t="s">
        <v>115</v>
      </c>
      <c r="N24" s="35" t="s">
        <v>635</v>
      </c>
      <c r="O24" s="36"/>
      <c r="P24" s="36">
        <v>3000000.0</v>
      </c>
      <c r="Q24" s="36"/>
      <c r="R24" s="36"/>
      <c r="S24" s="36">
        <f t="shared" si="5"/>
        <v>3000000</v>
      </c>
      <c r="T24" s="36">
        <f t="shared" si="6"/>
        <v>69173231</v>
      </c>
      <c r="U24" s="34"/>
    </row>
    <row r="25" ht="15.75" customHeight="1">
      <c r="B25" s="2"/>
      <c r="C25" s="30">
        <v>46218.0</v>
      </c>
      <c r="D25" s="8">
        <f t="shared" si="1"/>
        <v>2914555.686</v>
      </c>
      <c r="E25" s="46"/>
      <c r="F25" s="8">
        <f t="shared" si="2"/>
        <v>563129.5015</v>
      </c>
      <c r="G25" s="8">
        <f t="shared" si="3"/>
        <v>2351426.185</v>
      </c>
      <c r="H25" s="8">
        <f t="shared" si="4"/>
        <v>53961523.96</v>
      </c>
      <c r="J25" s="5"/>
      <c r="L25" s="33">
        <v>46232.0</v>
      </c>
      <c r="M25" s="34" t="s">
        <v>116</v>
      </c>
      <c r="N25" s="35" t="s">
        <v>637</v>
      </c>
      <c r="O25" s="36"/>
      <c r="P25" s="36">
        <v>3000000.0</v>
      </c>
      <c r="Q25" s="36"/>
      <c r="R25" s="36"/>
      <c r="S25" s="36">
        <f t="shared" si="5"/>
        <v>3000000</v>
      </c>
      <c r="T25" s="36">
        <f t="shared" si="6"/>
        <v>66173231</v>
      </c>
      <c r="U25" s="34"/>
    </row>
    <row r="26" ht="15.75" customHeight="1">
      <c r="B26" s="2"/>
      <c r="C26" s="30">
        <v>46249.0</v>
      </c>
      <c r="D26" s="8">
        <f t="shared" si="1"/>
        <v>2914555.686</v>
      </c>
      <c r="E26" s="46"/>
      <c r="F26" s="8">
        <f t="shared" si="2"/>
        <v>539615.2396</v>
      </c>
      <c r="G26" s="8">
        <f t="shared" si="3"/>
        <v>2374940.446</v>
      </c>
      <c r="H26" s="8">
        <f t="shared" si="4"/>
        <v>51586583.52</v>
      </c>
      <c r="J26" s="5"/>
      <c r="L26" s="40">
        <v>46257.0</v>
      </c>
      <c r="M26" s="34" t="s">
        <v>118</v>
      </c>
      <c r="N26" s="35" t="s">
        <v>638</v>
      </c>
      <c r="O26" s="36"/>
      <c r="P26" s="36"/>
      <c r="Q26" s="36"/>
      <c r="R26" s="36">
        <v>3000000.0</v>
      </c>
      <c r="S26" s="36">
        <f t="shared" si="5"/>
        <v>3000000</v>
      </c>
      <c r="T26" s="36">
        <f t="shared" si="6"/>
        <v>63173231</v>
      </c>
      <c r="U26" s="34" t="s">
        <v>125</v>
      </c>
    </row>
    <row r="27" ht="15.75" customHeight="1">
      <c r="B27" s="2"/>
      <c r="C27" s="30">
        <v>46280.0</v>
      </c>
      <c r="D27" s="8">
        <f t="shared" si="1"/>
        <v>2914555.686</v>
      </c>
      <c r="E27" s="46"/>
      <c r="F27" s="8">
        <f t="shared" si="2"/>
        <v>515865.8352</v>
      </c>
      <c r="G27" s="8">
        <f t="shared" si="3"/>
        <v>2398689.851</v>
      </c>
      <c r="H27" s="8">
        <f t="shared" si="4"/>
        <v>49187893.67</v>
      </c>
      <c r="J27" s="5"/>
      <c r="L27" s="25"/>
      <c r="M27" s="38" t="s">
        <v>69</v>
      </c>
      <c r="N27" s="39"/>
      <c r="O27" s="27">
        <f t="shared" ref="O27:S27" si="8">SUM(O11:O26)</f>
        <v>0</v>
      </c>
      <c r="P27" s="27">
        <f t="shared" si="8"/>
        <v>48500774</v>
      </c>
      <c r="Q27" s="27">
        <f t="shared" si="8"/>
        <v>0</v>
      </c>
      <c r="R27" s="27">
        <f t="shared" si="8"/>
        <v>3000000</v>
      </c>
      <c r="S27" s="27">
        <f t="shared" si="8"/>
        <v>51500774</v>
      </c>
      <c r="T27" s="27">
        <f>T26</f>
        <v>63173231</v>
      </c>
      <c r="U27" s="25"/>
    </row>
    <row r="28" ht="15.75" customHeight="1">
      <c r="B28" s="2"/>
      <c r="C28" s="30">
        <v>46310.0</v>
      </c>
      <c r="D28" s="8">
        <f t="shared" si="1"/>
        <v>2914555.686</v>
      </c>
      <c r="E28" s="46"/>
      <c r="F28" s="8">
        <f t="shared" si="2"/>
        <v>491878.9367</v>
      </c>
      <c r="G28" s="8">
        <f t="shared" si="3"/>
        <v>2422676.749</v>
      </c>
      <c r="H28" s="8">
        <f t="shared" si="4"/>
        <v>46765216.92</v>
      </c>
      <c r="J28" s="5"/>
    </row>
    <row r="29" ht="15.75" customHeight="1">
      <c r="B29" s="2"/>
      <c r="C29" s="30">
        <v>46341.0</v>
      </c>
      <c r="D29" s="8">
        <f t="shared" si="1"/>
        <v>2914555.686</v>
      </c>
      <c r="E29" s="46"/>
      <c r="F29" s="8">
        <f t="shared" si="2"/>
        <v>467652.1692</v>
      </c>
      <c r="G29" s="8">
        <f t="shared" si="3"/>
        <v>2446903.517</v>
      </c>
      <c r="H29" s="8">
        <f t="shared" si="4"/>
        <v>44318313.4</v>
      </c>
      <c r="J29" s="5"/>
    </row>
    <row r="30" ht="15.75" customHeight="1">
      <c r="B30" s="2"/>
      <c r="C30" s="30">
        <v>46371.0</v>
      </c>
      <c r="D30" s="8">
        <f t="shared" si="1"/>
        <v>2914555.686</v>
      </c>
      <c r="E30" s="46"/>
      <c r="F30" s="8">
        <f t="shared" si="2"/>
        <v>443183.134</v>
      </c>
      <c r="G30" s="8">
        <f t="shared" si="3"/>
        <v>2471372.552</v>
      </c>
      <c r="H30" s="8">
        <f t="shared" si="4"/>
        <v>41846940.85</v>
      </c>
      <c r="J30" s="5"/>
    </row>
    <row r="31" ht="15.75" customHeight="1">
      <c r="B31" s="2"/>
      <c r="C31" s="30">
        <v>46402.0</v>
      </c>
      <c r="D31" s="8">
        <f t="shared" si="1"/>
        <v>2914555.686</v>
      </c>
      <c r="E31" s="46"/>
      <c r="F31" s="8">
        <f t="shared" si="2"/>
        <v>418469.4085</v>
      </c>
      <c r="G31" s="8">
        <f t="shared" si="3"/>
        <v>2496086.278</v>
      </c>
      <c r="H31" s="8">
        <f t="shared" si="4"/>
        <v>39350854.57</v>
      </c>
      <c r="J31" s="5"/>
    </row>
    <row r="32" ht="15.75" customHeight="1">
      <c r="B32" s="2"/>
      <c r="C32" s="30">
        <v>46433.0</v>
      </c>
      <c r="D32" s="8">
        <f t="shared" si="1"/>
        <v>2914555.686</v>
      </c>
      <c r="E32" s="46"/>
      <c r="F32" s="8">
        <f t="shared" si="2"/>
        <v>393508.5457</v>
      </c>
      <c r="G32" s="8">
        <f t="shared" si="3"/>
        <v>2521047.14</v>
      </c>
      <c r="H32" s="8">
        <f t="shared" si="4"/>
        <v>36829807.43</v>
      </c>
      <c r="J32" s="5"/>
    </row>
    <row r="33" ht="15.75" customHeight="1">
      <c r="B33" s="2"/>
      <c r="C33" s="30">
        <v>46461.0</v>
      </c>
      <c r="D33" s="8">
        <f t="shared" si="1"/>
        <v>2914555.686</v>
      </c>
      <c r="E33" s="46"/>
      <c r="F33" s="8">
        <f t="shared" si="2"/>
        <v>368298.0743</v>
      </c>
      <c r="G33" s="8">
        <f t="shared" si="3"/>
        <v>2546257.612</v>
      </c>
      <c r="H33" s="8">
        <f t="shared" si="4"/>
        <v>34283549.82</v>
      </c>
      <c r="J33" s="5"/>
    </row>
    <row r="34" ht="15.75" customHeight="1">
      <c r="B34" s="2"/>
      <c r="C34" s="30">
        <v>46492.0</v>
      </c>
      <c r="D34" s="8">
        <f t="shared" si="1"/>
        <v>2914555.686</v>
      </c>
      <c r="E34" s="46"/>
      <c r="F34" s="8">
        <f t="shared" si="2"/>
        <v>342835.4982</v>
      </c>
      <c r="G34" s="8">
        <f t="shared" si="3"/>
        <v>2571720.188</v>
      </c>
      <c r="H34" s="8">
        <f t="shared" si="4"/>
        <v>31711829.63</v>
      </c>
      <c r="J34" s="5"/>
    </row>
    <row r="35" ht="15.75" customHeight="1">
      <c r="B35" s="2"/>
      <c r="C35" s="30">
        <v>46522.0</v>
      </c>
      <c r="D35" s="8">
        <f t="shared" si="1"/>
        <v>2914555.686</v>
      </c>
      <c r="E35" s="46"/>
      <c r="F35" s="8">
        <f t="shared" si="2"/>
        <v>317118.2963</v>
      </c>
      <c r="G35" s="8">
        <f t="shared" si="3"/>
        <v>2597437.39</v>
      </c>
      <c r="H35" s="8">
        <f t="shared" si="4"/>
        <v>29114392.24</v>
      </c>
      <c r="J35" s="5"/>
    </row>
    <row r="36" ht="15.75" customHeight="1">
      <c r="B36" s="2"/>
      <c r="C36" s="30">
        <v>46553.0</v>
      </c>
      <c r="D36" s="8">
        <f t="shared" si="1"/>
        <v>2914555.686</v>
      </c>
      <c r="E36" s="46"/>
      <c r="F36" s="8">
        <f t="shared" si="2"/>
        <v>291143.9224</v>
      </c>
      <c r="G36" s="8">
        <f t="shared" si="3"/>
        <v>2623411.764</v>
      </c>
      <c r="H36" s="8">
        <f t="shared" si="4"/>
        <v>26490980.48</v>
      </c>
      <c r="J36" s="5"/>
    </row>
    <row r="37" ht="15.75" customHeight="1">
      <c r="B37" s="2"/>
      <c r="C37" s="30">
        <v>46583.0</v>
      </c>
      <c r="D37" s="8">
        <f t="shared" si="1"/>
        <v>2914555.686</v>
      </c>
      <c r="E37" s="46"/>
      <c r="F37" s="8">
        <f t="shared" si="2"/>
        <v>264909.8048</v>
      </c>
      <c r="G37" s="8">
        <f t="shared" si="3"/>
        <v>2649645.881</v>
      </c>
      <c r="H37" s="8">
        <f t="shared" si="4"/>
        <v>23841334.6</v>
      </c>
      <c r="J37" s="5"/>
    </row>
    <row r="38" ht="15.75" customHeight="1">
      <c r="B38" s="2"/>
      <c r="C38" s="30">
        <v>46614.0</v>
      </c>
      <c r="D38" s="8">
        <f t="shared" si="1"/>
        <v>2914555.686</v>
      </c>
      <c r="E38" s="46"/>
      <c r="F38" s="8">
        <f t="shared" si="2"/>
        <v>238413.346</v>
      </c>
      <c r="G38" s="8">
        <f t="shared" si="3"/>
        <v>2676142.34</v>
      </c>
      <c r="H38" s="8">
        <f t="shared" si="4"/>
        <v>21165192.25</v>
      </c>
      <c r="J38" s="5"/>
    </row>
    <row r="39" ht="15.75" customHeight="1">
      <c r="B39" s="2"/>
      <c r="C39" s="30">
        <v>46645.0</v>
      </c>
      <c r="D39" s="8">
        <f t="shared" si="1"/>
        <v>2914555.686</v>
      </c>
      <c r="E39" s="46"/>
      <c r="F39" s="8">
        <f t="shared" si="2"/>
        <v>211651.9225</v>
      </c>
      <c r="G39" s="8">
        <f t="shared" si="3"/>
        <v>2702903.764</v>
      </c>
      <c r="H39" s="8">
        <f t="shared" si="4"/>
        <v>18462288.49</v>
      </c>
      <c r="J39" s="5"/>
    </row>
    <row r="40" ht="15.75" customHeight="1">
      <c r="B40" s="2"/>
      <c r="C40" s="30">
        <v>46675.0</v>
      </c>
      <c r="D40" s="8">
        <f t="shared" si="1"/>
        <v>2914555.686</v>
      </c>
      <c r="E40" s="46"/>
      <c r="F40" s="8">
        <f t="shared" si="2"/>
        <v>184622.8849</v>
      </c>
      <c r="G40" s="8">
        <f t="shared" si="3"/>
        <v>2729932.801</v>
      </c>
      <c r="H40" s="8">
        <f t="shared" si="4"/>
        <v>15732355.69</v>
      </c>
      <c r="J40" s="5"/>
    </row>
    <row r="41" ht="15.75" customHeight="1">
      <c r="B41" s="2"/>
      <c r="C41" s="30">
        <v>46706.0</v>
      </c>
      <c r="D41" s="8">
        <f t="shared" si="1"/>
        <v>2914555.686</v>
      </c>
      <c r="E41" s="46"/>
      <c r="F41" s="8">
        <f t="shared" si="2"/>
        <v>157323.5569</v>
      </c>
      <c r="G41" s="8">
        <f t="shared" si="3"/>
        <v>2757232.129</v>
      </c>
      <c r="H41" s="8">
        <f t="shared" si="4"/>
        <v>12975123.56</v>
      </c>
      <c r="J41" s="5"/>
    </row>
    <row r="42" ht="15.75" customHeight="1">
      <c r="B42" s="2"/>
      <c r="C42" s="30">
        <v>46736.0</v>
      </c>
      <c r="D42" s="8">
        <f t="shared" si="1"/>
        <v>2914555.686</v>
      </c>
      <c r="E42" s="46"/>
      <c r="F42" s="8">
        <f t="shared" si="2"/>
        <v>129751.2356</v>
      </c>
      <c r="G42" s="8">
        <f t="shared" si="3"/>
        <v>2784804.45</v>
      </c>
      <c r="H42" s="8">
        <f t="shared" si="4"/>
        <v>10190319.11</v>
      </c>
      <c r="J42" s="5"/>
    </row>
    <row r="43" ht="15.75" customHeight="1">
      <c r="B43" s="2"/>
      <c r="C43" s="30">
        <v>46767.0</v>
      </c>
      <c r="D43" s="8">
        <f t="shared" si="1"/>
        <v>2914555.686</v>
      </c>
      <c r="E43" s="46"/>
      <c r="F43" s="8">
        <f t="shared" si="2"/>
        <v>101903.1911</v>
      </c>
      <c r="G43" s="8">
        <f t="shared" si="3"/>
        <v>2812652.495</v>
      </c>
      <c r="H43" s="8">
        <f t="shared" si="4"/>
        <v>7377666.616</v>
      </c>
      <c r="J43" s="5"/>
    </row>
    <row r="44" ht="15.75" customHeight="1">
      <c r="A44" s="47"/>
      <c r="B44" s="48"/>
      <c r="C44" s="30">
        <v>46798.0</v>
      </c>
      <c r="D44" s="50">
        <f t="shared" si="1"/>
        <v>2914555.686</v>
      </c>
      <c r="E44" s="51"/>
      <c r="F44" s="50">
        <f t="shared" si="2"/>
        <v>73776.66616</v>
      </c>
      <c r="G44" s="50">
        <f t="shared" si="3"/>
        <v>2840779.02</v>
      </c>
      <c r="H44" s="50">
        <f t="shared" si="4"/>
        <v>4536887.596</v>
      </c>
      <c r="J44" s="5"/>
    </row>
    <row r="45" ht="15.75" customHeight="1">
      <c r="A45" s="47"/>
      <c r="B45" s="48"/>
      <c r="C45" s="30">
        <v>46827.0</v>
      </c>
      <c r="D45" s="50">
        <f t="shared" si="1"/>
        <v>2914555.686</v>
      </c>
      <c r="E45" s="51"/>
      <c r="F45" s="50">
        <f t="shared" si="2"/>
        <v>45368.87596</v>
      </c>
      <c r="G45" s="50">
        <f t="shared" si="3"/>
        <v>2869186.81</v>
      </c>
      <c r="H45" s="50">
        <f t="shared" si="4"/>
        <v>1667700.786</v>
      </c>
      <c r="J45" s="5"/>
    </row>
    <row r="46" ht="15.75" customHeight="1">
      <c r="A46" s="47"/>
      <c r="B46" s="48"/>
      <c r="C46" s="30">
        <v>46858.0</v>
      </c>
      <c r="D46" s="50">
        <f t="shared" si="1"/>
        <v>2914555.686</v>
      </c>
      <c r="E46" s="51"/>
      <c r="F46" s="50">
        <f t="shared" si="2"/>
        <v>16677.00786</v>
      </c>
      <c r="G46" s="50">
        <f t="shared" si="3"/>
        <v>2897878.678</v>
      </c>
      <c r="H46" s="50">
        <f t="shared" si="4"/>
        <v>-1230177.893</v>
      </c>
      <c r="J46" s="5"/>
    </row>
    <row r="47" ht="15.75" customHeight="1">
      <c r="B47" s="2"/>
      <c r="C47" s="30"/>
      <c r="D47" s="8"/>
      <c r="E47" s="61"/>
      <c r="F47" s="8"/>
      <c r="G47" s="8"/>
      <c r="H47" s="8"/>
      <c r="J47" s="5"/>
    </row>
    <row r="48" ht="15.75" customHeight="1">
      <c r="B48" s="2"/>
      <c r="C48" s="30"/>
      <c r="D48" s="8"/>
      <c r="E48" s="61"/>
      <c r="F48" s="8"/>
      <c r="G48" s="8"/>
      <c r="H48" s="8"/>
      <c r="J48" s="5"/>
    </row>
    <row r="49" ht="15.75" customHeight="1">
      <c r="B49" s="2"/>
      <c r="C49" s="30"/>
      <c r="D49" s="8"/>
      <c r="E49" s="61"/>
      <c r="F49" s="8"/>
      <c r="G49" s="8"/>
      <c r="H49" s="8"/>
      <c r="J49" s="5"/>
    </row>
    <row r="50" ht="15.75" customHeight="1">
      <c r="B50" s="2"/>
      <c r="C50" s="30"/>
      <c r="D50" s="8"/>
      <c r="E50" s="61"/>
      <c r="F50" s="8"/>
      <c r="G50" s="8"/>
      <c r="H50" s="8"/>
      <c r="J50" s="5"/>
    </row>
    <row r="51" ht="15.75" customHeight="1">
      <c r="B51" s="2"/>
      <c r="C51" s="30"/>
      <c r="D51" s="8"/>
      <c r="E51" s="61"/>
      <c r="F51" s="8"/>
      <c r="G51" s="8"/>
      <c r="H51" s="8"/>
      <c r="J51" s="5"/>
    </row>
    <row r="52" ht="15.75" customHeight="1">
      <c r="B52" s="2"/>
      <c r="C52" s="30"/>
      <c r="D52" s="8"/>
      <c r="E52" s="61"/>
      <c r="F52" s="8"/>
      <c r="G52" s="8"/>
      <c r="H52" s="8"/>
      <c r="J52" s="5"/>
    </row>
    <row r="53" ht="15.75" customHeight="1">
      <c r="B53" s="2"/>
      <c r="C53" s="30"/>
      <c r="D53" s="8"/>
      <c r="E53" s="61"/>
      <c r="F53" s="8"/>
      <c r="G53" s="8"/>
      <c r="H53" s="8"/>
      <c r="J53" s="5"/>
    </row>
    <row r="54" ht="15.75" customHeight="1">
      <c r="B54" s="2"/>
      <c r="C54" s="30"/>
      <c r="D54" s="8"/>
      <c r="E54" s="61"/>
      <c r="F54" s="8"/>
      <c r="G54" s="8"/>
      <c r="H54" s="8"/>
      <c r="J54" s="5"/>
    </row>
    <row r="55" ht="15.75" customHeight="1">
      <c r="B55" s="2"/>
      <c r="C55" s="30"/>
      <c r="D55" s="8"/>
      <c r="E55" s="61"/>
      <c r="F55" s="8"/>
      <c r="G55" s="8"/>
      <c r="H55" s="8"/>
      <c r="J55" s="5"/>
    </row>
    <row r="56" ht="15.75" customHeight="1">
      <c r="B56" s="2"/>
      <c r="C56" s="30"/>
      <c r="D56" s="8"/>
      <c r="E56" s="61"/>
      <c r="F56" s="8"/>
      <c r="G56" s="8"/>
      <c r="H56" s="8"/>
      <c r="J56" s="5"/>
    </row>
    <row r="57" ht="15.75" customHeight="1">
      <c r="B57" s="2"/>
      <c r="C57" s="30"/>
      <c r="D57" s="8"/>
      <c r="E57" s="61"/>
      <c r="F57" s="8"/>
      <c r="G57" s="8"/>
      <c r="H57" s="8"/>
      <c r="J57" s="5"/>
    </row>
    <row r="58" ht="15.75" customHeight="1">
      <c r="B58" s="2"/>
      <c r="C58" s="30"/>
      <c r="D58" s="8"/>
      <c r="E58" s="61"/>
      <c r="F58" s="8"/>
      <c r="G58" s="8"/>
      <c r="H58" s="8"/>
      <c r="J58" s="5"/>
    </row>
    <row r="59" ht="15.75" customHeight="1">
      <c r="B59" s="2"/>
      <c r="C59" s="30"/>
      <c r="D59" s="8"/>
      <c r="E59" s="61"/>
      <c r="F59" s="8"/>
      <c r="G59" s="8"/>
      <c r="H59" s="8"/>
      <c r="J59" s="5"/>
    </row>
    <row r="60" ht="15.75" customHeight="1">
      <c r="B60" s="2"/>
      <c r="C60" s="30"/>
      <c r="D60" s="8"/>
      <c r="E60" s="61"/>
      <c r="F60" s="8"/>
      <c r="G60" s="8"/>
      <c r="H60" s="8"/>
      <c r="J60" s="5"/>
    </row>
    <row r="61" ht="15.75" customHeight="1">
      <c r="B61" s="2"/>
      <c r="C61" s="30"/>
      <c r="D61" s="8"/>
      <c r="E61" s="61"/>
      <c r="F61" s="8"/>
      <c r="G61" s="8"/>
      <c r="H61" s="8"/>
      <c r="J61" s="5"/>
    </row>
    <row r="62" ht="15.75" customHeight="1">
      <c r="B62" s="2"/>
      <c r="C62" s="30"/>
      <c r="D62" s="8"/>
      <c r="E62" s="61"/>
      <c r="F62" s="8"/>
      <c r="G62" s="8"/>
      <c r="H62" s="8"/>
      <c r="J62" s="5"/>
    </row>
    <row r="63" ht="15.75" customHeight="1">
      <c r="B63" s="2"/>
      <c r="C63" s="30"/>
      <c r="D63" s="8"/>
      <c r="E63" s="61"/>
      <c r="F63" s="8"/>
      <c r="G63" s="8"/>
      <c r="H63" s="8"/>
      <c r="J63" s="5"/>
    </row>
    <row r="64" ht="15.75" customHeight="1">
      <c r="B64" s="2"/>
      <c r="C64" s="30"/>
      <c r="D64" s="8"/>
      <c r="E64" s="61"/>
      <c r="F64" s="8"/>
      <c r="G64" s="8"/>
      <c r="H64" s="8"/>
      <c r="J64" s="5"/>
    </row>
    <row r="65" ht="15.75" customHeight="1">
      <c r="B65" s="2"/>
      <c r="C65" s="30"/>
      <c r="D65" s="8"/>
      <c r="E65" s="61"/>
      <c r="F65" s="8"/>
      <c r="G65" s="8"/>
      <c r="H65" s="8"/>
      <c r="J65" s="5"/>
    </row>
    <row r="66" ht="15.75" customHeight="1">
      <c r="B66" s="2"/>
      <c r="C66" s="30"/>
      <c r="D66" s="8"/>
      <c r="E66" s="61"/>
      <c r="F66" s="8"/>
      <c r="G66" s="8"/>
      <c r="H66" s="8"/>
      <c r="J66" s="5"/>
    </row>
    <row r="67" ht="15.75" customHeight="1">
      <c r="B67" s="2"/>
      <c r="C67" s="30"/>
      <c r="D67" s="8"/>
      <c r="E67" s="61"/>
      <c r="F67" s="8"/>
      <c r="G67" s="8"/>
      <c r="H67" s="8"/>
      <c r="J67" s="5"/>
    </row>
    <row r="68" ht="15.75" customHeight="1">
      <c r="B68" s="2"/>
      <c r="C68" s="30"/>
      <c r="D68" s="8"/>
      <c r="E68" s="61"/>
      <c r="F68" s="8"/>
      <c r="G68" s="8"/>
      <c r="H68" s="8"/>
      <c r="J68" s="5"/>
    </row>
    <row r="69" ht="15.75" customHeight="1">
      <c r="B69" s="2"/>
      <c r="C69" s="30"/>
      <c r="D69" s="8"/>
      <c r="E69" s="61"/>
      <c r="F69" s="8"/>
      <c r="G69" s="8"/>
      <c r="H69" s="8"/>
      <c r="J69" s="5"/>
    </row>
    <row r="70" ht="15.75" customHeight="1">
      <c r="B70" s="2"/>
      <c r="C70" s="30"/>
      <c r="D70" s="8"/>
      <c r="E70" s="61"/>
      <c r="F70" s="8"/>
      <c r="G70" s="8"/>
      <c r="H70" s="8"/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4">
    <mergeCell ref="D1:E1"/>
    <mergeCell ref="D7:E7"/>
    <mergeCell ref="D8:E8"/>
    <mergeCell ref="I11:I13"/>
  </mergeCells>
  <printOptions/>
  <pageMargins bottom="0.75" footer="0.0" header="0.0" left="0.7" right="0.7" top="0.75"/>
  <pageSetup fitToHeight="0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5.0"/>
    <col customWidth="1" min="6" max="7" width="12.78"/>
    <col customWidth="1" min="8" max="8" width="17.11"/>
    <col customWidth="1" min="9" max="9" width="58.33"/>
    <col customWidth="1" min="10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615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36.0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2914555.686</v>
      </c>
      <c r="E6" s="12"/>
      <c r="H6" s="5"/>
      <c r="J6" s="5"/>
    </row>
    <row r="7" ht="15.75" customHeight="1">
      <c r="B7" s="2"/>
      <c r="C7" s="1" t="s">
        <v>12</v>
      </c>
      <c r="D7" s="20" t="s">
        <v>616</v>
      </c>
      <c r="H7" s="5"/>
      <c r="J7" s="5"/>
    </row>
    <row r="8" ht="15.75" customHeight="1">
      <c r="B8" s="2"/>
      <c r="C8" s="1" t="s">
        <v>16</v>
      </c>
      <c r="D8" s="2">
        <v>1.11518644E9</v>
      </c>
      <c r="H8" s="5"/>
      <c r="I8" s="17"/>
      <c r="J8" s="19"/>
      <c r="K8" s="17"/>
      <c r="L8" s="21" t="s">
        <v>617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1.14674005E8</v>
      </c>
      <c r="U10" s="25"/>
    </row>
    <row r="11" ht="15.75" customHeight="1">
      <c r="A11" s="29">
        <v>45792.0</v>
      </c>
      <c r="B11" s="2" t="s">
        <v>619</v>
      </c>
      <c r="C11" s="30">
        <v>45792.0</v>
      </c>
      <c r="D11" s="8">
        <f t="shared" ref="D11:D46" si="1">$D$6</f>
        <v>2914555.686</v>
      </c>
      <c r="E11" s="15"/>
      <c r="F11" s="8">
        <f t="shared" ref="F11:F46" si="2">+H10*$D$4</f>
        <v>877500</v>
      </c>
      <c r="G11" s="8">
        <f t="shared" ref="G11:G46" si="3">+D11+E11-F11</f>
        <v>2037055.686</v>
      </c>
      <c r="H11" s="8">
        <f t="shared" ref="H11:H46" si="4">+H10-G11</f>
        <v>85712944.31</v>
      </c>
      <c r="I11" s="76"/>
      <c r="J11" s="5"/>
      <c r="L11" s="33">
        <v>45749.0</v>
      </c>
      <c r="M11" s="34" t="s">
        <v>44</v>
      </c>
      <c r="N11" s="35" t="s">
        <v>620</v>
      </c>
      <c r="O11" s="36"/>
      <c r="P11" s="36">
        <v>5000773.0</v>
      </c>
      <c r="Q11" s="36"/>
      <c r="R11" s="36"/>
      <c r="S11" s="36">
        <f t="shared" ref="S11:S25" si="5">SUM(O11:R11)</f>
        <v>5000773</v>
      </c>
      <c r="T11" s="36">
        <f t="shared" ref="T11:T25" si="6">T10-S11</f>
        <v>109673232</v>
      </c>
      <c r="U11" s="34"/>
    </row>
    <row r="12" ht="15.75" customHeight="1">
      <c r="A12" s="29">
        <v>45824.0</v>
      </c>
      <c r="B12" s="2" t="s">
        <v>621</v>
      </c>
      <c r="C12" s="30">
        <v>45823.0</v>
      </c>
      <c r="D12" s="8">
        <f t="shared" si="1"/>
        <v>2914555.686</v>
      </c>
      <c r="E12" s="15"/>
      <c r="F12" s="8">
        <f t="shared" si="2"/>
        <v>857129.4431</v>
      </c>
      <c r="G12" s="8">
        <f t="shared" si="3"/>
        <v>2057426.243</v>
      </c>
      <c r="H12" s="8">
        <f t="shared" si="4"/>
        <v>83655518.07</v>
      </c>
      <c r="J12" s="5"/>
      <c r="L12" s="33">
        <v>45782.0</v>
      </c>
      <c r="M12" s="34" t="s">
        <v>44</v>
      </c>
      <c r="N12" s="35" t="s">
        <v>622</v>
      </c>
      <c r="O12" s="36"/>
      <c r="P12" s="36">
        <v>4756333.0</v>
      </c>
      <c r="Q12" s="36"/>
      <c r="R12" s="36"/>
      <c r="S12" s="36">
        <f t="shared" si="5"/>
        <v>4756333</v>
      </c>
      <c r="T12" s="36">
        <f t="shared" si="6"/>
        <v>104916899</v>
      </c>
      <c r="U12" s="34"/>
    </row>
    <row r="13" ht="15.75" customHeight="1">
      <c r="A13" s="29">
        <v>45872.0</v>
      </c>
      <c r="B13" s="2" t="s">
        <v>623</v>
      </c>
      <c r="C13" s="30">
        <v>45853.0</v>
      </c>
      <c r="D13" s="8">
        <f t="shared" si="1"/>
        <v>2914555.686</v>
      </c>
      <c r="E13" s="15"/>
      <c r="F13" s="8">
        <f t="shared" si="2"/>
        <v>836555.1807</v>
      </c>
      <c r="G13" s="8">
        <f t="shared" si="3"/>
        <v>2078000.505</v>
      </c>
      <c r="H13" s="8">
        <f t="shared" si="4"/>
        <v>81577517.57</v>
      </c>
      <c r="J13" s="5" t="s">
        <v>56</v>
      </c>
      <c r="L13" s="33">
        <v>45792.0</v>
      </c>
      <c r="M13" s="34" t="s">
        <v>73</v>
      </c>
      <c r="N13" s="35" t="s">
        <v>619</v>
      </c>
      <c r="O13" s="36"/>
      <c r="P13" s="36">
        <v>2914556.0</v>
      </c>
      <c r="Q13" s="36"/>
      <c r="R13" s="36"/>
      <c r="S13" s="36">
        <f t="shared" si="5"/>
        <v>2914556</v>
      </c>
      <c r="T13" s="36">
        <f t="shared" si="6"/>
        <v>102002343</v>
      </c>
      <c r="U13" s="34"/>
    </row>
    <row r="14" ht="15.75" customHeight="1">
      <c r="A14" s="29">
        <v>45894.0</v>
      </c>
      <c r="B14" s="2" t="s">
        <v>624</v>
      </c>
      <c r="C14" s="30">
        <v>45884.0</v>
      </c>
      <c r="D14" s="8">
        <f t="shared" si="1"/>
        <v>2914555.686</v>
      </c>
      <c r="E14" s="15">
        <f t="shared" ref="E14:E23" si="7">3000000-D14</f>
        <v>85444.31392</v>
      </c>
      <c r="F14" s="8">
        <f t="shared" si="2"/>
        <v>815775.1757</v>
      </c>
      <c r="G14" s="8">
        <f t="shared" si="3"/>
        <v>2184224.824</v>
      </c>
      <c r="H14" s="8">
        <f t="shared" si="4"/>
        <v>79393292.74</v>
      </c>
      <c r="J14" s="8">
        <f>+H10</f>
        <v>87750000</v>
      </c>
      <c r="L14" s="33">
        <v>45824.0</v>
      </c>
      <c r="M14" s="34" t="s">
        <v>78</v>
      </c>
      <c r="N14" s="35" t="s">
        <v>621</v>
      </c>
      <c r="O14" s="36"/>
      <c r="P14" s="36">
        <v>2914556.0</v>
      </c>
      <c r="Q14" s="36"/>
      <c r="R14" s="36"/>
      <c r="S14" s="36">
        <f t="shared" si="5"/>
        <v>2914556</v>
      </c>
      <c r="T14" s="36">
        <f t="shared" si="6"/>
        <v>99087787</v>
      </c>
      <c r="U14" s="34"/>
    </row>
    <row r="15" ht="15.75" customHeight="1">
      <c r="A15" s="29">
        <v>45929.0</v>
      </c>
      <c r="B15" s="2" t="s">
        <v>626</v>
      </c>
      <c r="C15" s="30">
        <v>45915.0</v>
      </c>
      <c r="D15" s="8">
        <f t="shared" si="1"/>
        <v>2914555.686</v>
      </c>
      <c r="E15" s="15">
        <f t="shared" si="7"/>
        <v>85444.31392</v>
      </c>
      <c r="F15" s="8">
        <f t="shared" si="2"/>
        <v>793932.9274</v>
      </c>
      <c r="G15" s="8">
        <f t="shared" si="3"/>
        <v>2206067.073</v>
      </c>
      <c r="H15" s="8">
        <f t="shared" si="4"/>
        <v>77187225.67</v>
      </c>
      <c r="J15" s="5"/>
      <c r="L15" s="33">
        <v>45872.0</v>
      </c>
      <c r="M15" s="34" t="s">
        <v>83</v>
      </c>
      <c r="N15" s="35" t="s">
        <v>623</v>
      </c>
      <c r="O15" s="36"/>
      <c r="P15" s="36">
        <v>2914556.0</v>
      </c>
      <c r="Q15" s="36"/>
      <c r="R15" s="36"/>
      <c r="S15" s="36">
        <f t="shared" si="5"/>
        <v>2914556</v>
      </c>
      <c r="T15" s="36">
        <f t="shared" si="6"/>
        <v>96173231</v>
      </c>
      <c r="U15" s="34"/>
    </row>
    <row r="16" ht="15.75" customHeight="1">
      <c r="A16" s="29">
        <v>45958.0</v>
      </c>
      <c r="B16" s="2" t="s">
        <v>627</v>
      </c>
      <c r="C16" s="30">
        <v>45945.0</v>
      </c>
      <c r="D16" s="8">
        <f t="shared" si="1"/>
        <v>2914555.686</v>
      </c>
      <c r="E16" s="15">
        <f t="shared" si="7"/>
        <v>85444.31392</v>
      </c>
      <c r="F16" s="8">
        <f t="shared" si="2"/>
        <v>771872.2567</v>
      </c>
      <c r="G16" s="8">
        <f t="shared" si="3"/>
        <v>2228127.743</v>
      </c>
      <c r="H16" s="8">
        <f t="shared" si="4"/>
        <v>74959097.93</v>
      </c>
      <c r="J16" s="5"/>
      <c r="L16" s="33">
        <v>45894.0</v>
      </c>
      <c r="M16" s="34" t="s">
        <v>85</v>
      </c>
      <c r="N16" s="35" t="s">
        <v>624</v>
      </c>
      <c r="O16" s="36"/>
      <c r="P16" s="36">
        <v>3000000.0</v>
      </c>
      <c r="Q16" s="36"/>
      <c r="R16" s="36"/>
      <c r="S16" s="36">
        <f t="shared" si="5"/>
        <v>3000000</v>
      </c>
      <c r="T16" s="36">
        <f t="shared" si="6"/>
        <v>93173231</v>
      </c>
      <c r="U16" s="34"/>
    </row>
    <row r="17" ht="15.75" customHeight="1">
      <c r="A17" s="29">
        <v>45990.0</v>
      </c>
      <c r="B17" s="2" t="s">
        <v>628</v>
      </c>
      <c r="C17" s="30">
        <v>45976.0</v>
      </c>
      <c r="D17" s="8">
        <f t="shared" si="1"/>
        <v>2914555.686</v>
      </c>
      <c r="E17" s="15">
        <f t="shared" si="7"/>
        <v>85444.31392</v>
      </c>
      <c r="F17" s="8">
        <f t="shared" si="2"/>
        <v>749590.9793</v>
      </c>
      <c r="G17" s="8">
        <f t="shared" si="3"/>
        <v>2250409.021</v>
      </c>
      <c r="H17" s="8">
        <f t="shared" si="4"/>
        <v>72708688.9</v>
      </c>
      <c r="J17" s="5"/>
      <c r="L17" s="33">
        <v>45929.0</v>
      </c>
      <c r="M17" s="34" t="s">
        <v>89</v>
      </c>
      <c r="N17" s="35" t="s">
        <v>626</v>
      </c>
      <c r="O17" s="36"/>
      <c r="P17" s="36">
        <v>3000000.0</v>
      </c>
      <c r="Q17" s="36"/>
      <c r="R17" s="36"/>
      <c r="S17" s="36">
        <f t="shared" si="5"/>
        <v>3000000</v>
      </c>
      <c r="T17" s="36">
        <f t="shared" si="6"/>
        <v>90173231</v>
      </c>
      <c r="U17" s="34"/>
    </row>
    <row r="18" ht="15.75" customHeight="1">
      <c r="A18" s="29">
        <v>46040.0</v>
      </c>
      <c r="B18" s="2" t="s">
        <v>629</v>
      </c>
      <c r="C18" s="30">
        <v>46006.0</v>
      </c>
      <c r="D18" s="8">
        <f t="shared" si="1"/>
        <v>2914555.686</v>
      </c>
      <c r="E18" s="15">
        <f t="shared" si="7"/>
        <v>85444.31392</v>
      </c>
      <c r="F18" s="8">
        <f t="shared" si="2"/>
        <v>727086.889</v>
      </c>
      <c r="G18" s="8">
        <f t="shared" si="3"/>
        <v>2272913.111</v>
      </c>
      <c r="H18" s="8">
        <f t="shared" si="4"/>
        <v>70435775.79</v>
      </c>
      <c r="J18" s="5"/>
      <c r="L18" s="33">
        <v>45958.0</v>
      </c>
      <c r="M18" s="34" t="s">
        <v>93</v>
      </c>
      <c r="N18" s="35" t="s">
        <v>627</v>
      </c>
      <c r="O18" s="36"/>
      <c r="P18" s="36">
        <v>3000000.0</v>
      </c>
      <c r="Q18" s="36"/>
      <c r="R18" s="36"/>
      <c r="S18" s="36">
        <f t="shared" si="5"/>
        <v>3000000</v>
      </c>
      <c r="T18" s="36">
        <f t="shared" si="6"/>
        <v>87173231</v>
      </c>
      <c r="U18" s="34"/>
    </row>
    <row r="19" ht="15.75" customHeight="1">
      <c r="A19" s="29">
        <v>46069.0</v>
      </c>
      <c r="B19" s="2" t="s">
        <v>631</v>
      </c>
      <c r="C19" s="30">
        <v>46037.0</v>
      </c>
      <c r="D19" s="8">
        <f t="shared" si="1"/>
        <v>2914555.686</v>
      </c>
      <c r="E19" s="15">
        <f t="shared" si="7"/>
        <v>85444.31392</v>
      </c>
      <c r="F19" s="8">
        <f t="shared" si="2"/>
        <v>704357.7579</v>
      </c>
      <c r="G19" s="8">
        <f t="shared" si="3"/>
        <v>2295642.242</v>
      </c>
      <c r="H19" s="8">
        <f t="shared" si="4"/>
        <v>68140133.55</v>
      </c>
      <c r="I19" s="1"/>
      <c r="J19" s="41"/>
      <c r="K19" s="1"/>
      <c r="L19" s="42">
        <v>45990.0</v>
      </c>
      <c r="M19" s="43" t="s">
        <v>96</v>
      </c>
      <c r="N19" s="44" t="s">
        <v>628</v>
      </c>
      <c r="O19" s="45"/>
      <c r="P19" s="45">
        <v>3000000.0</v>
      </c>
      <c r="Q19" s="45"/>
      <c r="R19" s="45"/>
      <c r="S19" s="45">
        <f t="shared" si="5"/>
        <v>3000000</v>
      </c>
      <c r="T19" s="45">
        <f t="shared" si="6"/>
        <v>84173231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46111.0</v>
      </c>
      <c r="B20" s="2" t="s">
        <v>632</v>
      </c>
      <c r="C20" s="30">
        <v>46068.0</v>
      </c>
      <c r="D20" s="8">
        <f t="shared" si="1"/>
        <v>2914555.686</v>
      </c>
      <c r="E20" s="15">
        <f t="shared" si="7"/>
        <v>85444.31392</v>
      </c>
      <c r="F20" s="8">
        <f t="shared" si="2"/>
        <v>681401.3355</v>
      </c>
      <c r="G20" s="8">
        <f t="shared" si="3"/>
        <v>2318598.664</v>
      </c>
      <c r="H20" s="8">
        <f t="shared" si="4"/>
        <v>65821534.89</v>
      </c>
      <c r="J20" s="5"/>
      <c r="L20" s="33">
        <v>46040.0</v>
      </c>
      <c r="M20" s="34" t="s">
        <v>100</v>
      </c>
      <c r="N20" s="35" t="s">
        <v>629</v>
      </c>
      <c r="O20" s="36"/>
      <c r="P20" s="36">
        <v>3000000.0</v>
      </c>
      <c r="Q20" s="36"/>
      <c r="R20" s="36"/>
      <c r="S20" s="36">
        <f t="shared" si="5"/>
        <v>3000000</v>
      </c>
      <c r="T20" s="36">
        <f t="shared" si="6"/>
        <v>81173231</v>
      </c>
      <c r="U20" s="34"/>
    </row>
    <row r="21" ht="15.75" customHeight="1">
      <c r="A21" s="29">
        <v>46157.0</v>
      </c>
      <c r="B21" s="2" t="s">
        <v>633</v>
      </c>
      <c r="C21" s="30">
        <v>46096.0</v>
      </c>
      <c r="D21" s="8">
        <f t="shared" si="1"/>
        <v>2914555.686</v>
      </c>
      <c r="E21" s="15">
        <f t="shared" si="7"/>
        <v>85444.31392</v>
      </c>
      <c r="F21" s="8">
        <f t="shared" si="2"/>
        <v>658215.3489</v>
      </c>
      <c r="G21" s="8">
        <f t="shared" si="3"/>
        <v>2341784.651</v>
      </c>
      <c r="H21" s="8">
        <f t="shared" si="4"/>
        <v>63479750.24</v>
      </c>
      <c r="J21" s="5"/>
      <c r="L21" s="33">
        <v>46069.0</v>
      </c>
      <c r="M21" s="34" t="s">
        <v>103</v>
      </c>
      <c r="N21" s="35" t="s">
        <v>631</v>
      </c>
      <c r="O21" s="36"/>
      <c r="P21" s="36">
        <v>3000000.0</v>
      </c>
      <c r="Q21" s="36"/>
      <c r="R21" s="36"/>
      <c r="S21" s="36">
        <f t="shared" si="5"/>
        <v>3000000</v>
      </c>
      <c r="T21" s="36">
        <f t="shared" si="6"/>
        <v>78173231</v>
      </c>
      <c r="U21" s="34"/>
    </row>
    <row r="22" ht="15.75" customHeight="1">
      <c r="A22" s="29">
        <v>46176.0</v>
      </c>
      <c r="B22" s="2" t="s">
        <v>635</v>
      </c>
      <c r="C22" s="30">
        <v>46127.0</v>
      </c>
      <c r="D22" s="8">
        <f t="shared" si="1"/>
        <v>2914555.686</v>
      </c>
      <c r="E22" s="15">
        <f t="shared" si="7"/>
        <v>85444.31392</v>
      </c>
      <c r="F22" s="8">
        <f t="shared" si="2"/>
        <v>634797.5024</v>
      </c>
      <c r="G22" s="8">
        <f t="shared" si="3"/>
        <v>2365202.498</v>
      </c>
      <c r="H22" s="8">
        <f t="shared" si="4"/>
        <v>61114547.74</v>
      </c>
      <c r="J22" s="5"/>
      <c r="L22" s="33">
        <v>46111.0</v>
      </c>
      <c r="M22" s="34" t="s">
        <v>107</v>
      </c>
      <c r="N22" s="35" t="s">
        <v>632</v>
      </c>
      <c r="O22" s="36"/>
      <c r="P22" s="36">
        <v>3000000.0</v>
      </c>
      <c r="Q22" s="36"/>
      <c r="R22" s="36"/>
      <c r="S22" s="36">
        <f t="shared" si="5"/>
        <v>3000000</v>
      </c>
      <c r="T22" s="36">
        <f t="shared" si="6"/>
        <v>75173231</v>
      </c>
      <c r="U22" s="34"/>
    </row>
    <row r="23" ht="15.75" customHeight="1">
      <c r="A23" s="29">
        <v>46232.0</v>
      </c>
      <c r="B23" s="2" t="s">
        <v>637</v>
      </c>
      <c r="C23" s="30">
        <v>46157.0</v>
      </c>
      <c r="D23" s="8">
        <f t="shared" si="1"/>
        <v>2914555.686</v>
      </c>
      <c r="E23" s="8">
        <f t="shared" si="7"/>
        <v>85444.31392</v>
      </c>
      <c r="F23" s="8">
        <f t="shared" si="2"/>
        <v>611145.4774</v>
      </c>
      <c r="G23" s="8">
        <f t="shared" si="3"/>
        <v>2388854.523</v>
      </c>
      <c r="H23" s="8">
        <f t="shared" si="4"/>
        <v>58725693.22</v>
      </c>
      <c r="J23" s="5"/>
      <c r="L23" s="33">
        <v>46157.0</v>
      </c>
      <c r="M23" s="34" t="s">
        <v>112</v>
      </c>
      <c r="N23" s="35" t="s">
        <v>633</v>
      </c>
      <c r="O23" s="36"/>
      <c r="P23" s="36">
        <v>3000000.0</v>
      </c>
      <c r="Q23" s="36"/>
      <c r="R23" s="36"/>
      <c r="S23" s="36">
        <f t="shared" si="5"/>
        <v>3000000</v>
      </c>
      <c r="T23" s="36">
        <f t="shared" si="6"/>
        <v>72173231</v>
      </c>
      <c r="U23" s="34"/>
    </row>
    <row r="24" ht="15.75" customHeight="1">
      <c r="A24" s="37"/>
      <c r="B24" s="2"/>
      <c r="C24" s="30">
        <v>46188.0</v>
      </c>
      <c r="D24" s="8">
        <f t="shared" si="1"/>
        <v>2914555.686</v>
      </c>
      <c r="E24" s="46"/>
      <c r="F24" s="8">
        <f t="shared" si="2"/>
        <v>587256.9322</v>
      </c>
      <c r="G24" s="8">
        <f t="shared" si="3"/>
        <v>2327298.754</v>
      </c>
      <c r="H24" s="8">
        <f t="shared" si="4"/>
        <v>56398394.46</v>
      </c>
      <c r="J24" s="5"/>
      <c r="L24" s="33">
        <v>46176.0</v>
      </c>
      <c r="M24" s="34" t="s">
        <v>115</v>
      </c>
      <c r="N24" s="35" t="s">
        <v>635</v>
      </c>
      <c r="O24" s="36"/>
      <c r="P24" s="36">
        <v>3000000.0</v>
      </c>
      <c r="Q24" s="36"/>
      <c r="R24" s="36"/>
      <c r="S24" s="36">
        <f t="shared" si="5"/>
        <v>3000000</v>
      </c>
      <c r="T24" s="36">
        <f t="shared" si="6"/>
        <v>69173231</v>
      </c>
      <c r="U24" s="34"/>
    </row>
    <row r="25" ht="15.75" customHeight="1">
      <c r="B25" s="2"/>
      <c r="C25" s="30">
        <v>46218.0</v>
      </c>
      <c r="D25" s="8">
        <f t="shared" si="1"/>
        <v>2914555.686</v>
      </c>
      <c r="E25" s="46"/>
      <c r="F25" s="8">
        <f t="shared" si="2"/>
        <v>563983.9446</v>
      </c>
      <c r="G25" s="8">
        <f t="shared" si="3"/>
        <v>2350571.741</v>
      </c>
      <c r="H25" s="8">
        <f t="shared" si="4"/>
        <v>54047822.72</v>
      </c>
      <c r="J25" s="5"/>
      <c r="L25" s="33">
        <v>46232.0</v>
      </c>
      <c r="M25" s="34" t="s">
        <v>116</v>
      </c>
      <c r="N25" s="35" t="s">
        <v>637</v>
      </c>
      <c r="O25" s="36"/>
      <c r="P25" s="36">
        <v>3000000.0</v>
      </c>
      <c r="Q25" s="36"/>
      <c r="R25" s="36"/>
      <c r="S25" s="36">
        <f t="shared" si="5"/>
        <v>3000000</v>
      </c>
      <c r="T25" s="36">
        <f t="shared" si="6"/>
        <v>66173231</v>
      </c>
      <c r="U25" s="34"/>
    </row>
    <row r="26" ht="15.75" customHeight="1">
      <c r="B26" s="2"/>
      <c r="C26" s="30">
        <v>46249.0</v>
      </c>
      <c r="D26" s="8">
        <f t="shared" si="1"/>
        <v>2914555.686</v>
      </c>
      <c r="E26" s="46"/>
      <c r="F26" s="8">
        <f t="shared" si="2"/>
        <v>540478.2272</v>
      </c>
      <c r="G26" s="8">
        <f t="shared" si="3"/>
        <v>2374077.459</v>
      </c>
      <c r="H26" s="8">
        <f t="shared" si="4"/>
        <v>51673745.26</v>
      </c>
      <c r="J26" s="5"/>
      <c r="L26" s="25"/>
      <c r="M26" s="38" t="s">
        <v>69</v>
      </c>
      <c r="N26" s="39"/>
      <c r="O26" s="27">
        <f t="shared" ref="O26:S26" si="8">SUM(O11:O25)</f>
        <v>0</v>
      </c>
      <c r="P26" s="27">
        <f t="shared" si="8"/>
        <v>48500774</v>
      </c>
      <c r="Q26" s="27">
        <f t="shared" si="8"/>
        <v>0</v>
      </c>
      <c r="R26" s="27">
        <f t="shared" si="8"/>
        <v>0</v>
      </c>
      <c r="S26" s="27">
        <f t="shared" si="8"/>
        <v>48500774</v>
      </c>
      <c r="T26" s="27">
        <f>T25</f>
        <v>66173231</v>
      </c>
      <c r="U26" s="25"/>
    </row>
    <row r="27" ht="15.75" customHeight="1">
      <c r="B27" s="2"/>
      <c r="C27" s="30">
        <v>46280.0</v>
      </c>
      <c r="D27" s="8">
        <f t="shared" si="1"/>
        <v>2914555.686</v>
      </c>
      <c r="E27" s="46"/>
      <c r="F27" s="8">
        <f t="shared" si="2"/>
        <v>516737.4526</v>
      </c>
      <c r="G27" s="8">
        <f t="shared" si="3"/>
        <v>2397818.233</v>
      </c>
      <c r="H27" s="8">
        <f t="shared" si="4"/>
        <v>49275927.03</v>
      </c>
      <c r="J27" s="5"/>
    </row>
    <row r="28" ht="15.75" customHeight="1">
      <c r="B28" s="2"/>
      <c r="C28" s="30">
        <v>46310.0</v>
      </c>
      <c r="D28" s="8">
        <f t="shared" si="1"/>
        <v>2914555.686</v>
      </c>
      <c r="E28" s="46"/>
      <c r="F28" s="8">
        <f t="shared" si="2"/>
        <v>492759.2703</v>
      </c>
      <c r="G28" s="8">
        <f t="shared" si="3"/>
        <v>2421796.416</v>
      </c>
      <c r="H28" s="8">
        <f t="shared" si="4"/>
        <v>46854130.61</v>
      </c>
      <c r="J28" s="5"/>
    </row>
    <row r="29" ht="15.75" customHeight="1">
      <c r="B29" s="2"/>
      <c r="C29" s="30">
        <v>46341.0</v>
      </c>
      <c r="D29" s="8">
        <f t="shared" si="1"/>
        <v>2914555.686</v>
      </c>
      <c r="E29" s="46"/>
      <c r="F29" s="8">
        <f t="shared" si="2"/>
        <v>468541.3061</v>
      </c>
      <c r="G29" s="8">
        <f t="shared" si="3"/>
        <v>2446014.38</v>
      </c>
      <c r="H29" s="8">
        <f t="shared" si="4"/>
        <v>44408116.23</v>
      </c>
      <c r="J29" s="5"/>
    </row>
    <row r="30" ht="15.75" customHeight="1">
      <c r="B30" s="2"/>
      <c r="C30" s="30">
        <v>46371.0</v>
      </c>
      <c r="D30" s="8">
        <f t="shared" si="1"/>
        <v>2914555.686</v>
      </c>
      <c r="E30" s="46"/>
      <c r="F30" s="8">
        <f t="shared" si="2"/>
        <v>444081.1623</v>
      </c>
      <c r="G30" s="8">
        <f t="shared" si="3"/>
        <v>2470474.524</v>
      </c>
      <c r="H30" s="8">
        <f t="shared" si="4"/>
        <v>41937641.71</v>
      </c>
      <c r="J30" s="5"/>
    </row>
    <row r="31" ht="15.75" customHeight="1">
      <c r="B31" s="2"/>
      <c r="C31" s="30">
        <v>46402.0</v>
      </c>
      <c r="D31" s="8">
        <f t="shared" si="1"/>
        <v>2914555.686</v>
      </c>
      <c r="E31" s="46"/>
      <c r="F31" s="8">
        <f t="shared" si="2"/>
        <v>419376.4171</v>
      </c>
      <c r="G31" s="8">
        <f t="shared" si="3"/>
        <v>2495179.269</v>
      </c>
      <c r="H31" s="8">
        <f t="shared" si="4"/>
        <v>39442462.44</v>
      </c>
      <c r="J31" s="5"/>
    </row>
    <row r="32" ht="15.75" customHeight="1">
      <c r="B32" s="2"/>
      <c r="C32" s="30">
        <v>46433.0</v>
      </c>
      <c r="D32" s="8">
        <f t="shared" si="1"/>
        <v>2914555.686</v>
      </c>
      <c r="E32" s="46"/>
      <c r="F32" s="8">
        <f t="shared" si="2"/>
        <v>394424.6244</v>
      </c>
      <c r="G32" s="8">
        <f t="shared" si="3"/>
        <v>2520131.062</v>
      </c>
      <c r="H32" s="8">
        <f t="shared" si="4"/>
        <v>36922331.38</v>
      </c>
      <c r="J32" s="5"/>
    </row>
    <row r="33" ht="15.75" customHeight="1">
      <c r="B33" s="2"/>
      <c r="C33" s="30">
        <v>46461.0</v>
      </c>
      <c r="D33" s="8">
        <f t="shared" si="1"/>
        <v>2914555.686</v>
      </c>
      <c r="E33" s="46"/>
      <c r="F33" s="8">
        <f t="shared" si="2"/>
        <v>369223.3138</v>
      </c>
      <c r="G33" s="8">
        <f t="shared" si="3"/>
        <v>2545332.372</v>
      </c>
      <c r="H33" s="8">
        <f t="shared" si="4"/>
        <v>34376999.01</v>
      </c>
      <c r="J33" s="5"/>
    </row>
    <row r="34" ht="15.75" customHeight="1">
      <c r="B34" s="2"/>
      <c r="C34" s="30">
        <v>46492.0</v>
      </c>
      <c r="D34" s="8">
        <f t="shared" si="1"/>
        <v>2914555.686</v>
      </c>
      <c r="E34" s="46"/>
      <c r="F34" s="8">
        <f t="shared" si="2"/>
        <v>343769.9901</v>
      </c>
      <c r="G34" s="8">
        <f t="shared" si="3"/>
        <v>2570785.696</v>
      </c>
      <c r="H34" s="8">
        <f t="shared" si="4"/>
        <v>31806213.31</v>
      </c>
      <c r="J34" s="5"/>
    </row>
    <row r="35" ht="15.75" customHeight="1">
      <c r="B35" s="2"/>
      <c r="C35" s="30">
        <v>46522.0</v>
      </c>
      <c r="D35" s="8">
        <f t="shared" si="1"/>
        <v>2914555.686</v>
      </c>
      <c r="E35" s="46"/>
      <c r="F35" s="8">
        <f t="shared" si="2"/>
        <v>318062.1331</v>
      </c>
      <c r="G35" s="8">
        <f t="shared" si="3"/>
        <v>2596493.553</v>
      </c>
      <c r="H35" s="8">
        <f t="shared" si="4"/>
        <v>29209719.76</v>
      </c>
      <c r="J35" s="5"/>
    </row>
    <row r="36" ht="15.75" customHeight="1">
      <c r="B36" s="2"/>
      <c r="C36" s="30">
        <v>46553.0</v>
      </c>
      <c r="D36" s="8">
        <f t="shared" si="1"/>
        <v>2914555.686</v>
      </c>
      <c r="E36" s="46"/>
      <c r="F36" s="8">
        <f t="shared" si="2"/>
        <v>292097.1976</v>
      </c>
      <c r="G36" s="8">
        <f t="shared" si="3"/>
        <v>2622458.489</v>
      </c>
      <c r="H36" s="8">
        <f t="shared" si="4"/>
        <v>26587261.27</v>
      </c>
      <c r="J36" s="5"/>
    </row>
    <row r="37" ht="15.75" customHeight="1">
      <c r="B37" s="2"/>
      <c r="C37" s="30">
        <v>46583.0</v>
      </c>
      <c r="D37" s="8">
        <f t="shared" si="1"/>
        <v>2914555.686</v>
      </c>
      <c r="E37" s="46"/>
      <c r="F37" s="8">
        <f t="shared" si="2"/>
        <v>265872.6127</v>
      </c>
      <c r="G37" s="8">
        <f t="shared" si="3"/>
        <v>2648683.073</v>
      </c>
      <c r="H37" s="8">
        <f t="shared" si="4"/>
        <v>23938578.19</v>
      </c>
      <c r="J37" s="5"/>
    </row>
    <row r="38" ht="15.75" customHeight="1">
      <c r="B38" s="2"/>
      <c r="C38" s="30">
        <v>46614.0</v>
      </c>
      <c r="D38" s="8">
        <f t="shared" si="1"/>
        <v>2914555.686</v>
      </c>
      <c r="E38" s="46"/>
      <c r="F38" s="8">
        <f t="shared" si="2"/>
        <v>239385.7819</v>
      </c>
      <c r="G38" s="8">
        <f t="shared" si="3"/>
        <v>2675169.904</v>
      </c>
      <c r="H38" s="8">
        <f t="shared" si="4"/>
        <v>21263408.29</v>
      </c>
      <c r="J38" s="5"/>
    </row>
    <row r="39" ht="15.75" customHeight="1">
      <c r="B39" s="2"/>
      <c r="C39" s="30">
        <v>46645.0</v>
      </c>
      <c r="D39" s="8">
        <f t="shared" si="1"/>
        <v>2914555.686</v>
      </c>
      <c r="E39" s="46"/>
      <c r="F39" s="8">
        <f t="shared" si="2"/>
        <v>212634.0829</v>
      </c>
      <c r="G39" s="8">
        <f t="shared" si="3"/>
        <v>2701921.603</v>
      </c>
      <c r="H39" s="8">
        <f t="shared" si="4"/>
        <v>18561486.69</v>
      </c>
      <c r="J39" s="5"/>
    </row>
    <row r="40" ht="15.75" customHeight="1">
      <c r="B40" s="2"/>
      <c r="C40" s="30">
        <v>46675.0</v>
      </c>
      <c r="D40" s="8">
        <f t="shared" si="1"/>
        <v>2914555.686</v>
      </c>
      <c r="E40" s="46"/>
      <c r="F40" s="8">
        <f t="shared" si="2"/>
        <v>185614.8669</v>
      </c>
      <c r="G40" s="8">
        <f t="shared" si="3"/>
        <v>2728940.819</v>
      </c>
      <c r="H40" s="8">
        <f t="shared" si="4"/>
        <v>15832545.87</v>
      </c>
      <c r="J40" s="5"/>
    </row>
    <row r="41" ht="15.75" customHeight="1">
      <c r="B41" s="2"/>
      <c r="C41" s="30">
        <v>46706.0</v>
      </c>
      <c r="D41" s="8">
        <f t="shared" si="1"/>
        <v>2914555.686</v>
      </c>
      <c r="E41" s="46"/>
      <c r="F41" s="8">
        <f t="shared" si="2"/>
        <v>158325.4587</v>
      </c>
      <c r="G41" s="8">
        <f t="shared" si="3"/>
        <v>2756230.227</v>
      </c>
      <c r="H41" s="8">
        <f t="shared" si="4"/>
        <v>13076315.64</v>
      </c>
      <c r="J41" s="5"/>
    </row>
    <row r="42" ht="15.75" customHeight="1">
      <c r="B42" s="2"/>
      <c r="C42" s="30">
        <v>46736.0</v>
      </c>
      <c r="D42" s="8">
        <f t="shared" si="1"/>
        <v>2914555.686</v>
      </c>
      <c r="E42" s="46"/>
      <c r="F42" s="8">
        <f t="shared" si="2"/>
        <v>130763.1564</v>
      </c>
      <c r="G42" s="8">
        <f t="shared" si="3"/>
        <v>2783792.53</v>
      </c>
      <c r="H42" s="8">
        <f t="shared" si="4"/>
        <v>10292523.11</v>
      </c>
      <c r="J42" s="5"/>
    </row>
    <row r="43" ht="15.75" customHeight="1">
      <c r="B43" s="2"/>
      <c r="C43" s="30">
        <v>46767.0</v>
      </c>
      <c r="D43" s="8">
        <f t="shared" si="1"/>
        <v>2914555.686</v>
      </c>
      <c r="E43" s="46"/>
      <c r="F43" s="8">
        <f t="shared" si="2"/>
        <v>102925.2311</v>
      </c>
      <c r="G43" s="8">
        <f t="shared" si="3"/>
        <v>2811630.455</v>
      </c>
      <c r="H43" s="8">
        <f t="shared" si="4"/>
        <v>7480892.656</v>
      </c>
      <c r="J43" s="5"/>
    </row>
    <row r="44" ht="15.75" customHeight="1">
      <c r="B44" s="2"/>
      <c r="C44" s="30">
        <v>46798.0</v>
      </c>
      <c r="D44" s="8">
        <f t="shared" si="1"/>
        <v>2914555.686</v>
      </c>
      <c r="E44" s="46"/>
      <c r="F44" s="8">
        <f t="shared" si="2"/>
        <v>74808.92656</v>
      </c>
      <c r="G44" s="8">
        <f t="shared" si="3"/>
        <v>2839746.76</v>
      </c>
      <c r="H44" s="8">
        <f t="shared" si="4"/>
        <v>4641145.897</v>
      </c>
      <c r="J44" s="5"/>
    </row>
    <row r="45" ht="15.75" customHeight="1">
      <c r="B45" s="2"/>
      <c r="C45" s="30">
        <v>46827.0</v>
      </c>
      <c r="D45" s="8">
        <f t="shared" si="1"/>
        <v>2914555.686</v>
      </c>
      <c r="E45" s="46"/>
      <c r="F45" s="8">
        <f t="shared" si="2"/>
        <v>46411.45897</v>
      </c>
      <c r="G45" s="8">
        <f t="shared" si="3"/>
        <v>2868144.227</v>
      </c>
      <c r="H45" s="8">
        <f t="shared" si="4"/>
        <v>1773001.669</v>
      </c>
      <c r="J45" s="5"/>
    </row>
    <row r="46" ht="15.75" customHeight="1">
      <c r="B46" s="2"/>
      <c r="C46" s="30">
        <v>46858.0</v>
      </c>
      <c r="D46" s="8">
        <f t="shared" si="1"/>
        <v>2914555.686</v>
      </c>
      <c r="E46" s="46"/>
      <c r="F46" s="8">
        <f t="shared" si="2"/>
        <v>17730.01669</v>
      </c>
      <c r="G46" s="8">
        <f t="shared" si="3"/>
        <v>2896825.669</v>
      </c>
      <c r="H46" s="8">
        <f t="shared" si="4"/>
        <v>-1123824</v>
      </c>
      <c r="J46" s="5"/>
    </row>
    <row r="47" ht="15.75" customHeight="1">
      <c r="B47" s="2"/>
      <c r="C47" s="30"/>
      <c r="D47" s="8"/>
      <c r="E47" s="61"/>
      <c r="F47" s="8"/>
      <c r="G47" s="8"/>
      <c r="H47" s="8"/>
      <c r="J47" s="5"/>
    </row>
    <row r="48" ht="15.75" customHeight="1">
      <c r="B48" s="2"/>
      <c r="C48" s="30"/>
      <c r="D48" s="8"/>
      <c r="E48" s="61"/>
      <c r="F48" s="8"/>
      <c r="G48" s="8"/>
      <c r="H48" s="8"/>
      <c r="J48" s="5"/>
    </row>
    <row r="49" ht="15.75" customHeight="1">
      <c r="B49" s="2"/>
      <c r="C49" s="30"/>
      <c r="D49" s="8"/>
      <c r="E49" s="61"/>
      <c r="F49" s="8"/>
      <c r="G49" s="8"/>
      <c r="H49" s="8"/>
      <c r="J49" s="5"/>
    </row>
    <row r="50" ht="15.75" customHeight="1">
      <c r="B50" s="2"/>
      <c r="C50" s="30"/>
      <c r="D50" s="8"/>
      <c r="E50" s="61"/>
      <c r="F50" s="8"/>
      <c r="G50" s="8"/>
      <c r="H50" s="8"/>
      <c r="J50" s="5"/>
    </row>
    <row r="51" ht="15.75" customHeight="1">
      <c r="B51" s="2"/>
      <c r="C51" s="30"/>
      <c r="D51" s="8"/>
      <c r="E51" s="61"/>
      <c r="F51" s="8"/>
      <c r="G51" s="8"/>
      <c r="H51" s="8"/>
      <c r="J51" s="5"/>
    </row>
    <row r="52" ht="15.75" customHeight="1">
      <c r="B52" s="2"/>
      <c r="C52" s="30"/>
      <c r="D52" s="8"/>
      <c r="E52" s="61"/>
      <c r="F52" s="8"/>
      <c r="G52" s="8"/>
      <c r="H52" s="8"/>
      <c r="J52" s="5"/>
    </row>
    <row r="53" ht="15.75" customHeight="1">
      <c r="B53" s="2"/>
      <c r="C53" s="30"/>
      <c r="D53" s="8"/>
      <c r="E53" s="61"/>
      <c r="F53" s="8"/>
      <c r="G53" s="8"/>
      <c r="H53" s="8"/>
      <c r="J53" s="5"/>
    </row>
    <row r="54" ht="15.75" customHeight="1">
      <c r="B54" s="2"/>
      <c r="C54" s="30"/>
      <c r="D54" s="8"/>
      <c r="E54" s="61"/>
      <c r="F54" s="8"/>
      <c r="G54" s="8"/>
      <c r="H54" s="8"/>
      <c r="J54" s="5"/>
    </row>
    <row r="55" ht="15.75" customHeight="1">
      <c r="B55" s="2"/>
      <c r="C55" s="30"/>
      <c r="D55" s="8"/>
      <c r="E55" s="61"/>
      <c r="F55" s="8"/>
      <c r="G55" s="8"/>
      <c r="H55" s="8"/>
      <c r="J55" s="5"/>
    </row>
    <row r="56" ht="15.75" customHeight="1">
      <c r="B56" s="2"/>
      <c r="C56" s="30"/>
      <c r="D56" s="8"/>
      <c r="E56" s="61"/>
      <c r="F56" s="8"/>
      <c r="G56" s="8"/>
      <c r="H56" s="8"/>
      <c r="J56" s="5"/>
    </row>
    <row r="57" ht="15.75" customHeight="1">
      <c r="B57" s="2"/>
      <c r="C57" s="30"/>
      <c r="D57" s="8"/>
      <c r="E57" s="61"/>
      <c r="F57" s="8"/>
      <c r="G57" s="8"/>
      <c r="H57" s="8"/>
      <c r="J57" s="5"/>
    </row>
    <row r="58" ht="15.75" customHeight="1">
      <c r="B58" s="2"/>
      <c r="C58" s="30"/>
      <c r="D58" s="8"/>
      <c r="E58" s="61"/>
      <c r="F58" s="8"/>
      <c r="G58" s="8"/>
      <c r="H58" s="8"/>
      <c r="J58" s="5"/>
    </row>
    <row r="59" ht="15.75" customHeight="1">
      <c r="B59" s="2"/>
      <c r="C59" s="30"/>
      <c r="D59" s="8"/>
      <c r="E59" s="61"/>
      <c r="F59" s="8"/>
      <c r="G59" s="8"/>
      <c r="H59" s="8"/>
      <c r="J59" s="5"/>
    </row>
    <row r="60" ht="15.75" customHeight="1">
      <c r="B60" s="2"/>
      <c r="C60" s="30"/>
      <c r="D60" s="8"/>
      <c r="E60" s="61"/>
      <c r="F60" s="8"/>
      <c r="G60" s="8"/>
      <c r="H60" s="8"/>
      <c r="J60" s="5"/>
    </row>
    <row r="61" ht="15.75" customHeight="1">
      <c r="B61" s="2"/>
      <c r="C61" s="30"/>
      <c r="D61" s="8"/>
      <c r="E61" s="61"/>
      <c r="F61" s="8"/>
      <c r="G61" s="8"/>
      <c r="H61" s="8"/>
      <c r="J61" s="5"/>
    </row>
    <row r="62" ht="15.75" customHeight="1">
      <c r="B62" s="2"/>
      <c r="C62" s="30"/>
      <c r="D62" s="8"/>
      <c r="E62" s="61"/>
      <c r="F62" s="8"/>
      <c r="G62" s="8"/>
      <c r="H62" s="8"/>
      <c r="J62" s="5"/>
    </row>
    <row r="63" ht="15.75" customHeight="1">
      <c r="B63" s="2"/>
      <c r="C63" s="30"/>
      <c r="D63" s="8"/>
      <c r="E63" s="61"/>
      <c r="F63" s="8"/>
      <c r="G63" s="8"/>
      <c r="H63" s="8"/>
      <c r="J63" s="5"/>
    </row>
    <row r="64" ht="15.75" customHeight="1">
      <c r="B64" s="2"/>
      <c r="C64" s="30"/>
      <c r="D64" s="8"/>
      <c r="E64" s="61"/>
      <c r="F64" s="8"/>
      <c r="G64" s="8"/>
      <c r="H64" s="8"/>
      <c r="J64" s="5"/>
    </row>
    <row r="65" ht="15.75" customHeight="1">
      <c r="B65" s="2"/>
      <c r="C65" s="30"/>
      <c r="D65" s="8"/>
      <c r="E65" s="61"/>
      <c r="F65" s="8"/>
      <c r="G65" s="8"/>
      <c r="H65" s="8"/>
      <c r="J65" s="5"/>
    </row>
    <row r="66" ht="15.75" customHeight="1">
      <c r="B66" s="2"/>
      <c r="C66" s="30"/>
      <c r="D66" s="8"/>
      <c r="E66" s="61"/>
      <c r="F66" s="8"/>
      <c r="G66" s="8"/>
      <c r="H66" s="8"/>
      <c r="J66" s="5"/>
    </row>
    <row r="67" ht="15.75" customHeight="1">
      <c r="B67" s="2"/>
      <c r="C67" s="30"/>
      <c r="D67" s="8"/>
      <c r="E67" s="61"/>
      <c r="F67" s="8"/>
      <c r="G67" s="8"/>
      <c r="H67" s="8"/>
      <c r="J67" s="5"/>
    </row>
    <row r="68" ht="15.75" customHeight="1">
      <c r="B68" s="2"/>
      <c r="C68" s="30"/>
      <c r="D68" s="8"/>
      <c r="E68" s="61"/>
      <c r="F68" s="8"/>
      <c r="G68" s="8"/>
      <c r="H68" s="8"/>
      <c r="J68" s="5"/>
    </row>
    <row r="69" ht="15.75" customHeight="1">
      <c r="B69" s="2"/>
      <c r="C69" s="30"/>
      <c r="D69" s="8"/>
      <c r="E69" s="61"/>
      <c r="F69" s="8"/>
      <c r="G69" s="8"/>
      <c r="H69" s="8"/>
      <c r="J69" s="5"/>
    </row>
    <row r="70" ht="15.75" customHeight="1">
      <c r="B70" s="2"/>
      <c r="C70" s="30"/>
      <c r="D70" s="8"/>
      <c r="E70" s="61"/>
      <c r="F70" s="8"/>
      <c r="G70" s="8"/>
      <c r="H70" s="8"/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4">
    <mergeCell ref="D1:E1"/>
    <mergeCell ref="D7:E7"/>
    <mergeCell ref="D8:E8"/>
    <mergeCell ref="I11:I13"/>
  </mergeCells>
  <printOptions/>
  <pageMargins bottom="0.75" footer="0.0" header="0.0" left="0.7" right="0.7" top="0.75"/>
  <pageSetup fitToHeight="0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639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640</v>
      </c>
      <c r="H7" s="5"/>
      <c r="J7" s="5"/>
    </row>
    <row r="8" ht="15.75" customHeight="1">
      <c r="B8" s="2"/>
      <c r="C8" s="1" t="s">
        <v>16</v>
      </c>
      <c r="D8" s="2" t="s">
        <v>641</v>
      </c>
      <c r="H8" s="5"/>
      <c r="I8" s="17"/>
      <c r="J8" s="19"/>
      <c r="K8" s="17"/>
      <c r="L8" s="21" t="s">
        <v>642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45775.0</v>
      </c>
      <c r="B11" s="2" t="s">
        <v>643</v>
      </c>
      <c r="C11" s="30">
        <v>45807.0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45716.0</v>
      </c>
      <c r="M11" s="34" t="s">
        <v>44</v>
      </c>
      <c r="N11" s="35" t="s">
        <v>644</v>
      </c>
      <c r="O11" s="36"/>
      <c r="P11" s="36">
        <v>5000000.0</v>
      </c>
      <c r="Q11" s="36"/>
      <c r="R11" s="36"/>
      <c r="S11" s="36">
        <f t="shared" ref="S11:S16" si="5">SUM(O11:R11)</f>
        <v>5000000</v>
      </c>
      <c r="T11" s="36">
        <f t="shared" ref="T11:T16" si="6">T10-S11</f>
        <v>121867017</v>
      </c>
      <c r="U11" s="34"/>
    </row>
    <row r="12" ht="15.75" customHeight="1">
      <c r="A12" s="29">
        <v>46007.0</v>
      </c>
      <c r="B12" s="2" t="s">
        <v>645</v>
      </c>
      <c r="C12" s="30">
        <v>45838.0</v>
      </c>
      <c r="D12" s="8">
        <f t="shared" si="1"/>
        <v>1951950.284</v>
      </c>
      <c r="E12" s="15"/>
      <c r="F12" s="8">
        <f t="shared" si="2"/>
        <v>866755.4972</v>
      </c>
      <c r="G12" s="8">
        <f t="shared" si="3"/>
        <v>1085194.787</v>
      </c>
      <c r="H12" s="8">
        <f t="shared" si="4"/>
        <v>85590354.93</v>
      </c>
      <c r="J12" s="5"/>
      <c r="L12" s="33">
        <v>45734.0</v>
      </c>
      <c r="M12" s="34" t="s">
        <v>44</v>
      </c>
      <c r="N12" s="35" t="s">
        <v>646</v>
      </c>
      <c r="O12" s="36"/>
      <c r="P12" s="36">
        <v>4750000.0</v>
      </c>
      <c r="Q12" s="36"/>
      <c r="R12" s="36"/>
      <c r="S12" s="36">
        <f t="shared" si="5"/>
        <v>4750000</v>
      </c>
      <c r="T12" s="36">
        <f t="shared" si="6"/>
        <v>117117017</v>
      </c>
      <c r="U12" s="34"/>
    </row>
    <row r="13" ht="15.75" customHeight="1">
      <c r="A13" s="29">
        <v>46007.0</v>
      </c>
      <c r="B13" s="2" t="s">
        <v>645</v>
      </c>
      <c r="C13" s="30">
        <v>45868.0</v>
      </c>
      <c r="D13" s="8">
        <f t="shared" si="1"/>
        <v>1951950.284</v>
      </c>
      <c r="E13" s="15"/>
      <c r="F13" s="8">
        <f t="shared" si="2"/>
        <v>855903.5493</v>
      </c>
      <c r="G13" s="8">
        <f t="shared" si="3"/>
        <v>1096046.735</v>
      </c>
      <c r="H13" s="8">
        <f t="shared" si="4"/>
        <v>84494308.19</v>
      </c>
      <c r="J13" s="5" t="s">
        <v>56</v>
      </c>
      <c r="L13" s="33">
        <v>45775.0</v>
      </c>
      <c r="M13" s="34" t="s">
        <v>73</v>
      </c>
      <c r="N13" s="35" t="s">
        <v>643</v>
      </c>
      <c r="O13" s="36"/>
      <c r="P13" s="36">
        <v>1951950.0</v>
      </c>
      <c r="Q13" s="36"/>
      <c r="R13" s="36"/>
      <c r="S13" s="36">
        <f t="shared" si="5"/>
        <v>1951950</v>
      </c>
      <c r="T13" s="36">
        <f t="shared" si="6"/>
        <v>115165067</v>
      </c>
      <c r="U13" s="34"/>
    </row>
    <row r="14" ht="15.75" customHeight="1">
      <c r="A14" s="29">
        <v>46007.0</v>
      </c>
      <c r="B14" s="2" t="s">
        <v>645</v>
      </c>
      <c r="C14" s="30">
        <v>45899.0</v>
      </c>
      <c r="D14" s="8">
        <f t="shared" si="1"/>
        <v>1951950.284</v>
      </c>
      <c r="E14" s="15"/>
      <c r="F14" s="8">
        <f t="shared" si="2"/>
        <v>844943.0819</v>
      </c>
      <c r="G14" s="8">
        <f t="shared" si="3"/>
        <v>1107007.202</v>
      </c>
      <c r="H14" s="8">
        <f t="shared" si="4"/>
        <v>83387300.99</v>
      </c>
      <c r="J14" s="8">
        <f>+H10</f>
        <v>87750000</v>
      </c>
      <c r="L14" s="33">
        <v>46007.0</v>
      </c>
      <c r="M14" s="34" t="s">
        <v>647</v>
      </c>
      <c r="N14" s="35" t="s">
        <v>645</v>
      </c>
      <c r="O14" s="36"/>
      <c r="P14" s="36">
        <v>8000000.0</v>
      </c>
      <c r="Q14" s="36"/>
      <c r="R14" s="36"/>
      <c r="S14" s="36">
        <f t="shared" si="5"/>
        <v>8000000</v>
      </c>
      <c r="T14" s="36">
        <f t="shared" si="6"/>
        <v>107165067</v>
      </c>
      <c r="U14" s="34"/>
    </row>
    <row r="15" ht="15.75" customHeight="1">
      <c r="A15" s="29">
        <v>46007.0</v>
      </c>
      <c r="B15" s="2" t="s">
        <v>645</v>
      </c>
      <c r="C15" s="30">
        <v>45930.0</v>
      </c>
      <c r="D15" s="8">
        <f t="shared" si="1"/>
        <v>1951950.284</v>
      </c>
      <c r="E15" s="15"/>
      <c r="F15" s="8">
        <f t="shared" si="2"/>
        <v>833873.0099</v>
      </c>
      <c r="G15" s="8">
        <f t="shared" si="3"/>
        <v>1118077.274</v>
      </c>
      <c r="H15" s="8">
        <f t="shared" si="4"/>
        <v>82269223.72</v>
      </c>
      <c r="J15" s="5"/>
      <c r="L15" s="33">
        <v>46056.0</v>
      </c>
      <c r="M15" s="34" t="s">
        <v>648</v>
      </c>
      <c r="N15" s="35" t="s">
        <v>649</v>
      </c>
      <c r="O15" s="36"/>
      <c r="P15" s="36">
        <v>5000000.0</v>
      </c>
      <c r="Q15" s="36"/>
      <c r="R15" s="36"/>
      <c r="S15" s="36">
        <f t="shared" si="5"/>
        <v>5000000</v>
      </c>
      <c r="T15" s="36">
        <f t="shared" si="6"/>
        <v>102165067</v>
      </c>
      <c r="U15" s="34"/>
    </row>
    <row r="16" ht="15.75" customHeight="1">
      <c r="A16" s="29">
        <v>46056.0</v>
      </c>
      <c r="B16" s="2" t="s">
        <v>649</v>
      </c>
      <c r="C16" s="30">
        <v>45960.0</v>
      </c>
      <c r="D16" s="8">
        <f t="shared" si="1"/>
        <v>1951950.284</v>
      </c>
      <c r="E16" s="15"/>
      <c r="F16" s="8">
        <f t="shared" si="2"/>
        <v>822692.2372</v>
      </c>
      <c r="G16" s="8">
        <f t="shared" si="3"/>
        <v>1129258.047</v>
      </c>
      <c r="H16" s="8">
        <f t="shared" si="4"/>
        <v>81139965.67</v>
      </c>
      <c r="J16" s="5"/>
      <c r="L16" s="33">
        <v>46092.0</v>
      </c>
      <c r="M16" s="34" t="s">
        <v>650</v>
      </c>
      <c r="N16" s="35" t="s">
        <v>651</v>
      </c>
      <c r="O16" s="36"/>
      <c r="P16" s="36">
        <v>5000000.0</v>
      </c>
      <c r="Q16" s="36"/>
      <c r="R16" s="36"/>
      <c r="S16" s="36">
        <f t="shared" si="5"/>
        <v>5000000</v>
      </c>
      <c r="T16" s="36">
        <f t="shared" si="6"/>
        <v>97165067</v>
      </c>
      <c r="U16" s="34"/>
    </row>
    <row r="17" ht="15.75" customHeight="1">
      <c r="A17" s="29">
        <v>46056.0</v>
      </c>
      <c r="B17" s="2" t="s">
        <v>649</v>
      </c>
      <c r="C17" s="30">
        <v>45991.0</v>
      </c>
      <c r="D17" s="8">
        <f t="shared" si="1"/>
        <v>1951950.284</v>
      </c>
      <c r="E17" s="15"/>
      <c r="F17" s="8">
        <f t="shared" si="2"/>
        <v>811399.6567</v>
      </c>
      <c r="G17" s="8">
        <f t="shared" si="3"/>
        <v>1140550.628</v>
      </c>
      <c r="H17" s="8">
        <f t="shared" si="4"/>
        <v>79999415.04</v>
      </c>
      <c r="J17" s="5"/>
      <c r="L17" s="25"/>
      <c r="M17" s="38" t="s">
        <v>69</v>
      </c>
      <c r="N17" s="39"/>
      <c r="O17" s="27">
        <f t="shared" ref="O17:S17" si="7">SUM(O11:O16)</f>
        <v>0</v>
      </c>
      <c r="P17" s="27">
        <f t="shared" si="7"/>
        <v>29701950</v>
      </c>
      <c r="Q17" s="27">
        <f t="shared" si="7"/>
        <v>0</v>
      </c>
      <c r="R17" s="27">
        <f t="shared" si="7"/>
        <v>0</v>
      </c>
      <c r="S17" s="27">
        <f t="shared" si="7"/>
        <v>29701950</v>
      </c>
      <c r="T17" s="27">
        <f>T16</f>
        <v>97165067</v>
      </c>
      <c r="U17" s="25"/>
    </row>
    <row r="18" ht="15.75" customHeight="1">
      <c r="A18" s="29">
        <v>46092.0</v>
      </c>
      <c r="B18" s="2" t="s">
        <v>651</v>
      </c>
      <c r="C18" s="30">
        <v>46021.0</v>
      </c>
      <c r="D18" s="8">
        <f t="shared" si="1"/>
        <v>1951950.284</v>
      </c>
      <c r="E18" s="15"/>
      <c r="F18" s="8">
        <f t="shared" si="2"/>
        <v>799994.1504</v>
      </c>
      <c r="G18" s="8">
        <f t="shared" si="3"/>
        <v>1151956.134</v>
      </c>
      <c r="H18" s="8">
        <f t="shared" si="4"/>
        <v>78847458.91</v>
      </c>
      <c r="J18" s="5"/>
    </row>
    <row r="19" ht="15.75" customHeight="1">
      <c r="A19" s="29">
        <v>46092.0</v>
      </c>
      <c r="B19" s="2" t="s">
        <v>651</v>
      </c>
      <c r="C19" s="30">
        <v>46052.0</v>
      </c>
      <c r="D19" s="8">
        <f t="shared" si="1"/>
        <v>1951950.284</v>
      </c>
      <c r="E19" s="15"/>
      <c r="F19" s="8">
        <f t="shared" si="2"/>
        <v>788474.5891</v>
      </c>
      <c r="G19" s="8">
        <f t="shared" si="3"/>
        <v>1163475.695</v>
      </c>
      <c r="H19" s="8">
        <f t="shared" si="4"/>
        <v>77683983.21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29">
        <v>46092.0</v>
      </c>
      <c r="B20" s="2" t="s">
        <v>651</v>
      </c>
      <c r="C20" s="30">
        <v>46081.0</v>
      </c>
      <c r="D20" s="8">
        <f t="shared" si="1"/>
        <v>1951950.284</v>
      </c>
      <c r="E20" s="15">
        <f>5000000+1096099+192199-D18-D19-D20</f>
        <v>432447.1469</v>
      </c>
      <c r="F20" s="8">
        <f t="shared" si="2"/>
        <v>776839.8321</v>
      </c>
      <c r="G20" s="8">
        <f t="shared" si="3"/>
        <v>1607557.599</v>
      </c>
      <c r="H20" s="8">
        <f t="shared" si="4"/>
        <v>76076425.61</v>
      </c>
      <c r="J20" s="5"/>
    </row>
    <row r="21" ht="15.75" customHeight="1">
      <c r="A21" s="37"/>
      <c r="B21" s="2"/>
      <c r="C21" s="30">
        <v>46111.0</v>
      </c>
      <c r="D21" s="8">
        <f t="shared" si="1"/>
        <v>1951950.284</v>
      </c>
      <c r="E21" s="15"/>
      <c r="F21" s="8">
        <f t="shared" si="2"/>
        <v>760764.2561</v>
      </c>
      <c r="G21" s="8">
        <f t="shared" si="3"/>
        <v>1191186.028</v>
      </c>
      <c r="H21" s="8">
        <f t="shared" si="4"/>
        <v>74885239.59</v>
      </c>
      <c r="J21" s="5"/>
    </row>
    <row r="22" ht="15.75" customHeight="1">
      <c r="A22" s="37"/>
      <c r="B22" s="2"/>
      <c r="C22" s="30">
        <v>46142.0</v>
      </c>
      <c r="D22" s="8">
        <f t="shared" si="1"/>
        <v>1951950.284</v>
      </c>
      <c r="E22" s="15"/>
      <c r="F22" s="8">
        <f t="shared" si="2"/>
        <v>748852.3959</v>
      </c>
      <c r="G22" s="8">
        <f t="shared" si="3"/>
        <v>1203097.888</v>
      </c>
      <c r="H22" s="8">
        <f t="shared" si="4"/>
        <v>73682141.7</v>
      </c>
      <c r="J22" s="5"/>
    </row>
    <row r="23" ht="15.75" customHeight="1">
      <c r="A23" s="37"/>
      <c r="B23" s="2"/>
      <c r="C23" s="30">
        <v>46172.0</v>
      </c>
      <c r="D23" s="8">
        <f t="shared" si="1"/>
        <v>1951950.284</v>
      </c>
      <c r="E23" s="46"/>
      <c r="F23" s="8">
        <f t="shared" si="2"/>
        <v>736821.417</v>
      </c>
      <c r="G23" s="8">
        <f t="shared" si="3"/>
        <v>1215128.867</v>
      </c>
      <c r="H23" s="8">
        <f t="shared" si="4"/>
        <v>72467012.83</v>
      </c>
      <c r="J23" s="5"/>
    </row>
    <row r="24" ht="15.75" customHeight="1">
      <c r="A24" s="37"/>
      <c r="B24" s="2"/>
      <c r="C24" s="30">
        <v>46203.0</v>
      </c>
      <c r="D24" s="8">
        <f t="shared" si="1"/>
        <v>1951950.284</v>
      </c>
      <c r="E24" s="46"/>
      <c r="F24" s="8">
        <f t="shared" si="2"/>
        <v>724670.1283</v>
      </c>
      <c r="G24" s="8">
        <f t="shared" si="3"/>
        <v>1227280.156</v>
      </c>
      <c r="H24" s="8">
        <f t="shared" si="4"/>
        <v>71239732.67</v>
      </c>
      <c r="J24" s="5"/>
    </row>
    <row r="25" ht="15.75" customHeight="1">
      <c r="B25" s="2"/>
      <c r="C25" s="30">
        <v>46233.0</v>
      </c>
      <c r="D25" s="8">
        <f t="shared" si="1"/>
        <v>1951950.284</v>
      </c>
      <c r="E25" s="46"/>
      <c r="F25" s="8">
        <f t="shared" si="2"/>
        <v>712397.3267</v>
      </c>
      <c r="G25" s="8">
        <f t="shared" si="3"/>
        <v>1239552.958</v>
      </c>
      <c r="H25" s="8">
        <f t="shared" si="4"/>
        <v>70000179.72</v>
      </c>
      <c r="J25" s="5"/>
    </row>
    <row r="26" ht="15.75" customHeight="1">
      <c r="B26" s="2"/>
      <c r="C26" s="30">
        <v>46264.0</v>
      </c>
      <c r="D26" s="8">
        <f t="shared" si="1"/>
        <v>1951950.284</v>
      </c>
      <c r="E26" s="46"/>
      <c r="F26" s="8">
        <f t="shared" si="2"/>
        <v>700001.7972</v>
      </c>
      <c r="G26" s="8">
        <f t="shared" si="3"/>
        <v>1251948.487</v>
      </c>
      <c r="H26" s="8">
        <f t="shared" si="4"/>
        <v>68748231.23</v>
      </c>
      <c r="J26" s="5"/>
    </row>
    <row r="27" ht="15.75" customHeight="1">
      <c r="B27" s="2"/>
      <c r="C27" s="30">
        <v>46295.0</v>
      </c>
      <c r="D27" s="8">
        <f t="shared" si="1"/>
        <v>1951950.284</v>
      </c>
      <c r="E27" s="46"/>
      <c r="F27" s="8">
        <f t="shared" si="2"/>
        <v>687482.3123</v>
      </c>
      <c r="G27" s="8">
        <f t="shared" si="3"/>
        <v>1264467.972</v>
      </c>
      <c r="H27" s="8">
        <f t="shared" si="4"/>
        <v>67483763.26</v>
      </c>
      <c r="J27" s="5"/>
    </row>
    <row r="28" ht="15.75" customHeight="1">
      <c r="B28" s="2"/>
      <c r="C28" s="30">
        <v>46325.0</v>
      </c>
      <c r="D28" s="8">
        <f t="shared" si="1"/>
        <v>1951950.284</v>
      </c>
      <c r="E28" s="46"/>
      <c r="F28" s="8">
        <f t="shared" si="2"/>
        <v>674837.6326</v>
      </c>
      <c r="G28" s="8">
        <f t="shared" si="3"/>
        <v>1277112.652</v>
      </c>
      <c r="H28" s="8">
        <f t="shared" si="4"/>
        <v>66206650.6</v>
      </c>
      <c r="J28" s="5"/>
    </row>
    <row r="29" ht="15.75" customHeight="1">
      <c r="B29" s="2"/>
      <c r="C29" s="30">
        <v>46356.0</v>
      </c>
      <c r="D29" s="8">
        <f t="shared" si="1"/>
        <v>1951950.284</v>
      </c>
      <c r="E29" s="46"/>
      <c r="F29" s="8">
        <f t="shared" si="2"/>
        <v>662066.506</v>
      </c>
      <c r="G29" s="8">
        <f t="shared" si="3"/>
        <v>1289883.778</v>
      </c>
      <c r="H29" s="8">
        <f t="shared" si="4"/>
        <v>64916766.83</v>
      </c>
      <c r="J29" s="5"/>
    </row>
    <row r="30" ht="15.75" customHeight="1">
      <c r="B30" s="2"/>
      <c r="C30" s="30">
        <v>46386.0</v>
      </c>
      <c r="D30" s="8">
        <f t="shared" si="1"/>
        <v>1951950.284</v>
      </c>
      <c r="E30" s="46"/>
      <c r="F30" s="8">
        <f t="shared" si="2"/>
        <v>649167.6683</v>
      </c>
      <c r="G30" s="8">
        <f t="shared" si="3"/>
        <v>1302782.616</v>
      </c>
      <c r="H30" s="8">
        <f t="shared" si="4"/>
        <v>63613984.21</v>
      </c>
      <c r="J30" s="5"/>
    </row>
    <row r="31" ht="15.75" customHeight="1">
      <c r="B31" s="2"/>
      <c r="C31" s="30">
        <v>46417.0</v>
      </c>
      <c r="D31" s="8">
        <f t="shared" si="1"/>
        <v>1951950.284</v>
      </c>
      <c r="E31" s="46"/>
      <c r="F31" s="8">
        <f t="shared" si="2"/>
        <v>636139.8421</v>
      </c>
      <c r="G31" s="8">
        <f t="shared" si="3"/>
        <v>1315810.442</v>
      </c>
      <c r="H31" s="8">
        <f t="shared" si="4"/>
        <v>62298173.77</v>
      </c>
      <c r="J31" s="5"/>
    </row>
    <row r="32" ht="15.75" customHeight="1">
      <c r="B32" s="2"/>
      <c r="C32" s="30">
        <v>46446.0</v>
      </c>
      <c r="D32" s="8">
        <f t="shared" si="1"/>
        <v>1951950.284</v>
      </c>
      <c r="E32" s="46"/>
      <c r="F32" s="8">
        <f t="shared" si="2"/>
        <v>622981.7377</v>
      </c>
      <c r="G32" s="8">
        <f t="shared" si="3"/>
        <v>1328968.547</v>
      </c>
      <c r="H32" s="8">
        <f t="shared" si="4"/>
        <v>60969205.22</v>
      </c>
      <c r="J32" s="5"/>
    </row>
    <row r="33" ht="15.75" customHeight="1">
      <c r="B33" s="2"/>
      <c r="C33" s="30">
        <v>46476.0</v>
      </c>
      <c r="D33" s="8">
        <f t="shared" si="1"/>
        <v>1951950.284</v>
      </c>
      <c r="E33" s="46"/>
      <c r="F33" s="8">
        <f t="shared" si="2"/>
        <v>609692.0522</v>
      </c>
      <c r="G33" s="8">
        <f t="shared" si="3"/>
        <v>1342258.232</v>
      </c>
      <c r="H33" s="8">
        <f t="shared" si="4"/>
        <v>59626946.99</v>
      </c>
      <c r="J33" s="5"/>
    </row>
    <row r="34" ht="15.75" customHeight="1">
      <c r="B34" s="2"/>
      <c r="C34" s="30">
        <v>46507.0</v>
      </c>
      <c r="D34" s="8">
        <f t="shared" si="1"/>
        <v>1951950.284</v>
      </c>
      <c r="E34" s="46"/>
      <c r="F34" s="8">
        <f t="shared" si="2"/>
        <v>596269.4699</v>
      </c>
      <c r="G34" s="8">
        <f t="shared" si="3"/>
        <v>1355680.814</v>
      </c>
      <c r="H34" s="8">
        <f t="shared" si="4"/>
        <v>58271266.17</v>
      </c>
      <c r="J34" s="5"/>
    </row>
    <row r="35" ht="15.75" customHeight="1">
      <c r="B35" s="2"/>
      <c r="C35" s="30">
        <v>46537.0</v>
      </c>
      <c r="D35" s="8">
        <f t="shared" si="1"/>
        <v>1951950.284</v>
      </c>
      <c r="E35" s="46"/>
      <c r="F35" s="8">
        <f t="shared" si="2"/>
        <v>582712.6617</v>
      </c>
      <c r="G35" s="8">
        <f t="shared" si="3"/>
        <v>1369237.623</v>
      </c>
      <c r="H35" s="8">
        <f t="shared" si="4"/>
        <v>56902028.55</v>
      </c>
      <c r="J35" s="5"/>
    </row>
    <row r="36" ht="15.75" customHeight="1">
      <c r="B36" s="2"/>
      <c r="C36" s="30">
        <v>46568.0</v>
      </c>
      <c r="D36" s="8">
        <f t="shared" si="1"/>
        <v>1951950.284</v>
      </c>
      <c r="E36" s="46"/>
      <c r="F36" s="8">
        <f t="shared" si="2"/>
        <v>569020.2855</v>
      </c>
      <c r="G36" s="8">
        <f t="shared" si="3"/>
        <v>1382929.999</v>
      </c>
      <c r="H36" s="8">
        <f t="shared" si="4"/>
        <v>55519098.55</v>
      </c>
      <c r="J36" s="5"/>
    </row>
    <row r="37" ht="15.75" customHeight="1">
      <c r="B37" s="2"/>
      <c r="C37" s="30">
        <v>46598.0</v>
      </c>
      <c r="D37" s="8">
        <f t="shared" si="1"/>
        <v>1951950.284</v>
      </c>
      <c r="E37" s="46"/>
      <c r="F37" s="8">
        <f t="shared" si="2"/>
        <v>555190.9855</v>
      </c>
      <c r="G37" s="8">
        <f t="shared" si="3"/>
        <v>1396759.299</v>
      </c>
      <c r="H37" s="8">
        <f t="shared" si="4"/>
        <v>54122339.25</v>
      </c>
      <c r="J37" s="5"/>
    </row>
    <row r="38" ht="15.75" customHeight="1">
      <c r="B38" s="2"/>
      <c r="C38" s="30">
        <v>46629.0</v>
      </c>
      <c r="D38" s="8">
        <f t="shared" si="1"/>
        <v>1951950.284</v>
      </c>
      <c r="E38" s="46"/>
      <c r="F38" s="8">
        <f t="shared" si="2"/>
        <v>541223.3925</v>
      </c>
      <c r="G38" s="8">
        <f t="shared" si="3"/>
        <v>1410726.892</v>
      </c>
      <c r="H38" s="8">
        <f t="shared" si="4"/>
        <v>52711612.36</v>
      </c>
      <c r="J38" s="5"/>
    </row>
    <row r="39" ht="15.75" customHeight="1">
      <c r="B39" s="2"/>
      <c r="C39" s="30">
        <v>46660.0</v>
      </c>
      <c r="D39" s="8">
        <f t="shared" si="1"/>
        <v>1951950.284</v>
      </c>
      <c r="E39" s="46"/>
      <c r="F39" s="8">
        <f t="shared" si="2"/>
        <v>527116.1236</v>
      </c>
      <c r="G39" s="8">
        <f t="shared" si="3"/>
        <v>1424834.161</v>
      </c>
      <c r="H39" s="8">
        <f t="shared" si="4"/>
        <v>51286778.2</v>
      </c>
      <c r="J39" s="5"/>
    </row>
    <row r="40" ht="15.75" customHeight="1">
      <c r="B40" s="2"/>
      <c r="C40" s="30">
        <v>46690.0</v>
      </c>
      <c r="D40" s="8">
        <f t="shared" si="1"/>
        <v>1951950.284</v>
      </c>
      <c r="E40" s="46"/>
      <c r="F40" s="8">
        <f t="shared" si="2"/>
        <v>512867.782</v>
      </c>
      <c r="G40" s="8">
        <f t="shared" si="3"/>
        <v>1439082.502</v>
      </c>
      <c r="H40" s="8">
        <f t="shared" si="4"/>
        <v>49847695.7</v>
      </c>
      <c r="J40" s="5"/>
    </row>
    <row r="41" ht="15.75" customHeight="1">
      <c r="B41" s="2"/>
      <c r="C41" s="30">
        <v>46721.0</v>
      </c>
      <c r="D41" s="8">
        <f t="shared" si="1"/>
        <v>1951950.284</v>
      </c>
      <c r="E41" s="46"/>
      <c r="F41" s="8">
        <f t="shared" si="2"/>
        <v>498476.957</v>
      </c>
      <c r="G41" s="8">
        <f t="shared" si="3"/>
        <v>1453473.327</v>
      </c>
      <c r="H41" s="8">
        <f t="shared" si="4"/>
        <v>48394222.37</v>
      </c>
      <c r="J41" s="5"/>
    </row>
    <row r="42" ht="15.75" customHeight="1">
      <c r="B42" s="2"/>
      <c r="C42" s="30">
        <v>46751.0</v>
      </c>
      <c r="D42" s="8">
        <f t="shared" si="1"/>
        <v>1951950.284</v>
      </c>
      <c r="E42" s="46"/>
      <c r="F42" s="8">
        <f t="shared" si="2"/>
        <v>483942.2237</v>
      </c>
      <c r="G42" s="8">
        <f t="shared" si="3"/>
        <v>1468008.061</v>
      </c>
      <c r="H42" s="8">
        <f t="shared" si="4"/>
        <v>46926214.31</v>
      </c>
      <c r="J42" s="5"/>
    </row>
    <row r="43" ht="15.75" customHeight="1">
      <c r="B43" s="2"/>
      <c r="C43" s="30">
        <v>46782.0</v>
      </c>
      <c r="D43" s="8">
        <f t="shared" si="1"/>
        <v>1951950.284</v>
      </c>
      <c r="E43" s="46"/>
      <c r="F43" s="8">
        <f t="shared" si="2"/>
        <v>469262.1431</v>
      </c>
      <c r="G43" s="8">
        <f t="shared" si="3"/>
        <v>1482688.141</v>
      </c>
      <c r="H43" s="8">
        <f t="shared" si="4"/>
        <v>45443526.17</v>
      </c>
      <c r="J43" s="5"/>
    </row>
    <row r="44" ht="15.75" customHeight="1">
      <c r="B44" s="2"/>
      <c r="C44" s="30">
        <v>46812.0</v>
      </c>
      <c r="D44" s="8">
        <f t="shared" si="1"/>
        <v>1951950.284</v>
      </c>
      <c r="E44" s="46"/>
      <c r="F44" s="8">
        <f t="shared" si="2"/>
        <v>454435.2617</v>
      </c>
      <c r="G44" s="8">
        <f t="shared" si="3"/>
        <v>1497515.023</v>
      </c>
      <c r="H44" s="8">
        <f t="shared" si="4"/>
        <v>43946011.15</v>
      </c>
      <c r="J44" s="5"/>
    </row>
    <row r="45" ht="15.75" customHeight="1">
      <c r="B45" s="2"/>
      <c r="C45" s="30">
        <v>46842.0</v>
      </c>
      <c r="D45" s="8">
        <f t="shared" si="1"/>
        <v>1951950.284</v>
      </c>
      <c r="E45" s="46"/>
      <c r="F45" s="8">
        <f t="shared" si="2"/>
        <v>439460.1115</v>
      </c>
      <c r="G45" s="8">
        <f t="shared" si="3"/>
        <v>1512490.173</v>
      </c>
      <c r="H45" s="8">
        <f t="shared" si="4"/>
        <v>42433520.97</v>
      </c>
      <c r="J45" s="5"/>
    </row>
    <row r="46" ht="15.75" customHeight="1">
      <c r="B46" s="2"/>
      <c r="C46" s="30">
        <v>46873.0</v>
      </c>
      <c r="D46" s="8">
        <f t="shared" si="1"/>
        <v>1951950.284</v>
      </c>
      <c r="E46" s="46"/>
      <c r="F46" s="8">
        <f t="shared" si="2"/>
        <v>424335.2097</v>
      </c>
      <c r="G46" s="8">
        <f t="shared" si="3"/>
        <v>1527615.075</v>
      </c>
      <c r="H46" s="8">
        <f t="shared" si="4"/>
        <v>40905905.9</v>
      </c>
      <c r="J46" s="5"/>
    </row>
    <row r="47" ht="15.75" customHeight="1">
      <c r="B47" s="2"/>
      <c r="C47" s="30">
        <v>46903.0</v>
      </c>
      <c r="D47" s="8">
        <f t="shared" si="1"/>
        <v>1951950.284</v>
      </c>
      <c r="E47" s="46"/>
      <c r="F47" s="8">
        <f t="shared" si="2"/>
        <v>409059.059</v>
      </c>
      <c r="G47" s="8">
        <f t="shared" si="3"/>
        <v>1542891.225</v>
      </c>
      <c r="H47" s="8">
        <f t="shared" si="4"/>
        <v>39363014.67</v>
      </c>
      <c r="J47" s="5"/>
    </row>
    <row r="48" ht="15.75" customHeight="1">
      <c r="B48" s="2"/>
      <c r="C48" s="30">
        <v>46934.0</v>
      </c>
      <c r="D48" s="8">
        <f t="shared" si="1"/>
        <v>1951950.284</v>
      </c>
      <c r="E48" s="46"/>
      <c r="F48" s="8">
        <f t="shared" si="2"/>
        <v>393630.1467</v>
      </c>
      <c r="G48" s="8">
        <f t="shared" si="3"/>
        <v>1558320.138</v>
      </c>
      <c r="H48" s="8">
        <f t="shared" si="4"/>
        <v>37804694.54</v>
      </c>
      <c r="J48" s="5"/>
    </row>
    <row r="49" ht="15.75" customHeight="1">
      <c r="B49" s="2"/>
      <c r="C49" s="30">
        <v>46964.0</v>
      </c>
      <c r="D49" s="8">
        <f t="shared" si="1"/>
        <v>1951950.284</v>
      </c>
      <c r="E49" s="46"/>
      <c r="F49" s="8">
        <f t="shared" si="2"/>
        <v>378046.9454</v>
      </c>
      <c r="G49" s="8">
        <f t="shared" si="3"/>
        <v>1573903.339</v>
      </c>
      <c r="H49" s="8">
        <f t="shared" si="4"/>
        <v>36230791.2</v>
      </c>
      <c r="J49" s="5"/>
    </row>
    <row r="50" ht="15.75" customHeight="1">
      <c r="B50" s="2"/>
      <c r="C50" s="30">
        <v>46995.0</v>
      </c>
      <c r="D50" s="8">
        <f t="shared" si="1"/>
        <v>1951950.284</v>
      </c>
      <c r="E50" s="46"/>
      <c r="F50" s="8">
        <f t="shared" si="2"/>
        <v>362307.912</v>
      </c>
      <c r="G50" s="8">
        <f t="shared" si="3"/>
        <v>1589642.372</v>
      </c>
      <c r="H50" s="8">
        <f t="shared" si="4"/>
        <v>34641148.83</v>
      </c>
      <c r="J50" s="5"/>
    </row>
    <row r="51" ht="15.75" customHeight="1">
      <c r="B51" s="2"/>
      <c r="C51" s="30">
        <v>47026.0</v>
      </c>
      <c r="D51" s="8">
        <f t="shared" si="1"/>
        <v>1951950.284</v>
      </c>
      <c r="E51" s="46"/>
      <c r="F51" s="8">
        <f t="shared" si="2"/>
        <v>346411.4883</v>
      </c>
      <c r="G51" s="8">
        <f t="shared" si="3"/>
        <v>1605538.796</v>
      </c>
      <c r="H51" s="8">
        <f t="shared" si="4"/>
        <v>33035610.03</v>
      </c>
      <c r="J51" s="5"/>
    </row>
    <row r="52" ht="15.75" customHeight="1">
      <c r="B52" s="2"/>
      <c r="C52" s="30">
        <v>47056.0</v>
      </c>
      <c r="D52" s="8">
        <f t="shared" si="1"/>
        <v>1951950.284</v>
      </c>
      <c r="E52" s="46"/>
      <c r="F52" s="8">
        <f t="shared" si="2"/>
        <v>330356.1003</v>
      </c>
      <c r="G52" s="8">
        <f t="shared" si="3"/>
        <v>1621594.184</v>
      </c>
      <c r="H52" s="8">
        <f t="shared" si="4"/>
        <v>31414015.85</v>
      </c>
      <c r="J52" s="5"/>
    </row>
    <row r="53" ht="15.75" customHeight="1">
      <c r="B53" s="2"/>
      <c r="C53" s="30">
        <v>47087.0</v>
      </c>
      <c r="D53" s="8">
        <f t="shared" si="1"/>
        <v>1951950.284</v>
      </c>
      <c r="E53" s="46"/>
      <c r="F53" s="8">
        <f t="shared" si="2"/>
        <v>314140.1585</v>
      </c>
      <c r="G53" s="8">
        <f t="shared" si="3"/>
        <v>1637810.126</v>
      </c>
      <c r="H53" s="8">
        <f t="shared" si="4"/>
        <v>29776205.72</v>
      </c>
      <c r="J53" s="5"/>
    </row>
    <row r="54" ht="15.75" customHeight="1">
      <c r="B54" s="2"/>
      <c r="C54" s="30">
        <v>47117.0</v>
      </c>
      <c r="D54" s="8">
        <f t="shared" si="1"/>
        <v>1951950.284</v>
      </c>
      <c r="E54" s="46"/>
      <c r="F54" s="8">
        <f t="shared" si="2"/>
        <v>297762.0572</v>
      </c>
      <c r="G54" s="8">
        <f t="shared" si="3"/>
        <v>1654188.227</v>
      </c>
      <c r="H54" s="8">
        <f t="shared" si="4"/>
        <v>28122017.49</v>
      </c>
      <c r="J54" s="5"/>
    </row>
    <row r="55" ht="15.75" customHeight="1">
      <c r="B55" s="2"/>
      <c r="C55" s="30">
        <v>47148.0</v>
      </c>
      <c r="D55" s="8">
        <f t="shared" si="1"/>
        <v>1951950.284</v>
      </c>
      <c r="E55" s="46"/>
      <c r="F55" s="8">
        <f t="shared" si="2"/>
        <v>281220.1749</v>
      </c>
      <c r="G55" s="8">
        <f t="shared" si="3"/>
        <v>1670730.109</v>
      </c>
      <c r="H55" s="8">
        <f t="shared" si="4"/>
        <v>26451287.38</v>
      </c>
      <c r="J55" s="5"/>
    </row>
    <row r="56" ht="15.75" customHeight="1">
      <c r="B56" s="2"/>
      <c r="C56" s="30">
        <v>47177.0</v>
      </c>
      <c r="D56" s="8">
        <f t="shared" si="1"/>
        <v>1951950.284</v>
      </c>
      <c r="E56" s="46"/>
      <c r="F56" s="8">
        <f t="shared" si="2"/>
        <v>264512.8738</v>
      </c>
      <c r="G56" s="8">
        <f t="shared" si="3"/>
        <v>1687437.411</v>
      </c>
      <c r="H56" s="8">
        <f t="shared" si="4"/>
        <v>24763849.97</v>
      </c>
      <c r="J56" s="5"/>
    </row>
    <row r="57" ht="15.75" customHeight="1">
      <c r="B57" s="2"/>
      <c r="C57" s="30">
        <v>47207.0</v>
      </c>
      <c r="D57" s="8">
        <f t="shared" si="1"/>
        <v>1951950.284</v>
      </c>
      <c r="E57" s="46"/>
      <c r="F57" s="8">
        <f t="shared" si="2"/>
        <v>247638.4997</v>
      </c>
      <c r="G57" s="8">
        <f t="shared" si="3"/>
        <v>1704311.785</v>
      </c>
      <c r="H57" s="8">
        <f t="shared" si="4"/>
        <v>23059538.19</v>
      </c>
      <c r="J57" s="5"/>
    </row>
    <row r="58" ht="15.75" customHeight="1">
      <c r="B58" s="2"/>
      <c r="C58" s="30">
        <v>47238.0</v>
      </c>
      <c r="D58" s="8">
        <f t="shared" si="1"/>
        <v>1951950.284</v>
      </c>
      <c r="E58" s="46"/>
      <c r="F58" s="8">
        <f t="shared" si="2"/>
        <v>230595.3819</v>
      </c>
      <c r="G58" s="8">
        <f t="shared" si="3"/>
        <v>1721354.902</v>
      </c>
      <c r="H58" s="8">
        <f t="shared" si="4"/>
        <v>21338183.29</v>
      </c>
      <c r="J58" s="5"/>
    </row>
    <row r="59" ht="15.75" customHeight="1">
      <c r="B59" s="2"/>
      <c r="C59" s="30">
        <v>47268.0</v>
      </c>
      <c r="D59" s="8">
        <f t="shared" si="1"/>
        <v>1951950.284</v>
      </c>
      <c r="E59" s="46"/>
      <c r="F59" s="8">
        <f t="shared" si="2"/>
        <v>213381.8329</v>
      </c>
      <c r="G59" s="8">
        <f t="shared" si="3"/>
        <v>1738568.451</v>
      </c>
      <c r="H59" s="8">
        <f t="shared" si="4"/>
        <v>19599614.83</v>
      </c>
      <c r="J59" s="5"/>
    </row>
    <row r="60" ht="15.75" customHeight="1">
      <c r="B60" s="2"/>
      <c r="C60" s="30">
        <v>47299.0</v>
      </c>
      <c r="D60" s="8">
        <f t="shared" si="1"/>
        <v>1951950.284</v>
      </c>
      <c r="E60" s="46"/>
      <c r="F60" s="8">
        <f t="shared" si="2"/>
        <v>195996.1483</v>
      </c>
      <c r="G60" s="8">
        <f t="shared" si="3"/>
        <v>1755954.136</v>
      </c>
      <c r="H60" s="8">
        <f t="shared" si="4"/>
        <v>17843660.7</v>
      </c>
      <c r="J60" s="5"/>
    </row>
    <row r="61" ht="15.75" customHeight="1">
      <c r="B61" s="2"/>
      <c r="C61" s="30">
        <v>47329.0</v>
      </c>
      <c r="D61" s="8">
        <f t="shared" si="1"/>
        <v>1951950.284</v>
      </c>
      <c r="E61" s="46"/>
      <c r="F61" s="8">
        <f t="shared" si="2"/>
        <v>178436.607</v>
      </c>
      <c r="G61" s="8">
        <f t="shared" si="3"/>
        <v>1773513.677</v>
      </c>
      <c r="H61" s="8">
        <f t="shared" si="4"/>
        <v>16070147.02</v>
      </c>
      <c r="J61" s="5"/>
    </row>
    <row r="62" ht="15.75" customHeight="1">
      <c r="B62" s="2"/>
      <c r="C62" s="30">
        <v>47360.0</v>
      </c>
      <c r="D62" s="8">
        <f t="shared" si="1"/>
        <v>1951950.284</v>
      </c>
      <c r="E62" s="46"/>
      <c r="F62" s="8">
        <f t="shared" si="2"/>
        <v>160701.4702</v>
      </c>
      <c r="G62" s="8">
        <f t="shared" si="3"/>
        <v>1791248.814</v>
      </c>
      <c r="H62" s="8">
        <f t="shared" si="4"/>
        <v>14278898.21</v>
      </c>
      <c r="J62" s="5"/>
    </row>
    <row r="63" ht="15.75" customHeight="1">
      <c r="B63" s="2"/>
      <c r="C63" s="30">
        <v>47391.0</v>
      </c>
      <c r="D63" s="8">
        <f t="shared" si="1"/>
        <v>1951950.284</v>
      </c>
      <c r="E63" s="46"/>
      <c r="F63" s="8">
        <f t="shared" si="2"/>
        <v>142788.9821</v>
      </c>
      <c r="G63" s="8">
        <f t="shared" si="3"/>
        <v>1809161.302</v>
      </c>
      <c r="H63" s="8">
        <f t="shared" si="4"/>
        <v>12469736.9</v>
      </c>
      <c r="J63" s="5"/>
    </row>
    <row r="64" ht="15.75" customHeight="1">
      <c r="B64" s="2"/>
      <c r="C64" s="30">
        <v>47421.0</v>
      </c>
      <c r="D64" s="8">
        <f t="shared" si="1"/>
        <v>1951950.284</v>
      </c>
      <c r="E64" s="46"/>
      <c r="F64" s="8">
        <f t="shared" si="2"/>
        <v>124697.369</v>
      </c>
      <c r="G64" s="8">
        <f t="shared" si="3"/>
        <v>1827252.915</v>
      </c>
      <c r="H64" s="8">
        <f t="shared" si="4"/>
        <v>10642483.99</v>
      </c>
      <c r="J64" s="5"/>
    </row>
    <row r="65" ht="15.75" customHeight="1">
      <c r="B65" s="2"/>
      <c r="C65" s="30">
        <v>47452.0</v>
      </c>
      <c r="D65" s="8">
        <f t="shared" si="1"/>
        <v>1951950.284</v>
      </c>
      <c r="E65" s="46"/>
      <c r="F65" s="8">
        <f t="shared" si="2"/>
        <v>106424.8399</v>
      </c>
      <c r="G65" s="8">
        <f t="shared" si="3"/>
        <v>1845525.444</v>
      </c>
      <c r="H65" s="8">
        <f t="shared" si="4"/>
        <v>8796958.545</v>
      </c>
      <c r="J65" s="5"/>
    </row>
    <row r="66" ht="15.75" customHeight="1">
      <c r="B66" s="2"/>
      <c r="C66" s="30">
        <v>47482.0</v>
      </c>
      <c r="D66" s="8">
        <f t="shared" si="1"/>
        <v>1951950.284</v>
      </c>
      <c r="E66" s="46"/>
      <c r="F66" s="8">
        <f t="shared" si="2"/>
        <v>87969.58545</v>
      </c>
      <c r="G66" s="8">
        <f t="shared" si="3"/>
        <v>1863980.699</v>
      </c>
      <c r="H66" s="8">
        <f t="shared" si="4"/>
        <v>6932977.846</v>
      </c>
      <c r="J66" s="5"/>
    </row>
    <row r="67" ht="15.75" customHeight="1">
      <c r="B67" s="2"/>
      <c r="C67" s="30">
        <v>47513.0</v>
      </c>
      <c r="D67" s="8">
        <f t="shared" si="1"/>
        <v>1951950.284</v>
      </c>
      <c r="E67" s="46"/>
      <c r="F67" s="8">
        <f t="shared" si="2"/>
        <v>69329.77846</v>
      </c>
      <c r="G67" s="8">
        <f t="shared" si="3"/>
        <v>1882620.506</v>
      </c>
      <c r="H67" s="8">
        <f t="shared" si="4"/>
        <v>5050357.34</v>
      </c>
      <c r="J67" s="5"/>
    </row>
    <row r="68" ht="15.75" customHeight="1">
      <c r="B68" s="2"/>
      <c r="C68" s="30">
        <v>47542.0</v>
      </c>
      <c r="D68" s="8">
        <f t="shared" si="1"/>
        <v>1951950.284</v>
      </c>
      <c r="E68" s="46"/>
      <c r="F68" s="8">
        <f t="shared" si="2"/>
        <v>50503.5734</v>
      </c>
      <c r="G68" s="8">
        <f t="shared" si="3"/>
        <v>1901446.711</v>
      </c>
      <c r="H68" s="8">
        <f t="shared" si="4"/>
        <v>3148910.629</v>
      </c>
      <c r="J68" s="5"/>
    </row>
    <row r="69" ht="15.75" customHeight="1">
      <c r="B69" s="2"/>
      <c r="C69" s="30">
        <v>47572.0</v>
      </c>
      <c r="D69" s="8">
        <f t="shared" si="1"/>
        <v>1951950.284</v>
      </c>
      <c r="E69" s="46"/>
      <c r="F69" s="8">
        <f t="shared" si="2"/>
        <v>31489.10629</v>
      </c>
      <c r="G69" s="8">
        <f t="shared" si="3"/>
        <v>1920461.178</v>
      </c>
      <c r="H69" s="8">
        <f t="shared" si="4"/>
        <v>1228449.451</v>
      </c>
      <c r="J69" s="5"/>
    </row>
    <row r="70" ht="15.75" customHeight="1">
      <c r="B70" s="2"/>
      <c r="C70" s="30">
        <v>47603.0</v>
      </c>
      <c r="D70" s="8">
        <f t="shared" si="1"/>
        <v>1951950.284</v>
      </c>
      <c r="E70" s="46"/>
      <c r="F70" s="8">
        <f t="shared" si="2"/>
        <v>12284.49451</v>
      </c>
      <c r="G70" s="8">
        <f t="shared" si="3"/>
        <v>1939665.79</v>
      </c>
      <c r="H70" s="8">
        <f t="shared" si="4"/>
        <v>-711216.3391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652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640</v>
      </c>
      <c r="H7" s="5"/>
      <c r="J7" s="5"/>
    </row>
    <row r="8" ht="15.75" customHeight="1">
      <c r="B8" s="2"/>
      <c r="C8" s="1" t="s">
        <v>16</v>
      </c>
      <c r="D8" s="2" t="s">
        <v>641</v>
      </c>
      <c r="H8" s="5"/>
      <c r="I8" s="17"/>
      <c r="J8" s="19"/>
      <c r="K8" s="17"/>
      <c r="L8" s="21" t="s">
        <v>653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45775.0</v>
      </c>
      <c r="B11" s="2" t="s">
        <v>643</v>
      </c>
      <c r="C11" s="30">
        <v>45807.0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45716.0</v>
      </c>
      <c r="M11" s="34" t="s">
        <v>44</v>
      </c>
      <c r="N11" s="35" t="s">
        <v>654</v>
      </c>
      <c r="O11" s="36"/>
      <c r="P11" s="36">
        <v>5000000.0</v>
      </c>
      <c r="Q11" s="36"/>
      <c r="R11" s="36"/>
      <c r="S11" s="36">
        <f t="shared" ref="S11:S16" si="5">SUM(O11:R11)</f>
        <v>5000000</v>
      </c>
      <c r="T11" s="36">
        <f t="shared" ref="T11:T16" si="6">T10-S11</f>
        <v>121867017</v>
      </c>
      <c r="U11" s="34"/>
    </row>
    <row r="12" ht="15.75" customHeight="1">
      <c r="A12" s="29">
        <v>46007.0</v>
      </c>
      <c r="B12" s="2" t="s">
        <v>645</v>
      </c>
      <c r="C12" s="30">
        <v>45838.0</v>
      </c>
      <c r="D12" s="8">
        <f t="shared" si="1"/>
        <v>1951950.284</v>
      </c>
      <c r="E12" s="15"/>
      <c r="F12" s="8">
        <f t="shared" si="2"/>
        <v>866755.4972</v>
      </c>
      <c r="G12" s="8">
        <f t="shared" si="3"/>
        <v>1085194.787</v>
      </c>
      <c r="H12" s="8">
        <f t="shared" si="4"/>
        <v>85590354.93</v>
      </c>
      <c r="J12" s="5"/>
      <c r="L12" s="33">
        <v>45743.0</v>
      </c>
      <c r="M12" s="34" t="s">
        <v>44</v>
      </c>
      <c r="N12" s="35" t="s">
        <v>656</v>
      </c>
      <c r="O12" s="36"/>
      <c r="P12" s="36">
        <v>4750000.0</v>
      </c>
      <c r="Q12" s="36"/>
      <c r="R12" s="36"/>
      <c r="S12" s="36">
        <f t="shared" si="5"/>
        <v>4750000</v>
      </c>
      <c r="T12" s="36">
        <f t="shared" si="6"/>
        <v>117117017</v>
      </c>
      <c r="U12" s="34"/>
    </row>
    <row r="13" ht="15.75" customHeight="1">
      <c r="A13" s="29">
        <v>46007.0</v>
      </c>
      <c r="B13" s="2" t="s">
        <v>645</v>
      </c>
      <c r="C13" s="30">
        <v>45868.0</v>
      </c>
      <c r="D13" s="8">
        <f t="shared" si="1"/>
        <v>1951950.284</v>
      </c>
      <c r="E13" s="15"/>
      <c r="F13" s="8">
        <f t="shared" si="2"/>
        <v>855903.5493</v>
      </c>
      <c r="G13" s="8">
        <f t="shared" si="3"/>
        <v>1096046.735</v>
      </c>
      <c r="H13" s="8">
        <f t="shared" si="4"/>
        <v>84494308.19</v>
      </c>
      <c r="J13" s="5" t="s">
        <v>56</v>
      </c>
      <c r="L13" s="33">
        <v>45775.0</v>
      </c>
      <c r="M13" s="34" t="s">
        <v>73</v>
      </c>
      <c r="N13" s="35" t="s">
        <v>643</v>
      </c>
      <c r="O13" s="36"/>
      <c r="P13" s="36">
        <v>1951950.0</v>
      </c>
      <c r="Q13" s="36"/>
      <c r="R13" s="36"/>
      <c r="S13" s="36">
        <f t="shared" si="5"/>
        <v>1951950</v>
      </c>
      <c r="T13" s="36">
        <f t="shared" si="6"/>
        <v>115165067</v>
      </c>
      <c r="U13" s="34"/>
    </row>
    <row r="14" ht="15.75" customHeight="1">
      <c r="A14" s="29">
        <v>46007.0</v>
      </c>
      <c r="B14" s="2" t="s">
        <v>645</v>
      </c>
      <c r="C14" s="30">
        <v>45899.0</v>
      </c>
      <c r="D14" s="8">
        <f t="shared" si="1"/>
        <v>1951950.284</v>
      </c>
      <c r="E14" s="15"/>
      <c r="F14" s="8">
        <f t="shared" si="2"/>
        <v>844943.0819</v>
      </c>
      <c r="G14" s="8">
        <f t="shared" si="3"/>
        <v>1107007.202</v>
      </c>
      <c r="H14" s="8">
        <f t="shared" si="4"/>
        <v>83387300.99</v>
      </c>
      <c r="J14" s="8">
        <f>+H10</f>
        <v>87750000</v>
      </c>
      <c r="L14" s="33">
        <v>46007.0</v>
      </c>
      <c r="M14" s="34" t="s">
        <v>647</v>
      </c>
      <c r="N14" s="35" t="s">
        <v>645</v>
      </c>
      <c r="O14" s="36"/>
      <c r="P14" s="36">
        <v>8000000.0</v>
      </c>
      <c r="Q14" s="36"/>
      <c r="R14" s="36"/>
      <c r="S14" s="36">
        <f t="shared" si="5"/>
        <v>8000000</v>
      </c>
      <c r="T14" s="36">
        <f t="shared" si="6"/>
        <v>107165067</v>
      </c>
      <c r="U14" s="34"/>
    </row>
    <row r="15" ht="15.75" customHeight="1">
      <c r="A15" s="29">
        <v>46007.0</v>
      </c>
      <c r="B15" s="2" t="s">
        <v>645</v>
      </c>
      <c r="C15" s="30">
        <v>45930.0</v>
      </c>
      <c r="D15" s="8">
        <f t="shared" si="1"/>
        <v>1951950.284</v>
      </c>
      <c r="E15" s="15"/>
      <c r="F15" s="8">
        <f t="shared" si="2"/>
        <v>833873.0099</v>
      </c>
      <c r="G15" s="8">
        <f t="shared" si="3"/>
        <v>1118077.274</v>
      </c>
      <c r="H15" s="8">
        <f t="shared" si="4"/>
        <v>82269223.72</v>
      </c>
      <c r="J15" s="5"/>
      <c r="L15" s="33">
        <v>46056.0</v>
      </c>
      <c r="M15" s="34" t="s">
        <v>648</v>
      </c>
      <c r="N15" s="35" t="s">
        <v>649</v>
      </c>
      <c r="O15" s="36"/>
      <c r="P15" s="36">
        <v>5000000.0</v>
      </c>
      <c r="Q15" s="36"/>
      <c r="R15" s="36"/>
      <c r="S15" s="36">
        <f t="shared" si="5"/>
        <v>5000000</v>
      </c>
      <c r="T15" s="36">
        <f t="shared" si="6"/>
        <v>102165067</v>
      </c>
      <c r="U15" s="34"/>
    </row>
    <row r="16" ht="15.75" customHeight="1">
      <c r="A16" s="29">
        <v>46056.0</v>
      </c>
      <c r="B16" s="2" t="s">
        <v>649</v>
      </c>
      <c r="C16" s="30">
        <v>45960.0</v>
      </c>
      <c r="D16" s="8">
        <f t="shared" si="1"/>
        <v>1951950.284</v>
      </c>
      <c r="E16" s="15"/>
      <c r="F16" s="8">
        <f t="shared" si="2"/>
        <v>822692.2372</v>
      </c>
      <c r="G16" s="8">
        <f t="shared" si="3"/>
        <v>1129258.047</v>
      </c>
      <c r="H16" s="8">
        <f t="shared" si="4"/>
        <v>81139965.67</v>
      </c>
      <c r="J16" s="5"/>
      <c r="L16" s="33">
        <v>46092.0</v>
      </c>
      <c r="M16" s="34" t="s">
        <v>660</v>
      </c>
      <c r="N16" s="35" t="s">
        <v>651</v>
      </c>
      <c r="O16" s="36"/>
      <c r="P16" s="36">
        <v>5000000.0</v>
      </c>
      <c r="Q16" s="36"/>
      <c r="R16" s="36"/>
      <c r="S16" s="36">
        <f t="shared" si="5"/>
        <v>5000000</v>
      </c>
      <c r="T16" s="36">
        <f t="shared" si="6"/>
        <v>97165067</v>
      </c>
      <c r="U16" s="34"/>
    </row>
    <row r="17" ht="15.75" customHeight="1">
      <c r="A17" s="29">
        <v>46056.0</v>
      </c>
      <c r="B17" s="2" t="s">
        <v>649</v>
      </c>
      <c r="C17" s="30">
        <v>45991.0</v>
      </c>
      <c r="D17" s="8">
        <f t="shared" si="1"/>
        <v>1951950.284</v>
      </c>
      <c r="E17" s="15"/>
      <c r="F17" s="8">
        <f t="shared" si="2"/>
        <v>811399.6567</v>
      </c>
      <c r="G17" s="8">
        <f t="shared" si="3"/>
        <v>1140550.628</v>
      </c>
      <c r="H17" s="8">
        <f t="shared" si="4"/>
        <v>79999415.04</v>
      </c>
      <c r="J17" s="5"/>
      <c r="L17" s="25"/>
      <c r="M17" s="38" t="s">
        <v>69</v>
      </c>
      <c r="N17" s="39"/>
      <c r="O17" s="27">
        <f t="shared" ref="O17:S17" si="7">SUM(O11:O16)</f>
        <v>0</v>
      </c>
      <c r="P17" s="27">
        <f t="shared" si="7"/>
        <v>29701950</v>
      </c>
      <c r="Q17" s="27">
        <f t="shared" si="7"/>
        <v>0</v>
      </c>
      <c r="R17" s="27">
        <f t="shared" si="7"/>
        <v>0</v>
      </c>
      <c r="S17" s="27">
        <f t="shared" si="7"/>
        <v>29701950</v>
      </c>
      <c r="T17" s="27">
        <f>T16</f>
        <v>97165067</v>
      </c>
      <c r="U17" s="25"/>
    </row>
    <row r="18" ht="15.75" customHeight="1">
      <c r="A18" s="29">
        <v>46092.0</v>
      </c>
      <c r="B18" s="2" t="s">
        <v>651</v>
      </c>
      <c r="C18" s="30">
        <v>46021.0</v>
      </c>
      <c r="D18" s="8">
        <f t="shared" si="1"/>
        <v>1951950.284</v>
      </c>
      <c r="E18" s="15"/>
      <c r="F18" s="8">
        <f t="shared" si="2"/>
        <v>799994.1504</v>
      </c>
      <c r="G18" s="8">
        <f t="shared" si="3"/>
        <v>1151956.134</v>
      </c>
      <c r="H18" s="8">
        <f t="shared" si="4"/>
        <v>78847458.91</v>
      </c>
      <c r="J18" s="5"/>
    </row>
    <row r="19" ht="15.75" customHeight="1">
      <c r="A19" s="29">
        <v>46092.0</v>
      </c>
      <c r="B19" s="2" t="s">
        <v>651</v>
      </c>
      <c r="C19" s="30">
        <v>46052.0</v>
      </c>
      <c r="D19" s="8">
        <f t="shared" si="1"/>
        <v>1951950.284</v>
      </c>
      <c r="E19" s="15"/>
      <c r="F19" s="8">
        <f t="shared" si="2"/>
        <v>788474.5891</v>
      </c>
      <c r="G19" s="8">
        <f t="shared" si="3"/>
        <v>1163475.695</v>
      </c>
      <c r="H19" s="8">
        <f t="shared" si="4"/>
        <v>77683983.21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29">
        <v>46092.0</v>
      </c>
      <c r="B20" s="2" t="s">
        <v>651</v>
      </c>
      <c r="C20" s="30">
        <v>46081.0</v>
      </c>
      <c r="D20" s="8">
        <f t="shared" si="1"/>
        <v>1951950.284</v>
      </c>
      <c r="E20" s="15">
        <f>5000000+1096099+192199-D18-D19-D20</f>
        <v>432447.1469</v>
      </c>
      <c r="F20" s="8">
        <f t="shared" si="2"/>
        <v>776839.8321</v>
      </c>
      <c r="G20" s="8">
        <f t="shared" si="3"/>
        <v>1607557.599</v>
      </c>
      <c r="H20" s="8">
        <f t="shared" si="4"/>
        <v>76076425.61</v>
      </c>
      <c r="J20" s="5"/>
    </row>
    <row r="21" ht="15.75" customHeight="1">
      <c r="A21" s="37"/>
      <c r="B21" s="2"/>
      <c r="C21" s="30">
        <v>46111.0</v>
      </c>
      <c r="D21" s="8">
        <f t="shared" si="1"/>
        <v>1951950.284</v>
      </c>
      <c r="E21" s="15"/>
      <c r="F21" s="8">
        <f t="shared" si="2"/>
        <v>760764.2561</v>
      </c>
      <c r="G21" s="8">
        <f t="shared" si="3"/>
        <v>1191186.028</v>
      </c>
      <c r="H21" s="8">
        <f t="shared" si="4"/>
        <v>74885239.59</v>
      </c>
      <c r="J21" s="5"/>
    </row>
    <row r="22" ht="15.75" customHeight="1">
      <c r="A22" s="37"/>
      <c r="B22" s="2"/>
      <c r="C22" s="30">
        <v>46142.0</v>
      </c>
      <c r="D22" s="8">
        <f t="shared" si="1"/>
        <v>1951950.284</v>
      </c>
      <c r="E22" s="15"/>
      <c r="F22" s="8">
        <f t="shared" si="2"/>
        <v>748852.3959</v>
      </c>
      <c r="G22" s="8">
        <f t="shared" si="3"/>
        <v>1203097.888</v>
      </c>
      <c r="H22" s="8">
        <f t="shared" si="4"/>
        <v>73682141.7</v>
      </c>
      <c r="J22" s="5"/>
    </row>
    <row r="23" ht="15.75" customHeight="1">
      <c r="A23" s="37"/>
      <c r="B23" s="2"/>
      <c r="C23" s="30">
        <v>46172.0</v>
      </c>
      <c r="D23" s="8">
        <f t="shared" si="1"/>
        <v>1951950.284</v>
      </c>
      <c r="E23" s="46"/>
      <c r="F23" s="8">
        <f t="shared" si="2"/>
        <v>736821.417</v>
      </c>
      <c r="G23" s="8">
        <f t="shared" si="3"/>
        <v>1215128.867</v>
      </c>
      <c r="H23" s="8">
        <f t="shared" si="4"/>
        <v>72467012.83</v>
      </c>
      <c r="J23" s="5"/>
    </row>
    <row r="24" ht="15.75" customHeight="1">
      <c r="A24" s="37"/>
      <c r="B24" s="2"/>
      <c r="C24" s="30">
        <v>46203.0</v>
      </c>
      <c r="D24" s="8">
        <f t="shared" si="1"/>
        <v>1951950.284</v>
      </c>
      <c r="E24" s="46"/>
      <c r="F24" s="8">
        <f t="shared" si="2"/>
        <v>724670.1283</v>
      </c>
      <c r="G24" s="8">
        <f t="shared" si="3"/>
        <v>1227280.156</v>
      </c>
      <c r="H24" s="8">
        <f t="shared" si="4"/>
        <v>71239732.67</v>
      </c>
      <c r="J24" s="5"/>
    </row>
    <row r="25" ht="15.75" customHeight="1">
      <c r="B25" s="2"/>
      <c r="C25" s="30">
        <v>46233.0</v>
      </c>
      <c r="D25" s="8">
        <f t="shared" si="1"/>
        <v>1951950.284</v>
      </c>
      <c r="E25" s="46"/>
      <c r="F25" s="8">
        <f t="shared" si="2"/>
        <v>712397.3267</v>
      </c>
      <c r="G25" s="8">
        <f t="shared" si="3"/>
        <v>1239552.958</v>
      </c>
      <c r="H25" s="8">
        <f t="shared" si="4"/>
        <v>70000179.72</v>
      </c>
      <c r="J25" s="5"/>
    </row>
    <row r="26" ht="15.75" customHeight="1">
      <c r="B26" s="2"/>
      <c r="C26" s="30">
        <v>46264.0</v>
      </c>
      <c r="D26" s="8">
        <f t="shared" si="1"/>
        <v>1951950.284</v>
      </c>
      <c r="E26" s="46"/>
      <c r="F26" s="8">
        <f t="shared" si="2"/>
        <v>700001.7972</v>
      </c>
      <c r="G26" s="8">
        <f t="shared" si="3"/>
        <v>1251948.487</v>
      </c>
      <c r="H26" s="8">
        <f t="shared" si="4"/>
        <v>68748231.23</v>
      </c>
      <c r="J26" s="5"/>
    </row>
    <row r="27" ht="15.75" customHeight="1">
      <c r="B27" s="2"/>
      <c r="C27" s="30">
        <v>46295.0</v>
      </c>
      <c r="D27" s="8">
        <f t="shared" si="1"/>
        <v>1951950.284</v>
      </c>
      <c r="E27" s="46"/>
      <c r="F27" s="8">
        <f t="shared" si="2"/>
        <v>687482.3123</v>
      </c>
      <c r="G27" s="8">
        <f t="shared" si="3"/>
        <v>1264467.972</v>
      </c>
      <c r="H27" s="8">
        <f t="shared" si="4"/>
        <v>67483763.26</v>
      </c>
      <c r="J27" s="5"/>
    </row>
    <row r="28" ht="15.75" customHeight="1">
      <c r="B28" s="2"/>
      <c r="C28" s="30">
        <v>46325.0</v>
      </c>
      <c r="D28" s="8">
        <f t="shared" si="1"/>
        <v>1951950.284</v>
      </c>
      <c r="E28" s="46"/>
      <c r="F28" s="8">
        <f t="shared" si="2"/>
        <v>674837.6326</v>
      </c>
      <c r="G28" s="8">
        <f t="shared" si="3"/>
        <v>1277112.652</v>
      </c>
      <c r="H28" s="8">
        <f t="shared" si="4"/>
        <v>66206650.6</v>
      </c>
      <c r="J28" s="5"/>
    </row>
    <row r="29" ht="15.75" customHeight="1">
      <c r="B29" s="2"/>
      <c r="C29" s="30">
        <v>46356.0</v>
      </c>
      <c r="D29" s="8">
        <f t="shared" si="1"/>
        <v>1951950.284</v>
      </c>
      <c r="E29" s="46"/>
      <c r="F29" s="8">
        <f t="shared" si="2"/>
        <v>662066.506</v>
      </c>
      <c r="G29" s="8">
        <f t="shared" si="3"/>
        <v>1289883.778</v>
      </c>
      <c r="H29" s="8">
        <f t="shared" si="4"/>
        <v>64916766.83</v>
      </c>
      <c r="J29" s="5"/>
    </row>
    <row r="30" ht="15.75" customHeight="1">
      <c r="B30" s="2"/>
      <c r="C30" s="30">
        <v>46386.0</v>
      </c>
      <c r="D30" s="8">
        <f t="shared" si="1"/>
        <v>1951950.284</v>
      </c>
      <c r="E30" s="46"/>
      <c r="F30" s="8">
        <f t="shared" si="2"/>
        <v>649167.6683</v>
      </c>
      <c r="G30" s="8">
        <f t="shared" si="3"/>
        <v>1302782.616</v>
      </c>
      <c r="H30" s="8">
        <f t="shared" si="4"/>
        <v>63613984.21</v>
      </c>
      <c r="J30" s="5"/>
    </row>
    <row r="31" ht="15.75" customHeight="1">
      <c r="B31" s="2"/>
      <c r="C31" s="30">
        <v>46417.0</v>
      </c>
      <c r="D31" s="8">
        <f t="shared" si="1"/>
        <v>1951950.284</v>
      </c>
      <c r="E31" s="46"/>
      <c r="F31" s="8">
        <f t="shared" si="2"/>
        <v>636139.8421</v>
      </c>
      <c r="G31" s="8">
        <f t="shared" si="3"/>
        <v>1315810.442</v>
      </c>
      <c r="H31" s="8">
        <f t="shared" si="4"/>
        <v>62298173.77</v>
      </c>
      <c r="J31" s="5"/>
    </row>
    <row r="32" ht="15.75" customHeight="1">
      <c r="B32" s="2"/>
      <c r="C32" s="30">
        <v>46446.0</v>
      </c>
      <c r="D32" s="8">
        <f t="shared" si="1"/>
        <v>1951950.284</v>
      </c>
      <c r="E32" s="46"/>
      <c r="F32" s="8">
        <f t="shared" si="2"/>
        <v>622981.7377</v>
      </c>
      <c r="G32" s="8">
        <f t="shared" si="3"/>
        <v>1328968.547</v>
      </c>
      <c r="H32" s="8">
        <f t="shared" si="4"/>
        <v>60969205.22</v>
      </c>
      <c r="J32" s="5"/>
    </row>
    <row r="33" ht="15.75" customHeight="1">
      <c r="B33" s="2"/>
      <c r="C33" s="30">
        <v>46476.0</v>
      </c>
      <c r="D33" s="8">
        <f t="shared" si="1"/>
        <v>1951950.284</v>
      </c>
      <c r="E33" s="46"/>
      <c r="F33" s="8">
        <f t="shared" si="2"/>
        <v>609692.0522</v>
      </c>
      <c r="G33" s="8">
        <f t="shared" si="3"/>
        <v>1342258.232</v>
      </c>
      <c r="H33" s="8">
        <f t="shared" si="4"/>
        <v>59626946.99</v>
      </c>
      <c r="J33" s="5"/>
    </row>
    <row r="34" ht="15.75" customHeight="1">
      <c r="B34" s="2"/>
      <c r="C34" s="30">
        <v>46507.0</v>
      </c>
      <c r="D34" s="8">
        <f t="shared" si="1"/>
        <v>1951950.284</v>
      </c>
      <c r="E34" s="46"/>
      <c r="F34" s="8">
        <f t="shared" si="2"/>
        <v>596269.4699</v>
      </c>
      <c r="G34" s="8">
        <f t="shared" si="3"/>
        <v>1355680.814</v>
      </c>
      <c r="H34" s="8">
        <f t="shared" si="4"/>
        <v>58271266.17</v>
      </c>
      <c r="J34" s="5"/>
    </row>
    <row r="35" ht="15.75" customHeight="1">
      <c r="B35" s="2"/>
      <c r="C35" s="30">
        <v>46537.0</v>
      </c>
      <c r="D35" s="8">
        <f t="shared" si="1"/>
        <v>1951950.284</v>
      </c>
      <c r="E35" s="46"/>
      <c r="F35" s="8">
        <f t="shared" si="2"/>
        <v>582712.6617</v>
      </c>
      <c r="G35" s="8">
        <f t="shared" si="3"/>
        <v>1369237.623</v>
      </c>
      <c r="H35" s="8">
        <f t="shared" si="4"/>
        <v>56902028.55</v>
      </c>
      <c r="J35" s="5"/>
    </row>
    <row r="36" ht="15.75" customHeight="1">
      <c r="B36" s="2"/>
      <c r="C36" s="30">
        <v>46568.0</v>
      </c>
      <c r="D36" s="8">
        <f t="shared" si="1"/>
        <v>1951950.284</v>
      </c>
      <c r="E36" s="46"/>
      <c r="F36" s="8">
        <f t="shared" si="2"/>
        <v>569020.2855</v>
      </c>
      <c r="G36" s="8">
        <f t="shared" si="3"/>
        <v>1382929.999</v>
      </c>
      <c r="H36" s="8">
        <f t="shared" si="4"/>
        <v>55519098.55</v>
      </c>
      <c r="J36" s="5"/>
    </row>
    <row r="37" ht="15.75" customHeight="1">
      <c r="B37" s="2"/>
      <c r="C37" s="30">
        <v>46598.0</v>
      </c>
      <c r="D37" s="8">
        <f t="shared" si="1"/>
        <v>1951950.284</v>
      </c>
      <c r="E37" s="46"/>
      <c r="F37" s="8">
        <f t="shared" si="2"/>
        <v>555190.9855</v>
      </c>
      <c r="G37" s="8">
        <f t="shared" si="3"/>
        <v>1396759.299</v>
      </c>
      <c r="H37" s="8">
        <f t="shared" si="4"/>
        <v>54122339.25</v>
      </c>
      <c r="J37" s="5"/>
    </row>
    <row r="38" ht="15.75" customHeight="1">
      <c r="B38" s="2"/>
      <c r="C38" s="30">
        <v>46629.0</v>
      </c>
      <c r="D38" s="8">
        <f t="shared" si="1"/>
        <v>1951950.284</v>
      </c>
      <c r="E38" s="46"/>
      <c r="F38" s="8">
        <f t="shared" si="2"/>
        <v>541223.3925</v>
      </c>
      <c r="G38" s="8">
        <f t="shared" si="3"/>
        <v>1410726.892</v>
      </c>
      <c r="H38" s="8">
        <f t="shared" si="4"/>
        <v>52711612.36</v>
      </c>
      <c r="J38" s="5"/>
    </row>
    <row r="39" ht="15.75" customHeight="1">
      <c r="B39" s="2"/>
      <c r="C39" s="30">
        <v>46660.0</v>
      </c>
      <c r="D39" s="8">
        <f t="shared" si="1"/>
        <v>1951950.284</v>
      </c>
      <c r="E39" s="46"/>
      <c r="F39" s="8">
        <f t="shared" si="2"/>
        <v>527116.1236</v>
      </c>
      <c r="G39" s="8">
        <f t="shared" si="3"/>
        <v>1424834.161</v>
      </c>
      <c r="H39" s="8">
        <f t="shared" si="4"/>
        <v>51286778.2</v>
      </c>
      <c r="J39" s="5"/>
    </row>
    <row r="40" ht="15.75" customHeight="1">
      <c r="B40" s="2"/>
      <c r="C40" s="30">
        <v>46690.0</v>
      </c>
      <c r="D40" s="8">
        <f t="shared" si="1"/>
        <v>1951950.284</v>
      </c>
      <c r="E40" s="46"/>
      <c r="F40" s="8">
        <f t="shared" si="2"/>
        <v>512867.782</v>
      </c>
      <c r="G40" s="8">
        <f t="shared" si="3"/>
        <v>1439082.502</v>
      </c>
      <c r="H40" s="8">
        <f t="shared" si="4"/>
        <v>49847695.7</v>
      </c>
      <c r="J40" s="5"/>
    </row>
    <row r="41" ht="15.75" customHeight="1">
      <c r="B41" s="2"/>
      <c r="C41" s="30">
        <v>46721.0</v>
      </c>
      <c r="D41" s="8">
        <f t="shared" si="1"/>
        <v>1951950.284</v>
      </c>
      <c r="E41" s="46"/>
      <c r="F41" s="8">
        <f t="shared" si="2"/>
        <v>498476.957</v>
      </c>
      <c r="G41" s="8">
        <f t="shared" si="3"/>
        <v>1453473.327</v>
      </c>
      <c r="H41" s="8">
        <f t="shared" si="4"/>
        <v>48394222.37</v>
      </c>
      <c r="J41" s="5"/>
    </row>
    <row r="42" ht="15.75" customHeight="1">
      <c r="B42" s="2"/>
      <c r="C42" s="30">
        <v>46751.0</v>
      </c>
      <c r="D42" s="8">
        <f t="shared" si="1"/>
        <v>1951950.284</v>
      </c>
      <c r="E42" s="46"/>
      <c r="F42" s="8">
        <f t="shared" si="2"/>
        <v>483942.2237</v>
      </c>
      <c r="G42" s="8">
        <f t="shared" si="3"/>
        <v>1468008.061</v>
      </c>
      <c r="H42" s="8">
        <f t="shared" si="4"/>
        <v>46926214.31</v>
      </c>
      <c r="J42" s="5"/>
    </row>
    <row r="43" ht="15.75" customHeight="1">
      <c r="B43" s="2"/>
      <c r="C43" s="30">
        <v>46782.0</v>
      </c>
      <c r="D43" s="8">
        <f t="shared" si="1"/>
        <v>1951950.284</v>
      </c>
      <c r="E43" s="46"/>
      <c r="F43" s="8">
        <f t="shared" si="2"/>
        <v>469262.1431</v>
      </c>
      <c r="G43" s="8">
        <f t="shared" si="3"/>
        <v>1482688.141</v>
      </c>
      <c r="H43" s="8">
        <f t="shared" si="4"/>
        <v>45443526.17</v>
      </c>
      <c r="J43" s="5"/>
    </row>
    <row r="44" ht="15.75" customHeight="1">
      <c r="B44" s="2"/>
      <c r="C44" s="30">
        <v>46812.0</v>
      </c>
      <c r="D44" s="8">
        <f t="shared" si="1"/>
        <v>1951950.284</v>
      </c>
      <c r="E44" s="46"/>
      <c r="F44" s="8">
        <f t="shared" si="2"/>
        <v>454435.2617</v>
      </c>
      <c r="G44" s="8">
        <f t="shared" si="3"/>
        <v>1497515.023</v>
      </c>
      <c r="H44" s="8">
        <f t="shared" si="4"/>
        <v>43946011.15</v>
      </c>
      <c r="J44" s="5"/>
    </row>
    <row r="45" ht="15.75" customHeight="1">
      <c r="B45" s="2"/>
      <c r="C45" s="30">
        <v>46842.0</v>
      </c>
      <c r="D45" s="8">
        <f t="shared" si="1"/>
        <v>1951950.284</v>
      </c>
      <c r="E45" s="46"/>
      <c r="F45" s="8">
        <f t="shared" si="2"/>
        <v>439460.1115</v>
      </c>
      <c r="G45" s="8">
        <f t="shared" si="3"/>
        <v>1512490.173</v>
      </c>
      <c r="H45" s="8">
        <f t="shared" si="4"/>
        <v>42433520.97</v>
      </c>
      <c r="J45" s="5"/>
    </row>
    <row r="46" ht="15.75" customHeight="1">
      <c r="B46" s="2"/>
      <c r="C46" s="30">
        <v>46873.0</v>
      </c>
      <c r="D46" s="8">
        <f t="shared" si="1"/>
        <v>1951950.284</v>
      </c>
      <c r="E46" s="46"/>
      <c r="F46" s="8">
        <f t="shared" si="2"/>
        <v>424335.2097</v>
      </c>
      <c r="G46" s="8">
        <f t="shared" si="3"/>
        <v>1527615.075</v>
      </c>
      <c r="H46" s="8">
        <f t="shared" si="4"/>
        <v>40905905.9</v>
      </c>
      <c r="J46" s="5"/>
    </row>
    <row r="47" ht="15.75" customHeight="1">
      <c r="B47" s="2"/>
      <c r="C47" s="30">
        <v>46903.0</v>
      </c>
      <c r="D47" s="8">
        <f t="shared" si="1"/>
        <v>1951950.284</v>
      </c>
      <c r="E47" s="46"/>
      <c r="F47" s="8">
        <f t="shared" si="2"/>
        <v>409059.059</v>
      </c>
      <c r="G47" s="8">
        <f t="shared" si="3"/>
        <v>1542891.225</v>
      </c>
      <c r="H47" s="8">
        <f t="shared" si="4"/>
        <v>39363014.67</v>
      </c>
      <c r="J47" s="5"/>
    </row>
    <row r="48" ht="15.75" customHeight="1">
      <c r="B48" s="2"/>
      <c r="C48" s="30">
        <v>46934.0</v>
      </c>
      <c r="D48" s="8">
        <f t="shared" si="1"/>
        <v>1951950.284</v>
      </c>
      <c r="E48" s="46"/>
      <c r="F48" s="8">
        <f t="shared" si="2"/>
        <v>393630.1467</v>
      </c>
      <c r="G48" s="8">
        <f t="shared" si="3"/>
        <v>1558320.138</v>
      </c>
      <c r="H48" s="8">
        <f t="shared" si="4"/>
        <v>37804694.54</v>
      </c>
      <c r="J48" s="5"/>
    </row>
    <row r="49" ht="15.75" customHeight="1">
      <c r="B49" s="2"/>
      <c r="C49" s="30">
        <v>46964.0</v>
      </c>
      <c r="D49" s="8">
        <f t="shared" si="1"/>
        <v>1951950.284</v>
      </c>
      <c r="E49" s="46"/>
      <c r="F49" s="8">
        <f t="shared" si="2"/>
        <v>378046.9454</v>
      </c>
      <c r="G49" s="8">
        <f t="shared" si="3"/>
        <v>1573903.339</v>
      </c>
      <c r="H49" s="8">
        <f t="shared" si="4"/>
        <v>36230791.2</v>
      </c>
      <c r="J49" s="5"/>
    </row>
    <row r="50" ht="15.75" customHeight="1">
      <c r="B50" s="2"/>
      <c r="C50" s="30">
        <v>46995.0</v>
      </c>
      <c r="D50" s="8">
        <f t="shared" si="1"/>
        <v>1951950.284</v>
      </c>
      <c r="E50" s="46"/>
      <c r="F50" s="8">
        <f t="shared" si="2"/>
        <v>362307.912</v>
      </c>
      <c r="G50" s="8">
        <f t="shared" si="3"/>
        <v>1589642.372</v>
      </c>
      <c r="H50" s="8">
        <f t="shared" si="4"/>
        <v>34641148.83</v>
      </c>
      <c r="J50" s="5"/>
    </row>
    <row r="51" ht="15.75" customHeight="1">
      <c r="B51" s="2"/>
      <c r="C51" s="30">
        <v>47026.0</v>
      </c>
      <c r="D51" s="8">
        <f t="shared" si="1"/>
        <v>1951950.284</v>
      </c>
      <c r="E51" s="46"/>
      <c r="F51" s="8">
        <f t="shared" si="2"/>
        <v>346411.4883</v>
      </c>
      <c r="G51" s="8">
        <f t="shared" si="3"/>
        <v>1605538.796</v>
      </c>
      <c r="H51" s="8">
        <f t="shared" si="4"/>
        <v>33035610.03</v>
      </c>
      <c r="J51" s="5"/>
    </row>
    <row r="52" ht="15.75" customHeight="1">
      <c r="B52" s="2"/>
      <c r="C52" s="30">
        <v>47056.0</v>
      </c>
      <c r="D52" s="8">
        <f t="shared" si="1"/>
        <v>1951950.284</v>
      </c>
      <c r="E52" s="46"/>
      <c r="F52" s="8">
        <f t="shared" si="2"/>
        <v>330356.1003</v>
      </c>
      <c r="G52" s="8">
        <f t="shared" si="3"/>
        <v>1621594.184</v>
      </c>
      <c r="H52" s="8">
        <f t="shared" si="4"/>
        <v>31414015.85</v>
      </c>
      <c r="J52" s="5"/>
    </row>
    <row r="53" ht="15.75" customHeight="1">
      <c r="B53" s="2"/>
      <c r="C53" s="30">
        <v>47087.0</v>
      </c>
      <c r="D53" s="8">
        <f t="shared" si="1"/>
        <v>1951950.284</v>
      </c>
      <c r="E53" s="46"/>
      <c r="F53" s="8">
        <f t="shared" si="2"/>
        <v>314140.1585</v>
      </c>
      <c r="G53" s="8">
        <f t="shared" si="3"/>
        <v>1637810.126</v>
      </c>
      <c r="H53" s="8">
        <f t="shared" si="4"/>
        <v>29776205.72</v>
      </c>
      <c r="J53" s="5"/>
    </row>
    <row r="54" ht="15.75" customHeight="1">
      <c r="B54" s="2"/>
      <c r="C54" s="30">
        <v>47117.0</v>
      </c>
      <c r="D54" s="8">
        <f t="shared" si="1"/>
        <v>1951950.284</v>
      </c>
      <c r="E54" s="46"/>
      <c r="F54" s="8">
        <f t="shared" si="2"/>
        <v>297762.0572</v>
      </c>
      <c r="G54" s="8">
        <f t="shared" si="3"/>
        <v>1654188.227</v>
      </c>
      <c r="H54" s="8">
        <f t="shared" si="4"/>
        <v>28122017.49</v>
      </c>
      <c r="J54" s="5"/>
    </row>
    <row r="55" ht="15.75" customHeight="1">
      <c r="B55" s="2"/>
      <c r="C55" s="30">
        <v>47148.0</v>
      </c>
      <c r="D55" s="8">
        <f t="shared" si="1"/>
        <v>1951950.284</v>
      </c>
      <c r="E55" s="46"/>
      <c r="F55" s="8">
        <f t="shared" si="2"/>
        <v>281220.1749</v>
      </c>
      <c r="G55" s="8">
        <f t="shared" si="3"/>
        <v>1670730.109</v>
      </c>
      <c r="H55" s="8">
        <f t="shared" si="4"/>
        <v>26451287.38</v>
      </c>
      <c r="J55" s="5"/>
    </row>
    <row r="56" ht="15.75" customHeight="1">
      <c r="B56" s="2"/>
      <c r="C56" s="30">
        <v>47177.0</v>
      </c>
      <c r="D56" s="8">
        <f t="shared" si="1"/>
        <v>1951950.284</v>
      </c>
      <c r="E56" s="46"/>
      <c r="F56" s="8">
        <f t="shared" si="2"/>
        <v>264512.8738</v>
      </c>
      <c r="G56" s="8">
        <f t="shared" si="3"/>
        <v>1687437.411</v>
      </c>
      <c r="H56" s="8">
        <f t="shared" si="4"/>
        <v>24763849.97</v>
      </c>
      <c r="J56" s="5"/>
    </row>
    <row r="57" ht="15.75" customHeight="1">
      <c r="B57" s="2"/>
      <c r="C57" s="30">
        <v>47207.0</v>
      </c>
      <c r="D57" s="8">
        <f t="shared" si="1"/>
        <v>1951950.284</v>
      </c>
      <c r="E57" s="46"/>
      <c r="F57" s="8">
        <f t="shared" si="2"/>
        <v>247638.4997</v>
      </c>
      <c r="G57" s="8">
        <f t="shared" si="3"/>
        <v>1704311.785</v>
      </c>
      <c r="H57" s="8">
        <f t="shared" si="4"/>
        <v>23059538.19</v>
      </c>
      <c r="J57" s="5"/>
    </row>
    <row r="58" ht="15.75" customHeight="1">
      <c r="B58" s="2"/>
      <c r="C58" s="30">
        <v>47238.0</v>
      </c>
      <c r="D58" s="8">
        <f t="shared" si="1"/>
        <v>1951950.284</v>
      </c>
      <c r="E58" s="46"/>
      <c r="F58" s="8">
        <f t="shared" si="2"/>
        <v>230595.3819</v>
      </c>
      <c r="G58" s="8">
        <f t="shared" si="3"/>
        <v>1721354.902</v>
      </c>
      <c r="H58" s="8">
        <f t="shared" si="4"/>
        <v>21338183.29</v>
      </c>
      <c r="J58" s="5"/>
    </row>
    <row r="59" ht="15.75" customHeight="1">
      <c r="B59" s="2"/>
      <c r="C59" s="30">
        <v>47268.0</v>
      </c>
      <c r="D59" s="8">
        <f t="shared" si="1"/>
        <v>1951950.284</v>
      </c>
      <c r="E59" s="46"/>
      <c r="F59" s="8">
        <f t="shared" si="2"/>
        <v>213381.8329</v>
      </c>
      <c r="G59" s="8">
        <f t="shared" si="3"/>
        <v>1738568.451</v>
      </c>
      <c r="H59" s="8">
        <f t="shared" si="4"/>
        <v>19599614.83</v>
      </c>
      <c r="J59" s="5"/>
    </row>
    <row r="60" ht="15.75" customHeight="1">
      <c r="B60" s="2"/>
      <c r="C60" s="30">
        <v>47299.0</v>
      </c>
      <c r="D60" s="8">
        <f t="shared" si="1"/>
        <v>1951950.284</v>
      </c>
      <c r="E60" s="46"/>
      <c r="F60" s="8">
        <f t="shared" si="2"/>
        <v>195996.1483</v>
      </c>
      <c r="G60" s="8">
        <f t="shared" si="3"/>
        <v>1755954.136</v>
      </c>
      <c r="H60" s="8">
        <f t="shared" si="4"/>
        <v>17843660.7</v>
      </c>
      <c r="J60" s="5"/>
    </row>
    <row r="61" ht="15.75" customHeight="1">
      <c r="B61" s="2"/>
      <c r="C61" s="30">
        <v>47329.0</v>
      </c>
      <c r="D61" s="8">
        <f t="shared" si="1"/>
        <v>1951950.284</v>
      </c>
      <c r="E61" s="46"/>
      <c r="F61" s="8">
        <f t="shared" si="2"/>
        <v>178436.607</v>
      </c>
      <c r="G61" s="8">
        <f t="shared" si="3"/>
        <v>1773513.677</v>
      </c>
      <c r="H61" s="8">
        <f t="shared" si="4"/>
        <v>16070147.02</v>
      </c>
      <c r="J61" s="5"/>
    </row>
    <row r="62" ht="15.75" customHeight="1">
      <c r="B62" s="2"/>
      <c r="C62" s="30">
        <v>47360.0</v>
      </c>
      <c r="D62" s="8">
        <f t="shared" si="1"/>
        <v>1951950.284</v>
      </c>
      <c r="E62" s="46"/>
      <c r="F62" s="8">
        <f t="shared" si="2"/>
        <v>160701.4702</v>
      </c>
      <c r="G62" s="8">
        <f t="shared" si="3"/>
        <v>1791248.814</v>
      </c>
      <c r="H62" s="8">
        <f t="shared" si="4"/>
        <v>14278898.21</v>
      </c>
      <c r="J62" s="5"/>
    </row>
    <row r="63" ht="15.75" customHeight="1">
      <c r="B63" s="2"/>
      <c r="C63" s="30">
        <v>47391.0</v>
      </c>
      <c r="D63" s="8">
        <f t="shared" si="1"/>
        <v>1951950.284</v>
      </c>
      <c r="E63" s="46"/>
      <c r="F63" s="8">
        <f t="shared" si="2"/>
        <v>142788.9821</v>
      </c>
      <c r="G63" s="8">
        <f t="shared" si="3"/>
        <v>1809161.302</v>
      </c>
      <c r="H63" s="8">
        <f t="shared" si="4"/>
        <v>12469736.9</v>
      </c>
      <c r="J63" s="5"/>
    </row>
    <row r="64" ht="15.75" customHeight="1">
      <c r="B64" s="2"/>
      <c r="C64" s="30">
        <v>47421.0</v>
      </c>
      <c r="D64" s="8">
        <f t="shared" si="1"/>
        <v>1951950.284</v>
      </c>
      <c r="E64" s="46"/>
      <c r="F64" s="8">
        <f t="shared" si="2"/>
        <v>124697.369</v>
      </c>
      <c r="G64" s="8">
        <f t="shared" si="3"/>
        <v>1827252.915</v>
      </c>
      <c r="H64" s="8">
        <f t="shared" si="4"/>
        <v>10642483.99</v>
      </c>
      <c r="J64" s="5"/>
    </row>
    <row r="65" ht="15.75" customHeight="1">
      <c r="B65" s="2"/>
      <c r="C65" s="30">
        <v>47452.0</v>
      </c>
      <c r="D65" s="8">
        <f t="shared" si="1"/>
        <v>1951950.284</v>
      </c>
      <c r="E65" s="46"/>
      <c r="F65" s="8">
        <f t="shared" si="2"/>
        <v>106424.8399</v>
      </c>
      <c r="G65" s="8">
        <f t="shared" si="3"/>
        <v>1845525.444</v>
      </c>
      <c r="H65" s="8">
        <f t="shared" si="4"/>
        <v>8796958.545</v>
      </c>
      <c r="J65" s="5"/>
    </row>
    <row r="66" ht="15.75" customHeight="1">
      <c r="B66" s="2"/>
      <c r="C66" s="30">
        <v>47482.0</v>
      </c>
      <c r="D66" s="8">
        <f t="shared" si="1"/>
        <v>1951950.284</v>
      </c>
      <c r="E66" s="46"/>
      <c r="F66" s="8">
        <f t="shared" si="2"/>
        <v>87969.58545</v>
      </c>
      <c r="G66" s="8">
        <f t="shared" si="3"/>
        <v>1863980.699</v>
      </c>
      <c r="H66" s="8">
        <f t="shared" si="4"/>
        <v>6932977.846</v>
      </c>
      <c r="J66" s="5"/>
    </row>
    <row r="67" ht="15.75" customHeight="1">
      <c r="B67" s="2"/>
      <c r="C67" s="30">
        <v>47513.0</v>
      </c>
      <c r="D67" s="8">
        <f t="shared" si="1"/>
        <v>1951950.284</v>
      </c>
      <c r="E67" s="46"/>
      <c r="F67" s="8">
        <f t="shared" si="2"/>
        <v>69329.77846</v>
      </c>
      <c r="G67" s="8">
        <f t="shared" si="3"/>
        <v>1882620.506</v>
      </c>
      <c r="H67" s="8">
        <f t="shared" si="4"/>
        <v>5050357.34</v>
      </c>
      <c r="J67" s="5"/>
    </row>
    <row r="68" ht="15.75" customHeight="1">
      <c r="B68" s="2"/>
      <c r="C68" s="30">
        <v>47542.0</v>
      </c>
      <c r="D68" s="8">
        <f t="shared" si="1"/>
        <v>1951950.284</v>
      </c>
      <c r="E68" s="46"/>
      <c r="F68" s="8">
        <f t="shared" si="2"/>
        <v>50503.5734</v>
      </c>
      <c r="G68" s="8">
        <f t="shared" si="3"/>
        <v>1901446.711</v>
      </c>
      <c r="H68" s="8">
        <f t="shared" si="4"/>
        <v>3148910.629</v>
      </c>
      <c r="J68" s="5"/>
    </row>
    <row r="69" ht="15.75" customHeight="1">
      <c r="B69" s="2"/>
      <c r="C69" s="30">
        <v>47572.0</v>
      </c>
      <c r="D69" s="8">
        <f t="shared" si="1"/>
        <v>1951950.284</v>
      </c>
      <c r="E69" s="46"/>
      <c r="F69" s="8">
        <f t="shared" si="2"/>
        <v>31489.10629</v>
      </c>
      <c r="G69" s="8">
        <f t="shared" si="3"/>
        <v>1920461.178</v>
      </c>
      <c r="H69" s="8">
        <f t="shared" si="4"/>
        <v>1228449.451</v>
      </c>
      <c r="J69" s="5"/>
    </row>
    <row r="70" ht="15.75" customHeight="1">
      <c r="B70" s="2"/>
      <c r="C70" s="30">
        <v>47603.0</v>
      </c>
      <c r="D70" s="8">
        <f t="shared" si="1"/>
        <v>1951950.284</v>
      </c>
      <c r="E70" s="46"/>
      <c r="F70" s="8">
        <f t="shared" si="2"/>
        <v>12284.49451</v>
      </c>
      <c r="G70" s="8">
        <f t="shared" si="3"/>
        <v>1939665.79</v>
      </c>
      <c r="H70" s="8">
        <f t="shared" si="4"/>
        <v>-711216.3391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655</v>
      </c>
      <c r="J1" s="5"/>
    </row>
    <row r="2" ht="15.75" customHeight="1">
      <c r="B2" s="2"/>
      <c r="C2" s="1" t="s">
        <v>6</v>
      </c>
      <c r="D2" s="6">
        <f>+A5*10%</f>
        <v>10500000</v>
      </c>
      <c r="E2" s="7"/>
      <c r="J2" s="5"/>
    </row>
    <row r="3" ht="15.75" customHeight="1">
      <c r="B3" s="2"/>
      <c r="C3" s="1" t="s">
        <v>7</v>
      </c>
      <c r="D3" s="8">
        <f>+A5-D2</f>
        <v>94500000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1.05E8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2102100.306</v>
      </c>
      <c r="E6" s="12"/>
      <c r="H6" s="5"/>
      <c r="J6" s="5"/>
    </row>
    <row r="7" ht="28.5" customHeight="1">
      <c r="B7" s="2"/>
      <c r="C7" s="1" t="s">
        <v>12</v>
      </c>
      <c r="D7" s="64" t="s">
        <v>657</v>
      </c>
      <c r="H7" s="5"/>
      <c r="J7" s="5"/>
    </row>
    <row r="8" ht="15.75" customHeight="1">
      <c r="B8" s="2"/>
      <c r="C8" s="1" t="s">
        <v>16</v>
      </c>
      <c r="D8" s="2" t="s">
        <v>658</v>
      </c>
      <c r="H8" s="5"/>
      <c r="I8" s="17"/>
      <c r="J8" s="19"/>
      <c r="K8" s="17"/>
      <c r="L8" s="21" t="s">
        <v>659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94500000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1.36626018E8</v>
      </c>
      <c r="U10" s="25"/>
    </row>
    <row r="11" ht="15.75" customHeight="1">
      <c r="A11" s="29">
        <v>46071.0</v>
      </c>
      <c r="B11" s="2" t="s">
        <v>662</v>
      </c>
      <c r="C11" s="30">
        <v>46075.0</v>
      </c>
      <c r="D11" s="8">
        <f t="shared" ref="D11:D70" si="1">$D$6</f>
        <v>2102100.306</v>
      </c>
      <c r="E11" s="15">
        <f>5000000-D11</f>
        <v>2897899.694</v>
      </c>
      <c r="F11" s="8">
        <f t="shared" ref="F11:F70" si="2">+H10*$D$4</f>
        <v>945000</v>
      </c>
      <c r="G11" s="8">
        <f t="shared" ref="G11:G70" si="3">+D11+E11-F11</f>
        <v>4055000</v>
      </c>
      <c r="H11" s="8">
        <f t="shared" ref="H11:H70" si="4">+H10-G11</f>
        <v>90445000</v>
      </c>
      <c r="J11" s="5"/>
      <c r="L11" s="33">
        <v>46044.0</v>
      </c>
      <c r="M11" s="34" t="s">
        <v>44</v>
      </c>
      <c r="N11" s="35" t="s">
        <v>663</v>
      </c>
      <c r="O11" s="36"/>
      <c r="P11" s="36">
        <v>4500000.0</v>
      </c>
      <c r="Q11" s="36"/>
      <c r="R11" s="36"/>
      <c r="S11" s="36">
        <f t="shared" ref="S11:S17" si="5">SUM(O11:R11)</f>
        <v>4500000</v>
      </c>
      <c r="T11" s="36">
        <f t="shared" ref="T11:T17" si="6">T10-S11</f>
        <v>132126018</v>
      </c>
      <c r="U11" s="34"/>
    </row>
    <row r="12" ht="15.75" customHeight="1">
      <c r="A12" s="29">
        <v>46128.0</v>
      </c>
      <c r="B12" s="2" t="s">
        <v>664</v>
      </c>
      <c r="C12" s="30">
        <v>46103.0</v>
      </c>
      <c r="D12" s="8">
        <f t="shared" si="1"/>
        <v>2102100.306</v>
      </c>
      <c r="E12" s="15"/>
      <c r="F12" s="8">
        <f t="shared" si="2"/>
        <v>904450</v>
      </c>
      <c r="G12" s="8">
        <f t="shared" si="3"/>
        <v>1197650.306</v>
      </c>
      <c r="H12" s="8">
        <f t="shared" si="4"/>
        <v>89247349.69</v>
      </c>
      <c r="J12" s="5"/>
      <c r="L12" s="33">
        <v>46044.0</v>
      </c>
      <c r="M12" s="34" t="s">
        <v>44</v>
      </c>
      <c r="N12" s="35" t="s">
        <v>665</v>
      </c>
      <c r="O12" s="36"/>
      <c r="P12" s="36">
        <v>6000000.0</v>
      </c>
      <c r="Q12" s="36"/>
      <c r="R12" s="36"/>
      <c r="S12" s="36">
        <f t="shared" si="5"/>
        <v>6000000</v>
      </c>
      <c r="T12" s="36">
        <f t="shared" si="6"/>
        <v>126126018</v>
      </c>
      <c r="U12" s="34"/>
    </row>
    <row r="13" ht="15.75" customHeight="1">
      <c r="A13" s="29">
        <v>46128.0</v>
      </c>
      <c r="B13" s="2" t="s">
        <v>664</v>
      </c>
      <c r="C13" s="30">
        <v>46134.0</v>
      </c>
      <c r="D13" s="8">
        <f t="shared" si="1"/>
        <v>2102100.306</v>
      </c>
      <c r="E13" s="15">
        <f>8396211-D13-D12</f>
        <v>4192010.388</v>
      </c>
      <c r="F13" s="8">
        <f t="shared" si="2"/>
        <v>892473.4969</v>
      </c>
      <c r="G13" s="8">
        <f t="shared" si="3"/>
        <v>5401637.197</v>
      </c>
      <c r="H13" s="8">
        <f t="shared" si="4"/>
        <v>83845712.5</v>
      </c>
      <c r="J13" s="5" t="s">
        <v>56</v>
      </c>
      <c r="L13" s="33">
        <v>46071.0</v>
      </c>
      <c r="M13" s="34" t="s">
        <v>134</v>
      </c>
      <c r="N13" s="35" t="s">
        <v>662</v>
      </c>
      <c r="O13" s="36"/>
      <c r="P13" s="36">
        <v>5000000.0</v>
      </c>
      <c r="Q13" s="36"/>
      <c r="R13" s="36"/>
      <c r="S13" s="36">
        <f t="shared" si="5"/>
        <v>5000000</v>
      </c>
      <c r="T13" s="75">
        <f t="shared" si="6"/>
        <v>121126018</v>
      </c>
      <c r="U13" s="34" t="s">
        <v>666</v>
      </c>
    </row>
    <row r="14" ht="15.75" customHeight="1">
      <c r="A14" s="29">
        <v>46163.0</v>
      </c>
      <c r="B14" s="2" t="s">
        <v>667</v>
      </c>
      <c r="C14" s="30">
        <v>46164.0</v>
      </c>
      <c r="D14" s="8">
        <f t="shared" si="1"/>
        <v>2102100.306</v>
      </c>
      <c r="E14" s="15">
        <f t="shared" ref="E14:E16" si="7">8400000-D14</f>
        <v>6297899.694</v>
      </c>
      <c r="F14" s="8">
        <f t="shared" si="2"/>
        <v>838457.125</v>
      </c>
      <c r="G14" s="8">
        <f t="shared" si="3"/>
        <v>7561542.875</v>
      </c>
      <c r="H14" s="8">
        <f t="shared" si="4"/>
        <v>76284169.62</v>
      </c>
      <c r="J14" s="8">
        <f>+H10</f>
        <v>94500000</v>
      </c>
      <c r="L14" s="33">
        <v>46128.0</v>
      </c>
      <c r="M14" s="34" t="s">
        <v>668</v>
      </c>
      <c r="N14" s="35" t="s">
        <v>664</v>
      </c>
      <c r="O14" s="36"/>
      <c r="P14" s="36">
        <v>8396211.0</v>
      </c>
      <c r="Q14" s="36"/>
      <c r="R14" s="36"/>
      <c r="S14" s="36">
        <f t="shared" si="5"/>
        <v>8396211</v>
      </c>
      <c r="T14" s="75">
        <f t="shared" si="6"/>
        <v>112729807</v>
      </c>
      <c r="U14" s="34" t="s">
        <v>669</v>
      </c>
    </row>
    <row r="15" ht="15.75" customHeight="1">
      <c r="A15" s="29">
        <v>46195.0</v>
      </c>
      <c r="B15" s="2" t="s">
        <v>670</v>
      </c>
      <c r="C15" s="30">
        <v>46195.0</v>
      </c>
      <c r="D15" s="8">
        <f t="shared" si="1"/>
        <v>2102100.306</v>
      </c>
      <c r="E15" s="15">
        <f t="shared" si="7"/>
        <v>6297899.694</v>
      </c>
      <c r="F15" s="8">
        <f t="shared" si="2"/>
        <v>762841.6962</v>
      </c>
      <c r="G15" s="8">
        <f t="shared" si="3"/>
        <v>7637158.304</v>
      </c>
      <c r="H15" s="8">
        <f t="shared" si="4"/>
        <v>68647011.32</v>
      </c>
      <c r="J15" s="5"/>
      <c r="L15" s="33">
        <v>46163.0</v>
      </c>
      <c r="M15" s="34" t="s">
        <v>85</v>
      </c>
      <c r="N15" s="35" t="s">
        <v>667</v>
      </c>
      <c r="O15" s="36"/>
      <c r="P15" s="36">
        <v>8400000.0</v>
      </c>
      <c r="Q15" s="36"/>
      <c r="R15" s="36"/>
      <c r="S15" s="36">
        <f t="shared" si="5"/>
        <v>8400000</v>
      </c>
      <c r="T15" s="75">
        <f t="shared" si="6"/>
        <v>104329807</v>
      </c>
      <c r="U15" s="34" t="s">
        <v>671</v>
      </c>
    </row>
    <row r="16" ht="15.75" customHeight="1">
      <c r="A16" s="29">
        <v>46234.0</v>
      </c>
      <c r="B16" s="2" t="s">
        <v>672</v>
      </c>
      <c r="C16" s="30">
        <v>46225.0</v>
      </c>
      <c r="D16" s="8">
        <f t="shared" si="1"/>
        <v>2102100.306</v>
      </c>
      <c r="E16" s="15">
        <f t="shared" si="7"/>
        <v>6297899.694</v>
      </c>
      <c r="F16" s="8">
        <f t="shared" si="2"/>
        <v>686470.1132</v>
      </c>
      <c r="G16" s="8">
        <f t="shared" si="3"/>
        <v>7713529.887</v>
      </c>
      <c r="H16" s="8">
        <f t="shared" si="4"/>
        <v>60933481.43</v>
      </c>
      <c r="J16" s="5"/>
      <c r="L16" s="33">
        <v>46195.0</v>
      </c>
      <c r="M16" s="34" t="s">
        <v>89</v>
      </c>
      <c r="N16" s="35" t="s">
        <v>670</v>
      </c>
      <c r="O16" s="36"/>
      <c r="P16" s="36">
        <v>8400000.0</v>
      </c>
      <c r="Q16" s="36"/>
      <c r="R16" s="36"/>
      <c r="S16" s="36">
        <f t="shared" si="5"/>
        <v>8400000</v>
      </c>
      <c r="T16" s="36">
        <f t="shared" si="6"/>
        <v>95929807</v>
      </c>
      <c r="U16" s="34"/>
    </row>
    <row r="17" ht="15.75" customHeight="1">
      <c r="A17" s="37"/>
      <c r="B17" s="2"/>
      <c r="C17" s="30">
        <v>46256.0</v>
      </c>
      <c r="D17" s="8">
        <f t="shared" si="1"/>
        <v>2102100.306</v>
      </c>
      <c r="E17" s="15"/>
      <c r="F17" s="8">
        <f t="shared" si="2"/>
        <v>609334.8143</v>
      </c>
      <c r="G17" s="8">
        <f t="shared" si="3"/>
        <v>1492765.492</v>
      </c>
      <c r="H17" s="8">
        <f t="shared" si="4"/>
        <v>59440715.94</v>
      </c>
      <c r="J17" s="5"/>
      <c r="L17" s="33">
        <v>46234.0</v>
      </c>
      <c r="M17" s="34" t="s">
        <v>93</v>
      </c>
      <c r="N17" s="35" t="s">
        <v>672</v>
      </c>
      <c r="O17" s="36"/>
      <c r="P17" s="36">
        <v>8400000.0</v>
      </c>
      <c r="Q17" s="36"/>
      <c r="R17" s="36"/>
      <c r="S17" s="36">
        <f t="shared" si="5"/>
        <v>8400000</v>
      </c>
      <c r="T17" s="36">
        <f t="shared" si="6"/>
        <v>87529807</v>
      </c>
      <c r="U17" s="34"/>
    </row>
    <row r="18" ht="15.75" customHeight="1">
      <c r="A18" s="37"/>
      <c r="B18" s="2"/>
      <c r="C18" s="30">
        <v>46287.0</v>
      </c>
      <c r="D18" s="8">
        <f t="shared" si="1"/>
        <v>2102100.306</v>
      </c>
      <c r="E18" s="15"/>
      <c r="F18" s="8">
        <f t="shared" si="2"/>
        <v>594407.1594</v>
      </c>
      <c r="G18" s="8">
        <f t="shared" si="3"/>
        <v>1507693.147</v>
      </c>
      <c r="H18" s="8">
        <f t="shared" si="4"/>
        <v>57933022.79</v>
      </c>
      <c r="J18" s="5"/>
      <c r="L18" s="25"/>
      <c r="M18" s="38" t="s">
        <v>69</v>
      </c>
      <c r="N18" s="39"/>
      <c r="O18" s="27">
        <f t="shared" ref="O18:S18" si="8">SUM(O11:O17)</f>
        <v>0</v>
      </c>
      <c r="P18" s="27">
        <f t="shared" si="8"/>
        <v>49096211</v>
      </c>
      <c r="Q18" s="27">
        <f t="shared" si="8"/>
        <v>0</v>
      </c>
      <c r="R18" s="27">
        <f t="shared" si="8"/>
        <v>0</v>
      </c>
      <c r="S18" s="27">
        <f t="shared" si="8"/>
        <v>49096211</v>
      </c>
      <c r="T18" s="27">
        <f>T17</f>
        <v>87529807</v>
      </c>
      <c r="U18" s="25"/>
    </row>
    <row r="19" ht="15.75" customHeight="1">
      <c r="A19" s="37"/>
      <c r="B19" s="2"/>
      <c r="C19" s="30">
        <v>46317.0</v>
      </c>
      <c r="D19" s="8">
        <f t="shared" si="1"/>
        <v>2102100.306</v>
      </c>
      <c r="E19" s="15"/>
      <c r="F19" s="8">
        <f t="shared" si="2"/>
        <v>579330.2279</v>
      </c>
      <c r="G19" s="8">
        <f t="shared" si="3"/>
        <v>1522770.078</v>
      </c>
      <c r="H19" s="8">
        <f t="shared" si="4"/>
        <v>56410252.71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46348.0</v>
      </c>
      <c r="D20" s="8">
        <f t="shared" si="1"/>
        <v>2102100.306</v>
      </c>
      <c r="E20" s="15"/>
      <c r="F20" s="8">
        <f t="shared" si="2"/>
        <v>564102.5271</v>
      </c>
      <c r="G20" s="8">
        <f t="shared" si="3"/>
        <v>1537997.779</v>
      </c>
      <c r="H20" s="8">
        <f t="shared" si="4"/>
        <v>54872254.94</v>
      </c>
      <c r="J20" s="5"/>
    </row>
    <row r="21" ht="15.75" customHeight="1">
      <c r="A21" s="37"/>
      <c r="B21" s="2"/>
      <c r="C21" s="30">
        <v>46378.0</v>
      </c>
      <c r="D21" s="8">
        <f t="shared" si="1"/>
        <v>2102100.306</v>
      </c>
      <c r="E21" s="15"/>
      <c r="F21" s="8">
        <f t="shared" si="2"/>
        <v>548722.5494</v>
      </c>
      <c r="G21" s="8">
        <f t="shared" si="3"/>
        <v>1553377.757</v>
      </c>
      <c r="H21" s="8">
        <f t="shared" si="4"/>
        <v>53318877.18</v>
      </c>
      <c r="J21" s="5"/>
    </row>
    <row r="22" ht="15.75" customHeight="1">
      <c r="A22" s="37"/>
      <c r="B22" s="2"/>
      <c r="C22" s="30">
        <v>46409.0</v>
      </c>
      <c r="D22" s="8">
        <f t="shared" si="1"/>
        <v>2102100.306</v>
      </c>
      <c r="E22" s="15"/>
      <c r="F22" s="8">
        <f t="shared" si="2"/>
        <v>533188.7718</v>
      </c>
      <c r="G22" s="8">
        <f t="shared" si="3"/>
        <v>1568911.534</v>
      </c>
      <c r="H22" s="8">
        <f t="shared" si="4"/>
        <v>51749965.64</v>
      </c>
      <c r="J22" s="5"/>
    </row>
    <row r="23" ht="15.75" customHeight="1">
      <c r="A23" s="37"/>
      <c r="B23" s="2"/>
      <c r="C23" s="30">
        <v>46440.0</v>
      </c>
      <c r="D23" s="8">
        <f t="shared" si="1"/>
        <v>2102100.306</v>
      </c>
      <c r="E23" s="46"/>
      <c r="F23" s="8">
        <f t="shared" si="2"/>
        <v>517499.6564</v>
      </c>
      <c r="G23" s="8">
        <f t="shared" si="3"/>
        <v>1584600.65</v>
      </c>
      <c r="H23" s="8">
        <f t="shared" si="4"/>
        <v>50165364.99</v>
      </c>
      <c r="J23" s="5"/>
    </row>
    <row r="24" ht="15.75" customHeight="1">
      <c r="A24" s="37"/>
      <c r="B24" s="2"/>
      <c r="C24" s="30">
        <v>46468.0</v>
      </c>
      <c r="D24" s="8">
        <f t="shared" si="1"/>
        <v>2102100.306</v>
      </c>
      <c r="E24" s="46"/>
      <c r="F24" s="8">
        <f t="shared" si="2"/>
        <v>501653.6499</v>
      </c>
      <c r="G24" s="8">
        <f t="shared" si="3"/>
        <v>1600446.656</v>
      </c>
      <c r="H24" s="8">
        <f t="shared" si="4"/>
        <v>48564918.34</v>
      </c>
      <c r="J24" s="5"/>
    </row>
    <row r="25" ht="15.75" customHeight="1">
      <c r="B25" s="2"/>
      <c r="C25" s="30">
        <v>46499.0</v>
      </c>
      <c r="D25" s="8">
        <f t="shared" si="1"/>
        <v>2102100.306</v>
      </c>
      <c r="E25" s="46"/>
      <c r="F25" s="8">
        <f t="shared" si="2"/>
        <v>485649.1834</v>
      </c>
      <c r="G25" s="8">
        <f t="shared" si="3"/>
        <v>1616451.123</v>
      </c>
      <c r="H25" s="8">
        <f t="shared" si="4"/>
        <v>46948467.21</v>
      </c>
      <c r="J25" s="5"/>
    </row>
    <row r="26" ht="15.75" customHeight="1">
      <c r="B26" s="2"/>
      <c r="C26" s="30">
        <v>46529.0</v>
      </c>
      <c r="D26" s="8">
        <f t="shared" si="1"/>
        <v>2102100.306</v>
      </c>
      <c r="E26" s="46"/>
      <c r="F26" s="8">
        <f t="shared" si="2"/>
        <v>469484.6721</v>
      </c>
      <c r="G26" s="8">
        <f t="shared" si="3"/>
        <v>1632615.634</v>
      </c>
      <c r="H26" s="8">
        <f t="shared" si="4"/>
        <v>45315851.58</v>
      </c>
      <c r="J26" s="5"/>
    </row>
    <row r="27" ht="15.75" customHeight="1">
      <c r="B27" s="2"/>
      <c r="C27" s="30">
        <v>46560.0</v>
      </c>
      <c r="D27" s="8">
        <f t="shared" si="1"/>
        <v>2102100.306</v>
      </c>
      <c r="E27" s="46"/>
      <c r="F27" s="8">
        <f t="shared" si="2"/>
        <v>453158.5158</v>
      </c>
      <c r="G27" s="8">
        <f t="shared" si="3"/>
        <v>1648941.79</v>
      </c>
      <c r="H27" s="8">
        <f t="shared" si="4"/>
        <v>43666909.79</v>
      </c>
      <c r="J27" s="5"/>
    </row>
    <row r="28" ht="15.75" customHeight="1">
      <c r="B28" s="2"/>
      <c r="C28" s="30">
        <v>46590.0</v>
      </c>
      <c r="D28" s="8">
        <f t="shared" si="1"/>
        <v>2102100.306</v>
      </c>
      <c r="E28" s="46"/>
      <c r="F28" s="8">
        <f t="shared" si="2"/>
        <v>436669.0979</v>
      </c>
      <c r="G28" s="8">
        <f t="shared" si="3"/>
        <v>1665431.208</v>
      </c>
      <c r="H28" s="8">
        <f t="shared" si="4"/>
        <v>42001478.58</v>
      </c>
      <c r="J28" s="5"/>
    </row>
    <row r="29" ht="15.75" customHeight="1">
      <c r="B29" s="2"/>
      <c r="C29" s="30">
        <v>46621.0</v>
      </c>
      <c r="D29" s="8">
        <f t="shared" si="1"/>
        <v>2102100.306</v>
      </c>
      <c r="E29" s="46"/>
      <c r="F29" s="8">
        <f t="shared" si="2"/>
        <v>420014.7858</v>
      </c>
      <c r="G29" s="8">
        <f t="shared" si="3"/>
        <v>1682085.52</v>
      </c>
      <c r="H29" s="8">
        <f t="shared" si="4"/>
        <v>40319393.06</v>
      </c>
      <c r="J29" s="5"/>
    </row>
    <row r="30" ht="15.75" customHeight="1">
      <c r="B30" s="2"/>
      <c r="C30" s="30">
        <v>46652.0</v>
      </c>
      <c r="D30" s="8">
        <f t="shared" si="1"/>
        <v>2102100.306</v>
      </c>
      <c r="E30" s="46"/>
      <c r="F30" s="8">
        <f t="shared" si="2"/>
        <v>403193.9306</v>
      </c>
      <c r="G30" s="8">
        <f t="shared" si="3"/>
        <v>1698906.376</v>
      </c>
      <c r="H30" s="8">
        <f t="shared" si="4"/>
        <v>38620486.69</v>
      </c>
      <c r="J30" s="5"/>
    </row>
    <row r="31" ht="15.75" customHeight="1">
      <c r="B31" s="2"/>
      <c r="C31" s="30">
        <v>46682.0</v>
      </c>
      <c r="D31" s="8">
        <f t="shared" si="1"/>
        <v>2102100.306</v>
      </c>
      <c r="E31" s="46"/>
      <c r="F31" s="8">
        <f t="shared" si="2"/>
        <v>386204.8669</v>
      </c>
      <c r="G31" s="8">
        <f t="shared" si="3"/>
        <v>1715895.439</v>
      </c>
      <c r="H31" s="8">
        <f t="shared" si="4"/>
        <v>36904591.25</v>
      </c>
      <c r="J31" s="5"/>
    </row>
    <row r="32" ht="15.75" customHeight="1">
      <c r="B32" s="2"/>
      <c r="C32" s="30">
        <v>46713.0</v>
      </c>
      <c r="D32" s="8">
        <f t="shared" si="1"/>
        <v>2102100.306</v>
      </c>
      <c r="E32" s="46"/>
      <c r="F32" s="8">
        <f t="shared" si="2"/>
        <v>369045.9125</v>
      </c>
      <c r="G32" s="8">
        <f t="shared" si="3"/>
        <v>1733054.394</v>
      </c>
      <c r="H32" s="8">
        <f t="shared" si="4"/>
        <v>35171536.85</v>
      </c>
      <c r="J32" s="5"/>
    </row>
    <row r="33" ht="15.75" customHeight="1">
      <c r="B33" s="2"/>
      <c r="C33" s="30">
        <v>46743.0</v>
      </c>
      <c r="D33" s="8">
        <f t="shared" si="1"/>
        <v>2102100.306</v>
      </c>
      <c r="E33" s="46"/>
      <c r="F33" s="8">
        <f t="shared" si="2"/>
        <v>351715.3685</v>
      </c>
      <c r="G33" s="8">
        <f t="shared" si="3"/>
        <v>1750384.938</v>
      </c>
      <c r="H33" s="8">
        <f t="shared" si="4"/>
        <v>33421151.92</v>
      </c>
      <c r="J33" s="5"/>
    </row>
    <row r="34" ht="15.75" customHeight="1">
      <c r="B34" s="2"/>
      <c r="C34" s="30">
        <v>46774.0</v>
      </c>
      <c r="D34" s="8">
        <f t="shared" si="1"/>
        <v>2102100.306</v>
      </c>
      <c r="E34" s="46"/>
      <c r="F34" s="8">
        <f t="shared" si="2"/>
        <v>334211.5192</v>
      </c>
      <c r="G34" s="8">
        <f t="shared" si="3"/>
        <v>1767888.787</v>
      </c>
      <c r="H34" s="8">
        <f t="shared" si="4"/>
        <v>31653263.13</v>
      </c>
      <c r="J34" s="5"/>
    </row>
    <row r="35" ht="15.75" customHeight="1">
      <c r="B35" s="2"/>
      <c r="C35" s="30">
        <v>46805.0</v>
      </c>
      <c r="D35" s="8">
        <f t="shared" si="1"/>
        <v>2102100.306</v>
      </c>
      <c r="E35" s="46"/>
      <c r="F35" s="8">
        <f t="shared" si="2"/>
        <v>316532.6313</v>
      </c>
      <c r="G35" s="8">
        <f t="shared" si="3"/>
        <v>1785567.675</v>
      </c>
      <c r="H35" s="8">
        <f t="shared" si="4"/>
        <v>29867695.45</v>
      </c>
      <c r="J35" s="5"/>
    </row>
    <row r="36" ht="15.75" customHeight="1">
      <c r="B36" s="2"/>
      <c r="C36" s="30">
        <v>46834.0</v>
      </c>
      <c r="D36" s="8">
        <f t="shared" si="1"/>
        <v>2102100.306</v>
      </c>
      <c r="E36" s="46"/>
      <c r="F36" s="8">
        <f t="shared" si="2"/>
        <v>298676.9545</v>
      </c>
      <c r="G36" s="8">
        <f t="shared" si="3"/>
        <v>1803423.352</v>
      </c>
      <c r="H36" s="8">
        <f t="shared" si="4"/>
        <v>28064272.1</v>
      </c>
      <c r="J36" s="5"/>
    </row>
    <row r="37" ht="15.75" customHeight="1">
      <c r="B37" s="2"/>
      <c r="C37" s="30">
        <v>46865.0</v>
      </c>
      <c r="D37" s="8">
        <f t="shared" si="1"/>
        <v>2102100.306</v>
      </c>
      <c r="E37" s="46"/>
      <c r="F37" s="8">
        <f t="shared" si="2"/>
        <v>280642.721</v>
      </c>
      <c r="G37" s="8">
        <f t="shared" si="3"/>
        <v>1821457.585</v>
      </c>
      <c r="H37" s="8">
        <f t="shared" si="4"/>
        <v>26242814.52</v>
      </c>
      <c r="J37" s="5"/>
    </row>
    <row r="38" ht="15.75" customHeight="1">
      <c r="B38" s="2"/>
      <c r="C38" s="30">
        <v>46895.0</v>
      </c>
      <c r="D38" s="8">
        <f t="shared" si="1"/>
        <v>2102100.306</v>
      </c>
      <c r="E38" s="46"/>
      <c r="F38" s="8">
        <f t="shared" si="2"/>
        <v>262428.1452</v>
      </c>
      <c r="G38" s="8">
        <f t="shared" si="3"/>
        <v>1839672.161</v>
      </c>
      <c r="H38" s="8">
        <f t="shared" si="4"/>
        <v>24403142.36</v>
      </c>
      <c r="J38" s="5"/>
    </row>
    <row r="39" ht="15.75" customHeight="1">
      <c r="B39" s="2"/>
      <c r="C39" s="30">
        <v>46926.0</v>
      </c>
      <c r="D39" s="8">
        <f t="shared" si="1"/>
        <v>2102100.306</v>
      </c>
      <c r="E39" s="46"/>
      <c r="F39" s="8">
        <f t="shared" si="2"/>
        <v>244031.4236</v>
      </c>
      <c r="G39" s="8">
        <f t="shared" si="3"/>
        <v>1858068.883</v>
      </c>
      <c r="H39" s="8">
        <f t="shared" si="4"/>
        <v>22545073.47</v>
      </c>
      <c r="J39" s="5"/>
    </row>
    <row r="40" ht="15.75" customHeight="1">
      <c r="B40" s="2"/>
      <c r="C40" s="30">
        <v>46956.0</v>
      </c>
      <c r="D40" s="8">
        <f t="shared" si="1"/>
        <v>2102100.306</v>
      </c>
      <c r="E40" s="46"/>
      <c r="F40" s="8">
        <f t="shared" si="2"/>
        <v>225450.7347</v>
      </c>
      <c r="G40" s="8">
        <f t="shared" si="3"/>
        <v>1876649.571</v>
      </c>
      <c r="H40" s="8">
        <f t="shared" si="4"/>
        <v>20668423.9</v>
      </c>
      <c r="J40" s="5"/>
    </row>
    <row r="41" ht="15.75" customHeight="1">
      <c r="B41" s="2"/>
      <c r="C41" s="30">
        <v>46987.0</v>
      </c>
      <c r="D41" s="8">
        <f t="shared" si="1"/>
        <v>2102100.306</v>
      </c>
      <c r="E41" s="46"/>
      <c r="F41" s="8">
        <f t="shared" si="2"/>
        <v>206684.239</v>
      </c>
      <c r="G41" s="8">
        <f t="shared" si="3"/>
        <v>1895416.067</v>
      </c>
      <c r="H41" s="8">
        <f t="shared" si="4"/>
        <v>18773007.83</v>
      </c>
      <c r="J41" s="5"/>
    </row>
    <row r="42" ht="15.75" customHeight="1">
      <c r="B42" s="2"/>
      <c r="C42" s="30">
        <v>47018.0</v>
      </c>
      <c r="D42" s="8">
        <f t="shared" si="1"/>
        <v>2102100.306</v>
      </c>
      <c r="E42" s="46"/>
      <c r="F42" s="8">
        <f t="shared" si="2"/>
        <v>187730.0783</v>
      </c>
      <c r="G42" s="8">
        <f t="shared" si="3"/>
        <v>1914370.228</v>
      </c>
      <c r="H42" s="8">
        <f t="shared" si="4"/>
        <v>16858637.61</v>
      </c>
      <c r="J42" s="5"/>
    </row>
    <row r="43" ht="15.75" customHeight="1">
      <c r="B43" s="2"/>
      <c r="C43" s="30">
        <v>47048.0</v>
      </c>
      <c r="D43" s="8">
        <f t="shared" si="1"/>
        <v>2102100.306</v>
      </c>
      <c r="E43" s="46"/>
      <c r="F43" s="8">
        <f t="shared" si="2"/>
        <v>168586.3761</v>
      </c>
      <c r="G43" s="8">
        <f t="shared" si="3"/>
        <v>1933513.93</v>
      </c>
      <c r="H43" s="8">
        <f t="shared" si="4"/>
        <v>14925123.68</v>
      </c>
      <c r="J43" s="5"/>
    </row>
    <row r="44" ht="15.75" customHeight="1">
      <c r="B44" s="2"/>
      <c r="C44" s="30">
        <v>47079.0</v>
      </c>
      <c r="D44" s="8">
        <f t="shared" si="1"/>
        <v>2102100.306</v>
      </c>
      <c r="E44" s="46"/>
      <c r="F44" s="8">
        <f t="shared" si="2"/>
        <v>149251.2368</v>
      </c>
      <c r="G44" s="8">
        <f t="shared" si="3"/>
        <v>1952849.069</v>
      </c>
      <c r="H44" s="8">
        <f t="shared" si="4"/>
        <v>12972274.61</v>
      </c>
      <c r="J44" s="5"/>
    </row>
    <row r="45" ht="15.75" customHeight="1">
      <c r="B45" s="2"/>
      <c r="C45" s="30">
        <v>47109.0</v>
      </c>
      <c r="D45" s="8">
        <f t="shared" si="1"/>
        <v>2102100.306</v>
      </c>
      <c r="E45" s="46"/>
      <c r="F45" s="8">
        <f t="shared" si="2"/>
        <v>129722.7461</v>
      </c>
      <c r="G45" s="8">
        <f t="shared" si="3"/>
        <v>1972377.56</v>
      </c>
      <c r="H45" s="8">
        <f t="shared" si="4"/>
        <v>10999897.05</v>
      </c>
      <c r="J45" s="5"/>
    </row>
    <row r="46" ht="15.75" customHeight="1">
      <c r="B46" s="2"/>
      <c r="C46" s="30">
        <v>47140.0</v>
      </c>
      <c r="D46" s="8">
        <f t="shared" si="1"/>
        <v>2102100.306</v>
      </c>
      <c r="E46" s="46"/>
      <c r="F46" s="8">
        <f t="shared" si="2"/>
        <v>109998.9705</v>
      </c>
      <c r="G46" s="8">
        <f t="shared" si="3"/>
        <v>1992101.336</v>
      </c>
      <c r="H46" s="8">
        <f t="shared" si="4"/>
        <v>9007795.711</v>
      </c>
      <c r="J46" s="5"/>
    </row>
    <row r="47" ht="15.75" customHeight="1">
      <c r="B47" s="2"/>
      <c r="C47" s="30">
        <v>47171.0</v>
      </c>
      <c r="D47" s="8">
        <f t="shared" si="1"/>
        <v>2102100.306</v>
      </c>
      <c r="E47" s="46"/>
      <c r="F47" s="8">
        <f t="shared" si="2"/>
        <v>90077.95711</v>
      </c>
      <c r="G47" s="8">
        <f t="shared" si="3"/>
        <v>2012022.349</v>
      </c>
      <c r="H47" s="8">
        <f t="shared" si="4"/>
        <v>6995773.361</v>
      </c>
      <c r="J47" s="5"/>
    </row>
    <row r="48" ht="15.75" customHeight="1">
      <c r="B48" s="2"/>
      <c r="C48" s="30">
        <v>47199.0</v>
      </c>
      <c r="D48" s="8">
        <f t="shared" si="1"/>
        <v>2102100.306</v>
      </c>
      <c r="E48" s="46"/>
      <c r="F48" s="8">
        <f t="shared" si="2"/>
        <v>69957.73361</v>
      </c>
      <c r="G48" s="8">
        <f t="shared" si="3"/>
        <v>2032142.573</v>
      </c>
      <c r="H48" s="8">
        <f t="shared" si="4"/>
        <v>4963630.789</v>
      </c>
      <c r="J48" s="5"/>
    </row>
    <row r="49" ht="15.75" customHeight="1">
      <c r="B49" s="2"/>
      <c r="C49" s="30">
        <v>47230.0</v>
      </c>
      <c r="D49" s="8">
        <f t="shared" si="1"/>
        <v>2102100.306</v>
      </c>
      <c r="E49" s="46"/>
      <c r="F49" s="8">
        <f t="shared" si="2"/>
        <v>49636.30789</v>
      </c>
      <c r="G49" s="8">
        <f t="shared" si="3"/>
        <v>2052463.998</v>
      </c>
      <c r="H49" s="8">
        <f t="shared" si="4"/>
        <v>2911166.791</v>
      </c>
      <c r="J49" s="5"/>
    </row>
    <row r="50" ht="15.75" customHeight="1">
      <c r="B50" s="2"/>
      <c r="C50" s="30">
        <v>47260.0</v>
      </c>
      <c r="D50" s="8">
        <f t="shared" si="1"/>
        <v>2102100.306</v>
      </c>
      <c r="E50" s="46"/>
      <c r="F50" s="8">
        <f t="shared" si="2"/>
        <v>29111.66791</v>
      </c>
      <c r="G50" s="8">
        <f t="shared" si="3"/>
        <v>2072988.638</v>
      </c>
      <c r="H50" s="8">
        <f t="shared" si="4"/>
        <v>838178.1522</v>
      </c>
      <c r="J50" s="5"/>
    </row>
    <row r="51" ht="15.75" customHeight="1">
      <c r="B51" s="2"/>
      <c r="C51" s="30">
        <v>47291.0</v>
      </c>
      <c r="D51" s="8">
        <f t="shared" si="1"/>
        <v>2102100.306</v>
      </c>
      <c r="E51" s="46"/>
      <c r="F51" s="8">
        <f t="shared" si="2"/>
        <v>8381.781522</v>
      </c>
      <c r="G51" s="8">
        <f t="shared" si="3"/>
        <v>2093718.525</v>
      </c>
      <c r="H51" s="8">
        <f t="shared" si="4"/>
        <v>-1255540.373</v>
      </c>
      <c r="J51" s="5"/>
    </row>
    <row r="52" ht="15.75" customHeight="1">
      <c r="B52" s="2"/>
      <c r="C52" s="30">
        <v>47321.0</v>
      </c>
      <c r="D52" s="8">
        <f t="shared" si="1"/>
        <v>2102100.306</v>
      </c>
      <c r="E52" s="46"/>
      <c r="F52" s="8">
        <f t="shared" si="2"/>
        <v>-12555.40373</v>
      </c>
      <c r="G52" s="8">
        <f t="shared" si="3"/>
        <v>2114655.71</v>
      </c>
      <c r="H52" s="8">
        <f t="shared" si="4"/>
        <v>-3370196.082</v>
      </c>
      <c r="J52" s="5"/>
    </row>
    <row r="53" ht="15.75" customHeight="1">
      <c r="B53" s="2"/>
      <c r="C53" s="30">
        <v>47352.0</v>
      </c>
      <c r="D53" s="8">
        <f t="shared" si="1"/>
        <v>2102100.306</v>
      </c>
      <c r="E53" s="46"/>
      <c r="F53" s="8">
        <f t="shared" si="2"/>
        <v>-33701.96082</v>
      </c>
      <c r="G53" s="8">
        <f t="shared" si="3"/>
        <v>2135802.267</v>
      </c>
      <c r="H53" s="8">
        <f t="shared" si="4"/>
        <v>-5505998.35</v>
      </c>
      <c r="J53" s="5"/>
    </row>
    <row r="54" ht="15.75" customHeight="1">
      <c r="B54" s="2"/>
      <c r="C54" s="30">
        <v>47383.0</v>
      </c>
      <c r="D54" s="8">
        <f t="shared" si="1"/>
        <v>2102100.306</v>
      </c>
      <c r="E54" s="46"/>
      <c r="F54" s="8">
        <f t="shared" si="2"/>
        <v>-55059.9835</v>
      </c>
      <c r="G54" s="8">
        <f t="shared" si="3"/>
        <v>2157160.29</v>
      </c>
      <c r="H54" s="8">
        <f t="shared" si="4"/>
        <v>-7663158.639</v>
      </c>
      <c r="J54" s="5"/>
    </row>
    <row r="55" ht="15.75" customHeight="1">
      <c r="B55" s="2"/>
      <c r="C55" s="30">
        <v>47413.0</v>
      </c>
      <c r="D55" s="8">
        <f t="shared" si="1"/>
        <v>2102100.306</v>
      </c>
      <c r="E55" s="46"/>
      <c r="F55" s="8">
        <f t="shared" si="2"/>
        <v>-76631.58639</v>
      </c>
      <c r="G55" s="8">
        <f t="shared" si="3"/>
        <v>2178731.893</v>
      </c>
      <c r="H55" s="8">
        <f t="shared" si="4"/>
        <v>-9841890.532</v>
      </c>
      <c r="J55" s="5"/>
    </row>
    <row r="56" ht="15.75" customHeight="1">
      <c r="B56" s="2"/>
      <c r="C56" s="30">
        <v>47444.0</v>
      </c>
      <c r="D56" s="8">
        <f t="shared" si="1"/>
        <v>2102100.306</v>
      </c>
      <c r="E56" s="46"/>
      <c r="F56" s="8">
        <f t="shared" si="2"/>
        <v>-98418.90532</v>
      </c>
      <c r="G56" s="8">
        <f t="shared" si="3"/>
        <v>2200519.212</v>
      </c>
      <c r="H56" s="8">
        <f t="shared" si="4"/>
        <v>-12042409.74</v>
      </c>
      <c r="J56" s="5"/>
    </row>
    <row r="57" ht="15.75" customHeight="1">
      <c r="B57" s="2"/>
      <c r="C57" s="30">
        <v>47474.0</v>
      </c>
      <c r="D57" s="8">
        <f t="shared" si="1"/>
        <v>2102100.306</v>
      </c>
      <c r="E57" s="46"/>
      <c r="F57" s="8">
        <f t="shared" si="2"/>
        <v>-120424.0974</v>
      </c>
      <c r="G57" s="8">
        <f t="shared" si="3"/>
        <v>2222524.404</v>
      </c>
      <c r="H57" s="8">
        <f t="shared" si="4"/>
        <v>-14264934.15</v>
      </c>
      <c r="J57" s="5"/>
    </row>
    <row r="58" ht="15.75" customHeight="1">
      <c r="B58" s="2"/>
      <c r="C58" s="30">
        <v>47505.0</v>
      </c>
      <c r="D58" s="8">
        <f t="shared" si="1"/>
        <v>2102100.306</v>
      </c>
      <c r="E58" s="46"/>
      <c r="F58" s="8">
        <f t="shared" si="2"/>
        <v>-142649.3415</v>
      </c>
      <c r="G58" s="8">
        <f t="shared" si="3"/>
        <v>2244749.648</v>
      </c>
      <c r="H58" s="8">
        <f t="shared" si="4"/>
        <v>-16509683.79</v>
      </c>
      <c r="J58" s="5"/>
    </row>
    <row r="59" ht="15.75" customHeight="1">
      <c r="B59" s="2"/>
      <c r="C59" s="30">
        <v>47536.0</v>
      </c>
      <c r="D59" s="8">
        <f t="shared" si="1"/>
        <v>2102100.306</v>
      </c>
      <c r="E59" s="46"/>
      <c r="F59" s="8">
        <f t="shared" si="2"/>
        <v>-165096.8379</v>
      </c>
      <c r="G59" s="8">
        <f t="shared" si="3"/>
        <v>2267197.144</v>
      </c>
      <c r="H59" s="8">
        <f t="shared" si="4"/>
        <v>-18776880.94</v>
      </c>
      <c r="J59" s="5"/>
    </row>
    <row r="60" ht="15.75" customHeight="1">
      <c r="B60" s="2"/>
      <c r="C60" s="30">
        <v>47564.0</v>
      </c>
      <c r="D60" s="8">
        <f t="shared" si="1"/>
        <v>2102100.306</v>
      </c>
      <c r="E60" s="46"/>
      <c r="F60" s="8">
        <f t="shared" si="2"/>
        <v>-187768.8094</v>
      </c>
      <c r="G60" s="8">
        <f t="shared" si="3"/>
        <v>2289869.116</v>
      </c>
      <c r="H60" s="8">
        <f t="shared" si="4"/>
        <v>-21066750.05</v>
      </c>
      <c r="J60" s="5"/>
    </row>
    <row r="61" ht="15.75" customHeight="1">
      <c r="B61" s="2"/>
      <c r="C61" s="30">
        <v>47595.0</v>
      </c>
      <c r="D61" s="8">
        <f t="shared" si="1"/>
        <v>2102100.306</v>
      </c>
      <c r="E61" s="46"/>
      <c r="F61" s="8">
        <f t="shared" si="2"/>
        <v>-210667.5005</v>
      </c>
      <c r="G61" s="8">
        <f t="shared" si="3"/>
        <v>2312767.807</v>
      </c>
      <c r="H61" s="8">
        <f t="shared" si="4"/>
        <v>-23379517.86</v>
      </c>
      <c r="J61" s="5"/>
    </row>
    <row r="62" ht="15.75" customHeight="1">
      <c r="B62" s="2"/>
      <c r="C62" s="30">
        <v>47625.0</v>
      </c>
      <c r="D62" s="8">
        <f t="shared" si="1"/>
        <v>2102100.306</v>
      </c>
      <c r="E62" s="46"/>
      <c r="F62" s="8">
        <f t="shared" si="2"/>
        <v>-233795.1786</v>
      </c>
      <c r="G62" s="8">
        <f t="shared" si="3"/>
        <v>2335895.485</v>
      </c>
      <c r="H62" s="8">
        <f t="shared" si="4"/>
        <v>-25715413.35</v>
      </c>
      <c r="J62" s="5"/>
    </row>
    <row r="63" ht="15.75" customHeight="1">
      <c r="B63" s="2"/>
      <c r="C63" s="30">
        <v>47656.0</v>
      </c>
      <c r="D63" s="8">
        <f t="shared" si="1"/>
        <v>2102100.306</v>
      </c>
      <c r="E63" s="46"/>
      <c r="F63" s="8">
        <f t="shared" si="2"/>
        <v>-257154.1335</v>
      </c>
      <c r="G63" s="8">
        <f t="shared" si="3"/>
        <v>2359254.44</v>
      </c>
      <c r="H63" s="8">
        <f t="shared" si="4"/>
        <v>-28074667.79</v>
      </c>
      <c r="J63" s="5"/>
    </row>
    <row r="64" ht="15.75" customHeight="1">
      <c r="B64" s="2"/>
      <c r="C64" s="30">
        <v>47686.0</v>
      </c>
      <c r="D64" s="8">
        <f t="shared" si="1"/>
        <v>2102100.306</v>
      </c>
      <c r="E64" s="46"/>
      <c r="F64" s="8">
        <f t="shared" si="2"/>
        <v>-280746.6779</v>
      </c>
      <c r="G64" s="8">
        <f t="shared" si="3"/>
        <v>2382846.984</v>
      </c>
      <c r="H64" s="8">
        <f t="shared" si="4"/>
        <v>-30457514.77</v>
      </c>
      <c r="J64" s="5"/>
    </row>
    <row r="65" ht="15.75" customHeight="1">
      <c r="B65" s="2"/>
      <c r="C65" s="30">
        <v>47717.0</v>
      </c>
      <c r="D65" s="8">
        <f t="shared" si="1"/>
        <v>2102100.306</v>
      </c>
      <c r="E65" s="46"/>
      <c r="F65" s="8">
        <f t="shared" si="2"/>
        <v>-304575.1477</v>
      </c>
      <c r="G65" s="8">
        <f t="shared" si="3"/>
        <v>2406675.454</v>
      </c>
      <c r="H65" s="8">
        <f t="shared" si="4"/>
        <v>-32864190.22</v>
      </c>
      <c r="J65" s="5"/>
    </row>
    <row r="66" ht="15.75" customHeight="1">
      <c r="B66" s="2"/>
      <c r="C66" s="30">
        <v>47748.0</v>
      </c>
      <c r="D66" s="8">
        <f t="shared" si="1"/>
        <v>2102100.306</v>
      </c>
      <c r="E66" s="46"/>
      <c r="F66" s="8">
        <f t="shared" si="2"/>
        <v>-328641.9022</v>
      </c>
      <c r="G66" s="8">
        <f t="shared" si="3"/>
        <v>2430742.208</v>
      </c>
      <c r="H66" s="8">
        <f t="shared" si="4"/>
        <v>-35294932.43</v>
      </c>
      <c r="J66" s="5"/>
    </row>
    <row r="67" ht="15.75" customHeight="1">
      <c r="B67" s="2"/>
      <c r="C67" s="30">
        <v>47778.0</v>
      </c>
      <c r="D67" s="8">
        <f t="shared" si="1"/>
        <v>2102100.306</v>
      </c>
      <c r="E67" s="46"/>
      <c r="F67" s="8">
        <f t="shared" si="2"/>
        <v>-352949.3243</v>
      </c>
      <c r="G67" s="8">
        <f t="shared" si="3"/>
        <v>2455049.631</v>
      </c>
      <c r="H67" s="8">
        <f t="shared" si="4"/>
        <v>-37749982.06</v>
      </c>
      <c r="J67" s="5"/>
    </row>
    <row r="68" ht="15.75" customHeight="1">
      <c r="A68" s="47"/>
      <c r="B68" s="48"/>
      <c r="C68" s="49">
        <v>47809.0</v>
      </c>
      <c r="D68" s="50">
        <f t="shared" si="1"/>
        <v>2102100.306</v>
      </c>
      <c r="E68" s="51"/>
      <c r="F68" s="50">
        <f t="shared" si="2"/>
        <v>-377499.8206</v>
      </c>
      <c r="G68" s="50">
        <f t="shared" si="3"/>
        <v>2479600.127</v>
      </c>
      <c r="H68" s="50">
        <f t="shared" si="4"/>
        <v>-40229582.19</v>
      </c>
      <c r="J68" s="5"/>
    </row>
    <row r="69" ht="15.75" customHeight="1">
      <c r="A69" s="47"/>
      <c r="B69" s="48"/>
      <c r="C69" s="49">
        <v>47839.0</v>
      </c>
      <c r="D69" s="50">
        <f t="shared" si="1"/>
        <v>2102100.306</v>
      </c>
      <c r="E69" s="51"/>
      <c r="F69" s="50">
        <f t="shared" si="2"/>
        <v>-402295.8219</v>
      </c>
      <c r="G69" s="50">
        <f t="shared" si="3"/>
        <v>2504396.128</v>
      </c>
      <c r="H69" s="50">
        <f t="shared" si="4"/>
        <v>-42733978.32</v>
      </c>
      <c r="J69" s="5"/>
    </row>
    <row r="70" ht="15.75" customHeight="1">
      <c r="A70" s="47"/>
      <c r="B70" s="48"/>
      <c r="C70" s="49">
        <v>47870.0</v>
      </c>
      <c r="D70" s="50">
        <f t="shared" si="1"/>
        <v>2102100.306</v>
      </c>
      <c r="E70" s="51"/>
      <c r="F70" s="50">
        <f t="shared" si="2"/>
        <v>-427339.7832</v>
      </c>
      <c r="G70" s="50">
        <f t="shared" si="3"/>
        <v>2529440.089</v>
      </c>
      <c r="H70" s="50">
        <f t="shared" si="4"/>
        <v>-45263418.41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661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64" t="s">
        <v>673</v>
      </c>
      <c r="H7" s="5"/>
      <c r="J7" s="5"/>
    </row>
    <row r="8" ht="15.75" customHeight="1">
      <c r="B8" s="2"/>
      <c r="C8" s="1" t="s">
        <v>16</v>
      </c>
      <c r="D8" s="2" t="s">
        <v>674</v>
      </c>
      <c r="H8" s="5"/>
      <c r="I8" s="17"/>
      <c r="J8" s="19"/>
      <c r="K8" s="17"/>
      <c r="L8" s="21" t="s">
        <v>675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45817.0</v>
      </c>
      <c r="B11" s="2" t="s">
        <v>676</v>
      </c>
      <c r="C11" s="30">
        <v>45816.0</v>
      </c>
      <c r="D11" s="8">
        <f t="shared" ref="D11:D70" si="1">$D$6</f>
        <v>1951950.284</v>
      </c>
      <c r="E11" s="15">
        <f>2000000-D11</f>
        <v>48049.71565</v>
      </c>
      <c r="F11" s="8">
        <f t="shared" ref="F11:F70" si="2">+H10*$D$4</f>
        <v>877500</v>
      </c>
      <c r="G11" s="8">
        <f t="shared" ref="G11:G70" si="3">+D11+E11-F11</f>
        <v>1122500</v>
      </c>
      <c r="H11" s="8">
        <f t="shared" ref="H11:H70" si="4">+H10-G11</f>
        <v>86627500</v>
      </c>
      <c r="J11" s="5"/>
      <c r="L11" s="33">
        <v>45755.0</v>
      </c>
      <c r="M11" s="34" t="s">
        <v>44</v>
      </c>
      <c r="N11" s="35" t="s">
        <v>677</v>
      </c>
      <c r="O11" s="36"/>
      <c r="P11" s="36">
        <v>1000000.0</v>
      </c>
      <c r="Q11" s="36"/>
      <c r="R11" s="36"/>
      <c r="S11" s="36">
        <f t="shared" ref="S11:S26" si="5">SUM(O11:R11)</f>
        <v>1000000</v>
      </c>
      <c r="T11" s="36">
        <f t="shared" ref="T11:T26" si="6">T10-S11</f>
        <v>125867017</v>
      </c>
      <c r="U11" s="34"/>
    </row>
    <row r="12" ht="15.75" customHeight="1">
      <c r="A12" s="29">
        <v>45846.0</v>
      </c>
      <c r="B12" s="2" t="s">
        <v>678</v>
      </c>
      <c r="C12" s="30">
        <v>45846.0</v>
      </c>
      <c r="D12" s="8">
        <f t="shared" si="1"/>
        <v>1951950.284</v>
      </c>
      <c r="E12" s="15">
        <f>4000000-D12</f>
        <v>2048049.716</v>
      </c>
      <c r="F12" s="8">
        <f t="shared" si="2"/>
        <v>866275</v>
      </c>
      <c r="G12" s="8">
        <f t="shared" si="3"/>
        <v>3133725</v>
      </c>
      <c r="H12" s="8">
        <f t="shared" si="4"/>
        <v>83493775</v>
      </c>
      <c r="J12" s="5"/>
      <c r="L12" s="33">
        <v>45779.0</v>
      </c>
      <c r="M12" s="34" t="s">
        <v>44</v>
      </c>
      <c r="N12" s="35" t="s">
        <v>679</v>
      </c>
      <c r="O12" s="36"/>
      <c r="P12" s="36">
        <v>9000000.0</v>
      </c>
      <c r="Q12" s="36"/>
      <c r="R12" s="36"/>
      <c r="S12" s="36">
        <f t="shared" si="5"/>
        <v>9000000</v>
      </c>
      <c r="T12" s="36">
        <f t="shared" si="6"/>
        <v>116867017</v>
      </c>
      <c r="U12" s="34"/>
    </row>
    <row r="13" ht="15.75" customHeight="1">
      <c r="A13" s="29">
        <v>45884.0</v>
      </c>
      <c r="B13" s="2" t="s">
        <v>680</v>
      </c>
      <c r="C13" s="30">
        <v>45877.0</v>
      </c>
      <c r="D13" s="8">
        <f t="shared" si="1"/>
        <v>1951950.284</v>
      </c>
      <c r="E13" s="15">
        <f>2200000-D13</f>
        <v>248049.7156</v>
      </c>
      <c r="F13" s="8">
        <f t="shared" si="2"/>
        <v>834937.75</v>
      </c>
      <c r="G13" s="8">
        <f t="shared" si="3"/>
        <v>1365062.25</v>
      </c>
      <c r="H13" s="8">
        <f t="shared" si="4"/>
        <v>82128712.75</v>
      </c>
      <c r="J13" s="5" t="s">
        <v>56</v>
      </c>
      <c r="L13" s="33">
        <v>45817.0</v>
      </c>
      <c r="M13" s="34" t="s">
        <v>73</v>
      </c>
      <c r="N13" s="35" t="s">
        <v>676</v>
      </c>
      <c r="O13" s="36"/>
      <c r="P13" s="36">
        <v>2000000.0</v>
      </c>
      <c r="Q13" s="36"/>
      <c r="R13" s="36"/>
      <c r="S13" s="36">
        <f t="shared" si="5"/>
        <v>2000000</v>
      </c>
      <c r="T13" s="36">
        <f t="shared" si="6"/>
        <v>114867017</v>
      </c>
      <c r="U13" s="34"/>
    </row>
    <row r="14" ht="15.75" customHeight="1">
      <c r="A14" s="29">
        <v>45918.0</v>
      </c>
      <c r="B14" s="2" t="s">
        <v>681</v>
      </c>
      <c r="C14" s="30">
        <v>45908.0</v>
      </c>
      <c r="D14" s="8">
        <f t="shared" si="1"/>
        <v>1951950.284</v>
      </c>
      <c r="E14" s="15">
        <f t="shared" ref="E14:E15" si="7">2000000-D14</f>
        <v>48049.71565</v>
      </c>
      <c r="F14" s="8">
        <f t="shared" si="2"/>
        <v>821287.1275</v>
      </c>
      <c r="G14" s="8">
        <f t="shared" si="3"/>
        <v>1178712.873</v>
      </c>
      <c r="H14" s="8">
        <f t="shared" si="4"/>
        <v>80949999.88</v>
      </c>
      <c r="J14" s="8">
        <f>+H10</f>
        <v>87750000</v>
      </c>
      <c r="L14" s="33">
        <v>45846.0</v>
      </c>
      <c r="M14" s="34" t="s">
        <v>78</v>
      </c>
      <c r="N14" s="35" t="s">
        <v>678</v>
      </c>
      <c r="O14" s="36"/>
      <c r="P14" s="36">
        <v>4000000.0</v>
      </c>
      <c r="Q14" s="36"/>
      <c r="R14" s="36"/>
      <c r="S14" s="36">
        <f t="shared" si="5"/>
        <v>4000000</v>
      </c>
      <c r="T14" s="36">
        <f t="shared" si="6"/>
        <v>110867017</v>
      </c>
      <c r="U14" s="34"/>
    </row>
    <row r="15" ht="15.75" customHeight="1">
      <c r="A15" s="29">
        <v>45952.0</v>
      </c>
      <c r="B15" s="2" t="s">
        <v>682</v>
      </c>
      <c r="C15" s="30">
        <v>45938.0</v>
      </c>
      <c r="D15" s="8">
        <f t="shared" si="1"/>
        <v>1951950.284</v>
      </c>
      <c r="E15" s="15">
        <f t="shared" si="7"/>
        <v>48049.71565</v>
      </c>
      <c r="F15" s="8">
        <f t="shared" si="2"/>
        <v>809499.9988</v>
      </c>
      <c r="G15" s="8">
        <f t="shared" si="3"/>
        <v>1190500.001</v>
      </c>
      <c r="H15" s="8">
        <f t="shared" si="4"/>
        <v>79759499.88</v>
      </c>
      <c r="J15" s="5"/>
      <c r="L15" s="33">
        <v>45884.0</v>
      </c>
      <c r="M15" s="34" t="s">
        <v>83</v>
      </c>
      <c r="N15" s="35" t="s">
        <v>680</v>
      </c>
      <c r="O15" s="36"/>
      <c r="P15" s="36">
        <v>2200000.0</v>
      </c>
      <c r="Q15" s="36"/>
      <c r="R15" s="36"/>
      <c r="S15" s="36">
        <f t="shared" si="5"/>
        <v>2200000</v>
      </c>
      <c r="T15" s="36">
        <f t="shared" si="6"/>
        <v>108667017</v>
      </c>
      <c r="U15" s="34"/>
    </row>
    <row r="16" ht="15.75" customHeight="1">
      <c r="A16" s="29">
        <v>45985.0</v>
      </c>
      <c r="B16" s="2" t="s">
        <v>683</v>
      </c>
      <c r="C16" s="30">
        <v>45969.0</v>
      </c>
      <c r="D16" s="8">
        <f t="shared" si="1"/>
        <v>1951950.284</v>
      </c>
      <c r="E16" s="15">
        <f>2500000-D16</f>
        <v>548049.7156</v>
      </c>
      <c r="F16" s="8">
        <f t="shared" si="2"/>
        <v>797594.9988</v>
      </c>
      <c r="G16" s="8">
        <f t="shared" si="3"/>
        <v>1702405.001</v>
      </c>
      <c r="H16" s="8">
        <f t="shared" si="4"/>
        <v>78057094.88</v>
      </c>
      <c r="J16" s="5"/>
      <c r="L16" s="33">
        <v>45918.0</v>
      </c>
      <c r="M16" s="34" t="s">
        <v>85</v>
      </c>
      <c r="N16" s="35" t="s">
        <v>681</v>
      </c>
      <c r="O16" s="36"/>
      <c r="P16" s="36">
        <v>2000000.0</v>
      </c>
      <c r="Q16" s="36"/>
      <c r="R16" s="36"/>
      <c r="S16" s="36">
        <f t="shared" si="5"/>
        <v>2000000</v>
      </c>
      <c r="T16" s="36">
        <f t="shared" si="6"/>
        <v>106667017</v>
      </c>
      <c r="U16" s="34"/>
    </row>
    <row r="17" ht="15.75" customHeight="1">
      <c r="A17" s="29">
        <v>46019.0</v>
      </c>
      <c r="B17" s="2" t="s">
        <v>684</v>
      </c>
      <c r="C17" s="30">
        <v>45999.0</v>
      </c>
      <c r="D17" s="8">
        <f t="shared" si="1"/>
        <v>1951950.284</v>
      </c>
      <c r="E17" s="15">
        <f t="shared" ref="E17:E18" si="8">2000000-D17</f>
        <v>48049.71565</v>
      </c>
      <c r="F17" s="8">
        <f t="shared" si="2"/>
        <v>780570.9488</v>
      </c>
      <c r="G17" s="8">
        <f t="shared" si="3"/>
        <v>1219429.051</v>
      </c>
      <c r="H17" s="8">
        <f t="shared" si="4"/>
        <v>76837665.82</v>
      </c>
      <c r="J17" s="5"/>
      <c r="L17" s="33">
        <v>45952.0</v>
      </c>
      <c r="M17" s="34" t="s">
        <v>89</v>
      </c>
      <c r="N17" s="35" t="s">
        <v>682</v>
      </c>
      <c r="O17" s="36"/>
      <c r="P17" s="36">
        <v>2000000.0</v>
      </c>
      <c r="Q17" s="36"/>
      <c r="R17" s="36"/>
      <c r="S17" s="36">
        <f t="shared" si="5"/>
        <v>2000000</v>
      </c>
      <c r="T17" s="36">
        <f t="shared" si="6"/>
        <v>104667017</v>
      </c>
      <c r="U17" s="34"/>
    </row>
    <row r="18" ht="15.75" customHeight="1">
      <c r="A18" s="29">
        <v>46037.0</v>
      </c>
      <c r="B18" s="2" t="s">
        <v>685</v>
      </c>
      <c r="C18" s="30">
        <v>46030.0</v>
      </c>
      <c r="D18" s="8">
        <f t="shared" si="1"/>
        <v>1951950.284</v>
      </c>
      <c r="E18" s="15">
        <f t="shared" si="8"/>
        <v>48049.71565</v>
      </c>
      <c r="F18" s="8">
        <f t="shared" si="2"/>
        <v>768376.6582</v>
      </c>
      <c r="G18" s="8">
        <f t="shared" si="3"/>
        <v>1231623.342</v>
      </c>
      <c r="H18" s="8">
        <f t="shared" si="4"/>
        <v>75606042.48</v>
      </c>
      <c r="J18" s="5"/>
      <c r="L18" s="33">
        <v>45985.0</v>
      </c>
      <c r="M18" s="34" t="s">
        <v>93</v>
      </c>
      <c r="N18" s="35" t="s">
        <v>683</v>
      </c>
      <c r="O18" s="36"/>
      <c r="P18" s="36">
        <v>2500000.0</v>
      </c>
      <c r="Q18" s="36"/>
      <c r="R18" s="36"/>
      <c r="S18" s="36">
        <f t="shared" si="5"/>
        <v>2500000</v>
      </c>
      <c r="T18" s="36">
        <f t="shared" si="6"/>
        <v>102167017</v>
      </c>
      <c r="U18" s="34"/>
    </row>
    <row r="19" ht="15.75" customHeight="1">
      <c r="A19" s="29">
        <v>46063.0</v>
      </c>
      <c r="B19" s="2" t="s">
        <v>686</v>
      </c>
      <c r="C19" s="30">
        <v>46061.0</v>
      </c>
      <c r="D19" s="8">
        <f t="shared" si="1"/>
        <v>1951950.284</v>
      </c>
      <c r="E19" s="15">
        <f>2500000-D19</f>
        <v>548049.7156</v>
      </c>
      <c r="F19" s="8">
        <f t="shared" si="2"/>
        <v>756060.4248</v>
      </c>
      <c r="G19" s="8">
        <f t="shared" si="3"/>
        <v>1743939.575</v>
      </c>
      <c r="H19" s="8">
        <f t="shared" si="4"/>
        <v>73862102.91</v>
      </c>
      <c r="I19" s="1"/>
      <c r="J19" s="41"/>
      <c r="K19" s="1"/>
      <c r="L19" s="42">
        <v>46019.0</v>
      </c>
      <c r="M19" s="43" t="s">
        <v>96</v>
      </c>
      <c r="N19" s="44" t="s">
        <v>684</v>
      </c>
      <c r="O19" s="45"/>
      <c r="P19" s="45">
        <v>2000000.0</v>
      </c>
      <c r="Q19" s="45"/>
      <c r="R19" s="45"/>
      <c r="S19" s="45">
        <f t="shared" si="5"/>
        <v>2000000</v>
      </c>
      <c r="T19" s="45">
        <f t="shared" si="6"/>
        <v>100167017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46100.0</v>
      </c>
      <c r="B20" s="2" t="s">
        <v>687</v>
      </c>
      <c r="C20" s="30">
        <v>46089.0</v>
      </c>
      <c r="D20" s="8">
        <f t="shared" si="1"/>
        <v>1951950.284</v>
      </c>
      <c r="E20" s="15">
        <f>2200000-D20</f>
        <v>248049.7156</v>
      </c>
      <c r="F20" s="8">
        <f t="shared" si="2"/>
        <v>738621.0291</v>
      </c>
      <c r="G20" s="8">
        <f t="shared" si="3"/>
        <v>1461378.971</v>
      </c>
      <c r="H20" s="8">
        <f t="shared" si="4"/>
        <v>72400723.94</v>
      </c>
      <c r="J20" s="5"/>
      <c r="L20" s="33">
        <v>46037.0</v>
      </c>
      <c r="M20" s="34" t="s">
        <v>100</v>
      </c>
      <c r="N20" s="35" t="s">
        <v>685</v>
      </c>
      <c r="O20" s="36"/>
      <c r="P20" s="36">
        <v>2000000.0</v>
      </c>
      <c r="Q20" s="36"/>
      <c r="R20" s="36"/>
      <c r="S20" s="36">
        <f t="shared" si="5"/>
        <v>2000000</v>
      </c>
      <c r="T20" s="36">
        <f t="shared" si="6"/>
        <v>98167017</v>
      </c>
      <c r="U20" s="34"/>
    </row>
    <row r="21" ht="15.75" customHeight="1">
      <c r="A21" s="29">
        <v>46134.0</v>
      </c>
      <c r="B21" s="2" t="s">
        <v>688</v>
      </c>
      <c r="C21" s="30">
        <v>46120.0</v>
      </c>
      <c r="D21" s="8">
        <f t="shared" si="1"/>
        <v>1951950.284</v>
      </c>
      <c r="E21" s="15">
        <f>2000000-D21</f>
        <v>48049.71565</v>
      </c>
      <c r="F21" s="8">
        <f t="shared" si="2"/>
        <v>724007.2394</v>
      </c>
      <c r="G21" s="8">
        <f t="shared" si="3"/>
        <v>1275992.761</v>
      </c>
      <c r="H21" s="8">
        <f t="shared" si="4"/>
        <v>71124731.18</v>
      </c>
      <c r="J21" s="5"/>
      <c r="L21" s="33">
        <v>46063.0</v>
      </c>
      <c r="M21" s="34" t="s">
        <v>103</v>
      </c>
      <c r="N21" s="35" t="s">
        <v>686</v>
      </c>
      <c r="O21" s="36"/>
      <c r="P21" s="36">
        <v>2500000.0</v>
      </c>
      <c r="Q21" s="36"/>
      <c r="R21" s="36"/>
      <c r="S21" s="36">
        <f t="shared" si="5"/>
        <v>2500000</v>
      </c>
      <c r="T21" s="36">
        <f t="shared" si="6"/>
        <v>95667017</v>
      </c>
      <c r="U21" s="34"/>
    </row>
    <row r="22" ht="15.75" customHeight="1">
      <c r="A22" s="29">
        <v>46156.0</v>
      </c>
      <c r="B22" s="2" t="s">
        <v>689</v>
      </c>
      <c r="C22" s="30">
        <v>46150.0</v>
      </c>
      <c r="D22" s="8">
        <f t="shared" si="1"/>
        <v>1951950.284</v>
      </c>
      <c r="E22" s="15">
        <f>2500000-D22</f>
        <v>548049.7156</v>
      </c>
      <c r="F22" s="8">
        <f t="shared" si="2"/>
        <v>711247.3118</v>
      </c>
      <c r="G22" s="8">
        <f t="shared" si="3"/>
        <v>1788752.688</v>
      </c>
      <c r="H22" s="8">
        <f t="shared" si="4"/>
        <v>69335978.49</v>
      </c>
      <c r="J22" s="5"/>
      <c r="L22" s="33">
        <v>46100.0</v>
      </c>
      <c r="M22" s="34" t="s">
        <v>107</v>
      </c>
      <c r="N22" s="35" t="s">
        <v>687</v>
      </c>
      <c r="O22" s="36"/>
      <c r="P22" s="36">
        <v>2200000.0</v>
      </c>
      <c r="Q22" s="36"/>
      <c r="R22" s="36"/>
      <c r="S22" s="36">
        <f t="shared" si="5"/>
        <v>2200000</v>
      </c>
      <c r="T22" s="36">
        <f t="shared" si="6"/>
        <v>93467017</v>
      </c>
      <c r="U22" s="34"/>
    </row>
    <row r="23" ht="15.75" customHeight="1">
      <c r="A23" s="29">
        <v>46199.0</v>
      </c>
      <c r="B23" s="2" t="s">
        <v>690</v>
      </c>
      <c r="C23" s="30">
        <v>46181.0</v>
      </c>
      <c r="D23" s="8">
        <f t="shared" si="1"/>
        <v>1951950.284</v>
      </c>
      <c r="E23" s="8">
        <f t="shared" ref="E23:E24" si="9">2000000-D23</f>
        <v>48049.71565</v>
      </c>
      <c r="F23" s="8">
        <f t="shared" si="2"/>
        <v>693359.7849</v>
      </c>
      <c r="G23" s="8">
        <f t="shared" si="3"/>
        <v>1306640.215</v>
      </c>
      <c r="H23" s="8">
        <f t="shared" si="4"/>
        <v>68029338.27</v>
      </c>
      <c r="J23" s="5"/>
      <c r="L23" s="33">
        <v>46134.0</v>
      </c>
      <c r="M23" s="34" t="s">
        <v>112</v>
      </c>
      <c r="N23" s="35" t="s">
        <v>688</v>
      </c>
      <c r="O23" s="36"/>
      <c r="P23" s="36">
        <v>2000000.0</v>
      </c>
      <c r="Q23" s="36"/>
      <c r="R23" s="36"/>
      <c r="S23" s="36">
        <f t="shared" si="5"/>
        <v>2000000</v>
      </c>
      <c r="T23" s="36">
        <f t="shared" si="6"/>
        <v>91467017</v>
      </c>
      <c r="U23" s="34"/>
    </row>
    <row r="24" ht="15.75" customHeight="1">
      <c r="A24" s="29">
        <v>46239.0</v>
      </c>
      <c r="B24" s="2" t="s">
        <v>691</v>
      </c>
      <c r="C24" s="30">
        <v>46211.0</v>
      </c>
      <c r="D24" s="8">
        <f t="shared" si="1"/>
        <v>1951950.284</v>
      </c>
      <c r="E24" s="8">
        <f t="shared" si="9"/>
        <v>48049.71565</v>
      </c>
      <c r="F24" s="8">
        <f t="shared" si="2"/>
        <v>680293.3827</v>
      </c>
      <c r="G24" s="8">
        <f t="shared" si="3"/>
        <v>1319706.617</v>
      </c>
      <c r="H24" s="8">
        <f t="shared" si="4"/>
        <v>66709631.65</v>
      </c>
      <c r="J24" s="5"/>
      <c r="L24" s="33">
        <v>46156.0</v>
      </c>
      <c r="M24" s="34" t="s">
        <v>115</v>
      </c>
      <c r="N24" s="35" t="s">
        <v>689</v>
      </c>
      <c r="O24" s="36"/>
      <c r="P24" s="36">
        <v>2500000.0</v>
      </c>
      <c r="Q24" s="36"/>
      <c r="R24" s="36"/>
      <c r="S24" s="36">
        <f t="shared" si="5"/>
        <v>2500000</v>
      </c>
      <c r="T24" s="36">
        <f t="shared" si="6"/>
        <v>88967017</v>
      </c>
      <c r="U24" s="34"/>
    </row>
    <row r="25" ht="15.75" customHeight="1">
      <c r="B25" s="2"/>
      <c r="C25" s="30">
        <v>46242.0</v>
      </c>
      <c r="D25" s="8">
        <f t="shared" si="1"/>
        <v>1951950.284</v>
      </c>
      <c r="E25" s="46"/>
      <c r="F25" s="8">
        <f t="shared" si="2"/>
        <v>667096.3165</v>
      </c>
      <c r="G25" s="8">
        <f t="shared" si="3"/>
        <v>1284853.968</v>
      </c>
      <c r="H25" s="8">
        <f t="shared" si="4"/>
        <v>65424777.69</v>
      </c>
      <c r="J25" s="5"/>
      <c r="L25" s="33">
        <v>46199.0</v>
      </c>
      <c r="M25" s="34" t="s">
        <v>116</v>
      </c>
      <c r="N25" s="35" t="s">
        <v>690</v>
      </c>
      <c r="O25" s="36"/>
      <c r="P25" s="36">
        <v>2000000.0</v>
      </c>
      <c r="Q25" s="36"/>
      <c r="R25" s="36"/>
      <c r="S25" s="36">
        <f t="shared" si="5"/>
        <v>2000000</v>
      </c>
      <c r="T25" s="36">
        <f t="shared" si="6"/>
        <v>86967017</v>
      </c>
      <c r="U25" s="34"/>
    </row>
    <row r="26" ht="15.75" customHeight="1">
      <c r="B26" s="2"/>
      <c r="C26" s="30">
        <v>46273.0</v>
      </c>
      <c r="D26" s="8">
        <f t="shared" si="1"/>
        <v>1951950.284</v>
      </c>
      <c r="E26" s="46"/>
      <c r="F26" s="8">
        <f t="shared" si="2"/>
        <v>654247.7769</v>
      </c>
      <c r="G26" s="8">
        <f t="shared" si="3"/>
        <v>1297702.507</v>
      </c>
      <c r="H26" s="8">
        <f t="shared" si="4"/>
        <v>64127075.18</v>
      </c>
      <c r="J26" s="5"/>
      <c r="L26" s="40">
        <v>46239.0</v>
      </c>
      <c r="M26" s="34" t="s">
        <v>118</v>
      </c>
      <c r="N26" s="35" t="s">
        <v>691</v>
      </c>
      <c r="O26" s="36"/>
      <c r="P26" s="36"/>
      <c r="Q26" s="36"/>
      <c r="R26" s="36">
        <v>2000000.0</v>
      </c>
      <c r="S26" s="36">
        <f t="shared" si="5"/>
        <v>2000000</v>
      </c>
      <c r="T26" s="36">
        <f t="shared" si="6"/>
        <v>84967017</v>
      </c>
      <c r="U26" s="34" t="s">
        <v>125</v>
      </c>
    </row>
    <row r="27" ht="15.75" customHeight="1">
      <c r="B27" s="2"/>
      <c r="C27" s="30">
        <v>46303.0</v>
      </c>
      <c r="D27" s="8">
        <f t="shared" si="1"/>
        <v>1951950.284</v>
      </c>
      <c r="E27" s="46"/>
      <c r="F27" s="8">
        <f t="shared" si="2"/>
        <v>641270.7518</v>
      </c>
      <c r="G27" s="8">
        <f t="shared" si="3"/>
        <v>1310679.533</v>
      </c>
      <c r="H27" s="8">
        <f t="shared" si="4"/>
        <v>62816395.65</v>
      </c>
      <c r="J27" s="5"/>
      <c r="L27" s="25"/>
      <c r="M27" s="38" t="s">
        <v>69</v>
      </c>
      <c r="N27" s="39"/>
      <c r="O27" s="27">
        <f t="shared" ref="O27:S27" si="10">SUM(O11:O26)</f>
        <v>0</v>
      </c>
      <c r="P27" s="27">
        <f t="shared" si="10"/>
        <v>39900000</v>
      </c>
      <c r="Q27" s="27">
        <f t="shared" si="10"/>
        <v>0</v>
      </c>
      <c r="R27" s="27">
        <f t="shared" si="10"/>
        <v>2000000</v>
      </c>
      <c r="S27" s="27">
        <f t="shared" si="10"/>
        <v>41900000</v>
      </c>
      <c r="T27" s="27">
        <f>T26</f>
        <v>84967017</v>
      </c>
      <c r="U27" s="25"/>
    </row>
    <row r="28" ht="15.75" customHeight="1">
      <c r="B28" s="2"/>
      <c r="C28" s="30">
        <v>46334.0</v>
      </c>
      <c r="D28" s="8">
        <f t="shared" si="1"/>
        <v>1951950.284</v>
      </c>
      <c r="E28" s="46"/>
      <c r="F28" s="8">
        <f t="shared" si="2"/>
        <v>628163.9565</v>
      </c>
      <c r="G28" s="8">
        <f t="shared" si="3"/>
        <v>1323786.328</v>
      </c>
      <c r="H28" s="8">
        <f t="shared" si="4"/>
        <v>61492609.32</v>
      </c>
      <c r="J28" s="5"/>
    </row>
    <row r="29" ht="15.75" customHeight="1">
      <c r="B29" s="2"/>
      <c r="C29" s="30">
        <v>46364.0</v>
      </c>
      <c r="D29" s="8">
        <f t="shared" si="1"/>
        <v>1951950.284</v>
      </c>
      <c r="E29" s="46"/>
      <c r="F29" s="8">
        <f t="shared" si="2"/>
        <v>614926.0932</v>
      </c>
      <c r="G29" s="8">
        <f t="shared" si="3"/>
        <v>1337024.191</v>
      </c>
      <c r="H29" s="8">
        <f t="shared" si="4"/>
        <v>60155585.13</v>
      </c>
      <c r="J29" s="5"/>
    </row>
    <row r="30" ht="15.75" customHeight="1">
      <c r="B30" s="2"/>
      <c r="C30" s="30">
        <v>46395.0</v>
      </c>
      <c r="D30" s="8">
        <f t="shared" si="1"/>
        <v>1951950.284</v>
      </c>
      <c r="E30" s="46"/>
      <c r="F30" s="8">
        <f t="shared" si="2"/>
        <v>601555.8513</v>
      </c>
      <c r="G30" s="8">
        <f t="shared" si="3"/>
        <v>1350394.433</v>
      </c>
      <c r="H30" s="8">
        <f t="shared" si="4"/>
        <v>58805190.69</v>
      </c>
      <c r="J30" s="5"/>
    </row>
    <row r="31" ht="15.75" customHeight="1">
      <c r="B31" s="2"/>
      <c r="C31" s="30">
        <v>46426.0</v>
      </c>
      <c r="D31" s="8">
        <f t="shared" si="1"/>
        <v>1951950.284</v>
      </c>
      <c r="E31" s="46"/>
      <c r="F31" s="8">
        <f t="shared" si="2"/>
        <v>588051.9069</v>
      </c>
      <c r="G31" s="8">
        <f t="shared" si="3"/>
        <v>1363898.377</v>
      </c>
      <c r="H31" s="8">
        <f t="shared" si="4"/>
        <v>57441292.32</v>
      </c>
      <c r="J31" s="5"/>
    </row>
    <row r="32" ht="15.75" customHeight="1">
      <c r="B32" s="2"/>
      <c r="C32" s="30">
        <v>46454.0</v>
      </c>
      <c r="D32" s="8">
        <f t="shared" si="1"/>
        <v>1951950.284</v>
      </c>
      <c r="E32" s="46"/>
      <c r="F32" s="8">
        <f t="shared" si="2"/>
        <v>574412.9232</v>
      </c>
      <c r="G32" s="8">
        <f t="shared" si="3"/>
        <v>1377537.361</v>
      </c>
      <c r="H32" s="8">
        <f t="shared" si="4"/>
        <v>56063754.96</v>
      </c>
      <c r="J32" s="5"/>
    </row>
    <row r="33" ht="15.75" customHeight="1">
      <c r="B33" s="2"/>
      <c r="C33" s="30">
        <v>46485.0</v>
      </c>
      <c r="D33" s="8">
        <f t="shared" si="1"/>
        <v>1951950.284</v>
      </c>
      <c r="E33" s="46"/>
      <c r="F33" s="8">
        <f t="shared" si="2"/>
        <v>560637.5496</v>
      </c>
      <c r="G33" s="8">
        <f t="shared" si="3"/>
        <v>1391312.735</v>
      </c>
      <c r="H33" s="8">
        <f t="shared" si="4"/>
        <v>54672442.22</v>
      </c>
      <c r="J33" s="5"/>
    </row>
    <row r="34" ht="15.75" customHeight="1">
      <c r="B34" s="2"/>
      <c r="C34" s="30">
        <v>46515.0</v>
      </c>
      <c r="D34" s="8">
        <f t="shared" si="1"/>
        <v>1951950.284</v>
      </c>
      <c r="E34" s="46"/>
      <c r="F34" s="8">
        <f t="shared" si="2"/>
        <v>546724.4222</v>
      </c>
      <c r="G34" s="8">
        <f t="shared" si="3"/>
        <v>1405225.862</v>
      </c>
      <c r="H34" s="8">
        <f t="shared" si="4"/>
        <v>53267216.36</v>
      </c>
      <c r="J34" s="5"/>
    </row>
    <row r="35" ht="15.75" customHeight="1">
      <c r="B35" s="2"/>
      <c r="C35" s="30">
        <v>46546.0</v>
      </c>
      <c r="D35" s="8">
        <f t="shared" si="1"/>
        <v>1951950.284</v>
      </c>
      <c r="E35" s="46"/>
      <c r="F35" s="8">
        <f t="shared" si="2"/>
        <v>532672.1636</v>
      </c>
      <c r="G35" s="8">
        <f t="shared" si="3"/>
        <v>1419278.121</v>
      </c>
      <c r="H35" s="8">
        <f t="shared" si="4"/>
        <v>51847938.24</v>
      </c>
      <c r="J35" s="5"/>
    </row>
    <row r="36" ht="15.75" customHeight="1">
      <c r="B36" s="2"/>
      <c r="C36" s="30">
        <v>46576.0</v>
      </c>
      <c r="D36" s="8">
        <f t="shared" si="1"/>
        <v>1951950.284</v>
      </c>
      <c r="E36" s="46"/>
      <c r="F36" s="8">
        <f t="shared" si="2"/>
        <v>518479.3824</v>
      </c>
      <c r="G36" s="8">
        <f t="shared" si="3"/>
        <v>1433470.902</v>
      </c>
      <c r="H36" s="8">
        <f t="shared" si="4"/>
        <v>50414467.34</v>
      </c>
      <c r="J36" s="5"/>
    </row>
    <row r="37" ht="15.75" customHeight="1">
      <c r="B37" s="2"/>
      <c r="C37" s="30">
        <v>46607.0</v>
      </c>
      <c r="D37" s="8">
        <f t="shared" si="1"/>
        <v>1951950.284</v>
      </c>
      <c r="E37" s="46"/>
      <c r="F37" s="8">
        <f t="shared" si="2"/>
        <v>504144.6734</v>
      </c>
      <c r="G37" s="8">
        <f t="shared" si="3"/>
        <v>1447805.611</v>
      </c>
      <c r="H37" s="8">
        <f t="shared" si="4"/>
        <v>48966661.73</v>
      </c>
      <c r="J37" s="5"/>
    </row>
    <row r="38" ht="15.75" customHeight="1">
      <c r="B38" s="2"/>
      <c r="C38" s="30">
        <v>46638.0</v>
      </c>
      <c r="D38" s="8">
        <f t="shared" si="1"/>
        <v>1951950.284</v>
      </c>
      <c r="E38" s="46"/>
      <c r="F38" s="8">
        <f t="shared" si="2"/>
        <v>489666.6173</v>
      </c>
      <c r="G38" s="8">
        <f t="shared" si="3"/>
        <v>1462283.667</v>
      </c>
      <c r="H38" s="8">
        <f t="shared" si="4"/>
        <v>47504378.06</v>
      </c>
      <c r="J38" s="5"/>
    </row>
    <row r="39" ht="15.75" customHeight="1">
      <c r="B39" s="2"/>
      <c r="C39" s="30">
        <v>46668.0</v>
      </c>
      <c r="D39" s="8">
        <f t="shared" si="1"/>
        <v>1951950.284</v>
      </c>
      <c r="E39" s="46"/>
      <c r="F39" s="8">
        <f t="shared" si="2"/>
        <v>475043.7806</v>
      </c>
      <c r="G39" s="8">
        <f t="shared" si="3"/>
        <v>1476906.504</v>
      </c>
      <c r="H39" s="8">
        <f t="shared" si="4"/>
        <v>46027471.55</v>
      </c>
      <c r="J39" s="5"/>
    </row>
    <row r="40" ht="15.75" customHeight="1">
      <c r="B40" s="2"/>
      <c r="C40" s="30">
        <v>46699.0</v>
      </c>
      <c r="D40" s="8">
        <f t="shared" si="1"/>
        <v>1951950.284</v>
      </c>
      <c r="E40" s="46"/>
      <c r="F40" s="8">
        <f t="shared" si="2"/>
        <v>460274.7155</v>
      </c>
      <c r="G40" s="8">
        <f t="shared" si="3"/>
        <v>1491675.569</v>
      </c>
      <c r="H40" s="8">
        <f t="shared" si="4"/>
        <v>44535795.99</v>
      </c>
      <c r="J40" s="5"/>
    </row>
    <row r="41" ht="15.75" customHeight="1">
      <c r="B41" s="2"/>
      <c r="C41" s="30">
        <v>46729.0</v>
      </c>
      <c r="D41" s="8">
        <f t="shared" si="1"/>
        <v>1951950.284</v>
      </c>
      <c r="E41" s="46"/>
      <c r="F41" s="8">
        <f t="shared" si="2"/>
        <v>445357.9599</v>
      </c>
      <c r="G41" s="8">
        <f t="shared" si="3"/>
        <v>1506592.324</v>
      </c>
      <c r="H41" s="8">
        <f t="shared" si="4"/>
        <v>43029203.66</v>
      </c>
      <c r="J41" s="5"/>
    </row>
    <row r="42" ht="15.75" customHeight="1">
      <c r="B42" s="2"/>
      <c r="C42" s="30">
        <v>46760.0</v>
      </c>
      <c r="D42" s="8">
        <f t="shared" si="1"/>
        <v>1951950.284</v>
      </c>
      <c r="E42" s="46"/>
      <c r="F42" s="8">
        <f t="shared" si="2"/>
        <v>430292.0366</v>
      </c>
      <c r="G42" s="8">
        <f t="shared" si="3"/>
        <v>1521658.248</v>
      </c>
      <c r="H42" s="8">
        <f t="shared" si="4"/>
        <v>41507545.41</v>
      </c>
      <c r="J42" s="5"/>
    </row>
    <row r="43" ht="15.75" customHeight="1">
      <c r="B43" s="2"/>
      <c r="C43" s="30">
        <v>46791.0</v>
      </c>
      <c r="D43" s="8">
        <f t="shared" si="1"/>
        <v>1951950.284</v>
      </c>
      <c r="E43" s="46"/>
      <c r="F43" s="8">
        <f t="shared" si="2"/>
        <v>415075.4541</v>
      </c>
      <c r="G43" s="8">
        <f t="shared" si="3"/>
        <v>1536874.83</v>
      </c>
      <c r="H43" s="8">
        <f t="shared" si="4"/>
        <v>39970670.58</v>
      </c>
      <c r="J43" s="5"/>
    </row>
    <row r="44" ht="15.75" customHeight="1">
      <c r="B44" s="2"/>
      <c r="C44" s="30">
        <v>46820.0</v>
      </c>
      <c r="D44" s="8">
        <f t="shared" si="1"/>
        <v>1951950.284</v>
      </c>
      <c r="E44" s="46"/>
      <c r="F44" s="8">
        <f t="shared" si="2"/>
        <v>399706.7058</v>
      </c>
      <c r="G44" s="8">
        <f t="shared" si="3"/>
        <v>1552243.579</v>
      </c>
      <c r="H44" s="8">
        <f t="shared" si="4"/>
        <v>38418427</v>
      </c>
      <c r="J44" s="5"/>
    </row>
    <row r="45" ht="15.75" customHeight="1">
      <c r="B45" s="2"/>
      <c r="C45" s="30">
        <v>46851.0</v>
      </c>
      <c r="D45" s="8">
        <f t="shared" si="1"/>
        <v>1951950.284</v>
      </c>
      <c r="E45" s="46"/>
      <c r="F45" s="8">
        <f t="shared" si="2"/>
        <v>384184.27</v>
      </c>
      <c r="G45" s="8">
        <f t="shared" si="3"/>
        <v>1567766.014</v>
      </c>
      <c r="H45" s="8">
        <f t="shared" si="4"/>
        <v>36850660.99</v>
      </c>
      <c r="J45" s="5"/>
    </row>
    <row r="46" ht="15.75" customHeight="1">
      <c r="B46" s="2"/>
      <c r="C46" s="30">
        <v>46881.0</v>
      </c>
      <c r="D46" s="8">
        <f t="shared" si="1"/>
        <v>1951950.284</v>
      </c>
      <c r="E46" s="46"/>
      <c r="F46" s="8">
        <f t="shared" si="2"/>
        <v>368506.6099</v>
      </c>
      <c r="G46" s="8">
        <f t="shared" si="3"/>
        <v>1583443.674</v>
      </c>
      <c r="H46" s="8">
        <f t="shared" si="4"/>
        <v>35267217.32</v>
      </c>
      <c r="J46" s="5"/>
    </row>
    <row r="47" ht="15.75" customHeight="1">
      <c r="B47" s="2"/>
      <c r="C47" s="30">
        <v>46912.0</v>
      </c>
      <c r="D47" s="8">
        <f t="shared" si="1"/>
        <v>1951950.284</v>
      </c>
      <c r="E47" s="46"/>
      <c r="F47" s="8">
        <f t="shared" si="2"/>
        <v>352672.1732</v>
      </c>
      <c r="G47" s="8">
        <f t="shared" si="3"/>
        <v>1599278.111</v>
      </c>
      <c r="H47" s="8">
        <f t="shared" si="4"/>
        <v>33667939.2</v>
      </c>
      <c r="J47" s="5"/>
    </row>
    <row r="48" ht="15.75" customHeight="1">
      <c r="B48" s="2"/>
      <c r="C48" s="30">
        <v>46942.0</v>
      </c>
      <c r="D48" s="8">
        <f t="shared" si="1"/>
        <v>1951950.284</v>
      </c>
      <c r="E48" s="46"/>
      <c r="F48" s="8">
        <f t="shared" si="2"/>
        <v>336679.392</v>
      </c>
      <c r="G48" s="8">
        <f t="shared" si="3"/>
        <v>1615270.892</v>
      </c>
      <c r="H48" s="8">
        <f t="shared" si="4"/>
        <v>32052668.31</v>
      </c>
      <c r="J48" s="5"/>
    </row>
    <row r="49" ht="15.75" customHeight="1">
      <c r="B49" s="2"/>
      <c r="C49" s="30">
        <v>46973.0</v>
      </c>
      <c r="D49" s="8">
        <f t="shared" si="1"/>
        <v>1951950.284</v>
      </c>
      <c r="E49" s="46"/>
      <c r="F49" s="8">
        <f t="shared" si="2"/>
        <v>320526.6831</v>
      </c>
      <c r="G49" s="8">
        <f t="shared" si="3"/>
        <v>1631423.601</v>
      </c>
      <c r="H49" s="8">
        <f t="shared" si="4"/>
        <v>30421244.71</v>
      </c>
      <c r="J49" s="5"/>
    </row>
    <row r="50" ht="15.75" customHeight="1">
      <c r="B50" s="2"/>
      <c r="C50" s="30">
        <v>47004.0</v>
      </c>
      <c r="D50" s="8">
        <f t="shared" si="1"/>
        <v>1951950.284</v>
      </c>
      <c r="E50" s="46"/>
      <c r="F50" s="8">
        <f t="shared" si="2"/>
        <v>304212.4471</v>
      </c>
      <c r="G50" s="8">
        <f t="shared" si="3"/>
        <v>1647737.837</v>
      </c>
      <c r="H50" s="8">
        <f t="shared" si="4"/>
        <v>28773506.87</v>
      </c>
      <c r="J50" s="5"/>
    </row>
    <row r="51" ht="15.75" customHeight="1">
      <c r="B51" s="2"/>
      <c r="C51" s="30">
        <v>47034.0</v>
      </c>
      <c r="D51" s="8">
        <f t="shared" si="1"/>
        <v>1951950.284</v>
      </c>
      <c r="E51" s="46"/>
      <c r="F51" s="8">
        <f t="shared" si="2"/>
        <v>287735.0687</v>
      </c>
      <c r="G51" s="8">
        <f t="shared" si="3"/>
        <v>1664215.216</v>
      </c>
      <c r="H51" s="8">
        <f t="shared" si="4"/>
        <v>27109291.66</v>
      </c>
      <c r="J51" s="5"/>
    </row>
    <row r="52" ht="15.75" customHeight="1">
      <c r="B52" s="2"/>
      <c r="C52" s="30">
        <v>47065.0</v>
      </c>
      <c r="D52" s="8">
        <f t="shared" si="1"/>
        <v>1951950.284</v>
      </c>
      <c r="E52" s="46"/>
      <c r="F52" s="8">
        <f t="shared" si="2"/>
        <v>271092.9166</v>
      </c>
      <c r="G52" s="8">
        <f t="shared" si="3"/>
        <v>1680857.368</v>
      </c>
      <c r="H52" s="8">
        <f t="shared" si="4"/>
        <v>25428434.29</v>
      </c>
      <c r="J52" s="5"/>
    </row>
    <row r="53" ht="15.75" customHeight="1">
      <c r="B53" s="2"/>
      <c r="C53" s="30">
        <v>47095.0</v>
      </c>
      <c r="D53" s="8">
        <f t="shared" si="1"/>
        <v>1951950.284</v>
      </c>
      <c r="E53" s="46"/>
      <c r="F53" s="8">
        <f t="shared" si="2"/>
        <v>254284.3429</v>
      </c>
      <c r="G53" s="8">
        <f t="shared" si="3"/>
        <v>1697665.941</v>
      </c>
      <c r="H53" s="8">
        <f t="shared" si="4"/>
        <v>23730768.35</v>
      </c>
      <c r="J53" s="5"/>
    </row>
    <row r="54" ht="15.75" customHeight="1">
      <c r="B54" s="2"/>
      <c r="C54" s="30">
        <v>47126.0</v>
      </c>
      <c r="D54" s="8">
        <f t="shared" si="1"/>
        <v>1951950.284</v>
      </c>
      <c r="E54" s="46"/>
      <c r="F54" s="8">
        <f t="shared" si="2"/>
        <v>237307.6835</v>
      </c>
      <c r="G54" s="8">
        <f t="shared" si="3"/>
        <v>1714642.601</v>
      </c>
      <c r="H54" s="8">
        <f t="shared" si="4"/>
        <v>22016125.75</v>
      </c>
      <c r="J54" s="5"/>
    </row>
    <row r="55" ht="15.75" customHeight="1">
      <c r="B55" s="2"/>
      <c r="C55" s="30">
        <v>47157.0</v>
      </c>
      <c r="D55" s="8">
        <f t="shared" si="1"/>
        <v>1951950.284</v>
      </c>
      <c r="E55" s="46"/>
      <c r="F55" s="8">
        <f t="shared" si="2"/>
        <v>220161.2575</v>
      </c>
      <c r="G55" s="8">
        <f t="shared" si="3"/>
        <v>1731789.027</v>
      </c>
      <c r="H55" s="8">
        <f t="shared" si="4"/>
        <v>20284336.72</v>
      </c>
      <c r="J55" s="5"/>
    </row>
    <row r="56" ht="15.75" customHeight="1">
      <c r="B56" s="2"/>
      <c r="C56" s="30">
        <v>47185.0</v>
      </c>
      <c r="D56" s="8">
        <f t="shared" si="1"/>
        <v>1951950.284</v>
      </c>
      <c r="E56" s="46"/>
      <c r="F56" s="8">
        <f t="shared" si="2"/>
        <v>202843.3672</v>
      </c>
      <c r="G56" s="8">
        <f t="shared" si="3"/>
        <v>1749106.917</v>
      </c>
      <c r="H56" s="8">
        <f t="shared" si="4"/>
        <v>18535229.8</v>
      </c>
      <c r="J56" s="5"/>
    </row>
    <row r="57" ht="15.75" customHeight="1">
      <c r="B57" s="2"/>
      <c r="C57" s="30">
        <v>47216.0</v>
      </c>
      <c r="D57" s="8">
        <f t="shared" si="1"/>
        <v>1951950.284</v>
      </c>
      <c r="E57" s="46"/>
      <c r="F57" s="8">
        <f t="shared" si="2"/>
        <v>185352.298</v>
      </c>
      <c r="G57" s="8">
        <f t="shared" si="3"/>
        <v>1766597.986</v>
      </c>
      <c r="H57" s="8">
        <f t="shared" si="4"/>
        <v>16768631.82</v>
      </c>
      <c r="J57" s="5"/>
    </row>
    <row r="58" ht="15.75" customHeight="1">
      <c r="B58" s="2"/>
      <c r="C58" s="30">
        <v>47246.0</v>
      </c>
      <c r="D58" s="8">
        <f t="shared" si="1"/>
        <v>1951950.284</v>
      </c>
      <c r="E58" s="46"/>
      <c r="F58" s="8">
        <f t="shared" si="2"/>
        <v>167686.3182</v>
      </c>
      <c r="G58" s="8">
        <f t="shared" si="3"/>
        <v>1784263.966</v>
      </c>
      <c r="H58" s="8">
        <f t="shared" si="4"/>
        <v>14984367.85</v>
      </c>
      <c r="J58" s="5"/>
    </row>
    <row r="59" ht="15.75" customHeight="1">
      <c r="B59" s="2"/>
      <c r="C59" s="30">
        <v>47277.0</v>
      </c>
      <c r="D59" s="8">
        <f t="shared" si="1"/>
        <v>1951950.284</v>
      </c>
      <c r="E59" s="46"/>
      <c r="F59" s="8">
        <f t="shared" si="2"/>
        <v>149843.6785</v>
      </c>
      <c r="G59" s="8">
        <f t="shared" si="3"/>
        <v>1802106.606</v>
      </c>
      <c r="H59" s="8">
        <f t="shared" si="4"/>
        <v>13182261.25</v>
      </c>
      <c r="J59" s="5"/>
    </row>
    <row r="60" ht="15.75" customHeight="1">
      <c r="B60" s="2"/>
      <c r="C60" s="30">
        <v>47307.0</v>
      </c>
      <c r="D60" s="8">
        <f t="shared" si="1"/>
        <v>1951950.284</v>
      </c>
      <c r="E60" s="46"/>
      <c r="F60" s="8">
        <f t="shared" si="2"/>
        <v>131822.6125</v>
      </c>
      <c r="G60" s="8">
        <f t="shared" si="3"/>
        <v>1820127.672</v>
      </c>
      <c r="H60" s="8">
        <f t="shared" si="4"/>
        <v>11362133.57</v>
      </c>
      <c r="J60" s="5"/>
    </row>
    <row r="61" ht="15.75" customHeight="1">
      <c r="B61" s="2"/>
      <c r="C61" s="30">
        <v>47338.0</v>
      </c>
      <c r="D61" s="8">
        <f t="shared" si="1"/>
        <v>1951950.284</v>
      </c>
      <c r="E61" s="46"/>
      <c r="F61" s="8">
        <f t="shared" si="2"/>
        <v>113621.3357</v>
      </c>
      <c r="G61" s="8">
        <f t="shared" si="3"/>
        <v>1838328.949</v>
      </c>
      <c r="H61" s="8">
        <f t="shared" si="4"/>
        <v>9523804.626</v>
      </c>
      <c r="J61" s="5"/>
    </row>
    <row r="62" ht="15.75" customHeight="1">
      <c r="B62" s="2"/>
      <c r="C62" s="30">
        <v>47369.0</v>
      </c>
      <c r="D62" s="8">
        <f t="shared" si="1"/>
        <v>1951950.284</v>
      </c>
      <c r="E62" s="46"/>
      <c r="F62" s="8">
        <f t="shared" si="2"/>
        <v>95238.04626</v>
      </c>
      <c r="G62" s="8">
        <f t="shared" si="3"/>
        <v>1856712.238</v>
      </c>
      <c r="H62" s="8">
        <f t="shared" si="4"/>
        <v>7667092.388</v>
      </c>
      <c r="J62" s="5"/>
    </row>
    <row r="63" ht="15.75" customHeight="1">
      <c r="B63" s="2"/>
      <c r="C63" s="30">
        <v>47399.0</v>
      </c>
      <c r="D63" s="8">
        <f t="shared" si="1"/>
        <v>1951950.284</v>
      </c>
      <c r="E63" s="46"/>
      <c r="F63" s="8">
        <f t="shared" si="2"/>
        <v>76670.92388</v>
      </c>
      <c r="G63" s="8">
        <f t="shared" si="3"/>
        <v>1875279.36</v>
      </c>
      <c r="H63" s="8">
        <f t="shared" si="4"/>
        <v>5791813.027</v>
      </c>
      <c r="J63" s="5"/>
    </row>
    <row r="64" ht="15.75" customHeight="1">
      <c r="B64" s="2"/>
      <c r="C64" s="30">
        <v>47430.0</v>
      </c>
      <c r="D64" s="8">
        <f t="shared" si="1"/>
        <v>1951950.284</v>
      </c>
      <c r="E64" s="46"/>
      <c r="F64" s="8">
        <f t="shared" si="2"/>
        <v>57918.13027</v>
      </c>
      <c r="G64" s="8">
        <f t="shared" si="3"/>
        <v>1894032.154</v>
      </c>
      <c r="H64" s="8">
        <f t="shared" si="4"/>
        <v>3897780.873</v>
      </c>
      <c r="J64" s="5"/>
    </row>
    <row r="65" ht="15.75" customHeight="1">
      <c r="B65" s="2"/>
      <c r="C65" s="30">
        <v>47460.0</v>
      </c>
      <c r="D65" s="8">
        <f t="shared" si="1"/>
        <v>1951950.284</v>
      </c>
      <c r="E65" s="46"/>
      <c r="F65" s="8">
        <f t="shared" si="2"/>
        <v>38977.80873</v>
      </c>
      <c r="G65" s="8">
        <f t="shared" si="3"/>
        <v>1912972.476</v>
      </c>
      <c r="H65" s="8">
        <f t="shared" si="4"/>
        <v>1984808.397</v>
      </c>
      <c r="J65" s="5"/>
    </row>
    <row r="66" ht="15.75" customHeight="1">
      <c r="B66" s="2"/>
      <c r="C66" s="30">
        <v>47491.0</v>
      </c>
      <c r="D66" s="8">
        <f t="shared" si="1"/>
        <v>1951950.284</v>
      </c>
      <c r="E66" s="46"/>
      <c r="F66" s="8">
        <f t="shared" si="2"/>
        <v>19848.08397</v>
      </c>
      <c r="G66" s="8">
        <f t="shared" si="3"/>
        <v>1932102.2</v>
      </c>
      <c r="H66" s="8">
        <f t="shared" si="4"/>
        <v>52706.19699</v>
      </c>
      <c r="J66" s="5"/>
    </row>
    <row r="67" ht="15.75" customHeight="1">
      <c r="A67" s="47"/>
      <c r="B67" s="48"/>
      <c r="C67" s="49">
        <v>47522.0</v>
      </c>
      <c r="D67" s="50">
        <f t="shared" si="1"/>
        <v>1951950.284</v>
      </c>
      <c r="E67" s="51"/>
      <c r="F67" s="50">
        <f t="shared" si="2"/>
        <v>527.0619699</v>
      </c>
      <c r="G67" s="50">
        <f t="shared" si="3"/>
        <v>1951423.222</v>
      </c>
      <c r="H67" s="50">
        <f t="shared" si="4"/>
        <v>-1898717.025</v>
      </c>
      <c r="J67" s="5"/>
    </row>
    <row r="68" ht="15.75" customHeight="1">
      <c r="A68" s="47"/>
      <c r="B68" s="48"/>
      <c r="C68" s="49">
        <v>47550.0</v>
      </c>
      <c r="D68" s="50">
        <f t="shared" si="1"/>
        <v>1951950.284</v>
      </c>
      <c r="E68" s="51"/>
      <c r="F68" s="50">
        <f t="shared" si="2"/>
        <v>-18987.17025</v>
      </c>
      <c r="G68" s="50">
        <f t="shared" si="3"/>
        <v>1970937.455</v>
      </c>
      <c r="H68" s="50">
        <f t="shared" si="4"/>
        <v>-3869654.48</v>
      </c>
      <c r="J68" s="5"/>
    </row>
    <row r="69" ht="15.75" customHeight="1">
      <c r="A69" s="47"/>
      <c r="B69" s="48"/>
      <c r="C69" s="49">
        <v>47581.0</v>
      </c>
      <c r="D69" s="50">
        <f t="shared" si="1"/>
        <v>1951950.284</v>
      </c>
      <c r="E69" s="51"/>
      <c r="F69" s="50">
        <f t="shared" si="2"/>
        <v>-38696.5448</v>
      </c>
      <c r="G69" s="50">
        <f t="shared" si="3"/>
        <v>1990646.829</v>
      </c>
      <c r="H69" s="50">
        <f t="shared" si="4"/>
        <v>-5860301.309</v>
      </c>
      <c r="J69" s="5"/>
    </row>
    <row r="70" ht="15.75" customHeight="1">
      <c r="A70" s="47"/>
      <c r="B70" s="48"/>
      <c r="C70" s="49">
        <v>47611.0</v>
      </c>
      <c r="D70" s="50">
        <f t="shared" si="1"/>
        <v>1951950.284</v>
      </c>
      <c r="E70" s="51"/>
      <c r="F70" s="50">
        <f t="shared" si="2"/>
        <v>-58603.01309</v>
      </c>
      <c r="G70" s="50">
        <f t="shared" si="3"/>
        <v>2010553.297</v>
      </c>
      <c r="H70" s="50">
        <f t="shared" si="4"/>
        <v>-7870854.607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692</v>
      </c>
    </row>
    <row r="2">
      <c r="A2" s="71" t="s">
        <v>693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1.516482E8</v>
      </c>
      <c r="J4" s="25"/>
    </row>
    <row r="5">
      <c r="A5" s="33">
        <v>45600.0</v>
      </c>
      <c r="B5" s="34" t="s">
        <v>513</v>
      </c>
      <c r="C5" s="35" t="s">
        <v>694</v>
      </c>
      <c r="D5" s="36"/>
      <c r="E5" s="36">
        <v>1.4345E8</v>
      </c>
      <c r="F5" s="36"/>
      <c r="G5" s="36"/>
      <c r="H5" s="36">
        <f>SUM(D5:G5)</f>
        <v>143450000</v>
      </c>
      <c r="I5" s="36">
        <f>I4-H5</f>
        <v>8198200</v>
      </c>
      <c r="J5" s="34"/>
    </row>
    <row r="6">
      <c r="A6" s="25"/>
      <c r="B6" s="38" t="s">
        <v>69</v>
      </c>
      <c r="C6" s="39"/>
      <c r="D6" s="27">
        <f t="shared" ref="D6:H6" si="1">SUM(D5)</f>
        <v>0</v>
      </c>
      <c r="E6" s="27">
        <f t="shared" si="1"/>
        <v>143450000</v>
      </c>
      <c r="F6" s="27">
        <f t="shared" si="1"/>
        <v>0</v>
      </c>
      <c r="G6" s="27">
        <f t="shared" si="1"/>
        <v>0</v>
      </c>
      <c r="H6" s="27">
        <f t="shared" si="1"/>
        <v>143450000</v>
      </c>
      <c r="I6" s="27">
        <f>I5</f>
        <v>8198200</v>
      </c>
      <c r="J6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695</v>
      </c>
    </row>
    <row r="2">
      <c r="A2" s="71" t="s">
        <v>696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9.9528E7</v>
      </c>
      <c r="J4" s="25"/>
    </row>
    <row r="5">
      <c r="A5" s="33">
        <v>45637.0</v>
      </c>
      <c r="B5" s="34" t="s">
        <v>44</v>
      </c>
      <c r="C5" s="35" t="s">
        <v>697</v>
      </c>
      <c r="D5" s="36"/>
      <c r="E5" s="36">
        <v>1000000.0</v>
      </c>
      <c r="F5" s="36"/>
      <c r="G5" s="36"/>
      <c r="H5" s="36">
        <f t="shared" ref="H5:H19" si="1">SUM(D5:G5)</f>
        <v>1000000</v>
      </c>
      <c r="I5" s="36">
        <f t="shared" ref="I5:I19" si="2">I4-H5</f>
        <v>98528000</v>
      </c>
      <c r="J5" s="34"/>
    </row>
    <row r="6">
      <c r="A6" s="33">
        <v>45675.0</v>
      </c>
      <c r="B6" s="34" t="s">
        <v>44</v>
      </c>
      <c r="C6" s="35" t="s">
        <v>698</v>
      </c>
      <c r="D6" s="36"/>
      <c r="E6" s="36">
        <v>1000000.0</v>
      </c>
      <c r="F6" s="36"/>
      <c r="G6" s="36"/>
      <c r="H6" s="36">
        <f t="shared" si="1"/>
        <v>1000000</v>
      </c>
      <c r="I6" s="36">
        <f t="shared" si="2"/>
        <v>97528000</v>
      </c>
      <c r="J6" s="34"/>
    </row>
    <row r="7">
      <c r="A7" s="33">
        <v>45701.0</v>
      </c>
      <c r="B7" s="34" t="s">
        <v>44</v>
      </c>
      <c r="C7" s="35" t="s">
        <v>699</v>
      </c>
      <c r="D7" s="36"/>
      <c r="E7" s="36">
        <v>1000000.0</v>
      </c>
      <c r="F7" s="36"/>
      <c r="G7" s="36"/>
      <c r="H7" s="36">
        <f t="shared" si="1"/>
        <v>1000000</v>
      </c>
      <c r="I7" s="36">
        <f t="shared" si="2"/>
        <v>96528000</v>
      </c>
      <c r="J7" s="34"/>
    </row>
    <row r="8">
      <c r="A8" s="40">
        <v>45714.0</v>
      </c>
      <c r="B8" s="34" t="s">
        <v>44</v>
      </c>
      <c r="C8" s="35" t="s">
        <v>700</v>
      </c>
      <c r="D8" s="36"/>
      <c r="E8" s="36">
        <v>6000000.0</v>
      </c>
      <c r="F8" s="36"/>
      <c r="G8" s="36"/>
      <c r="H8" s="36">
        <f t="shared" si="1"/>
        <v>6000000</v>
      </c>
      <c r="I8" s="36">
        <f t="shared" si="2"/>
        <v>90528000</v>
      </c>
      <c r="J8" s="34" t="s">
        <v>701</v>
      </c>
    </row>
    <row r="9">
      <c r="A9" s="33">
        <v>45714.0</v>
      </c>
      <c r="B9" s="34" t="s">
        <v>73</v>
      </c>
      <c r="C9" s="35" t="s">
        <v>702</v>
      </c>
      <c r="D9" s="36"/>
      <c r="E9" s="36">
        <v>3.0E7</v>
      </c>
      <c r="F9" s="36"/>
      <c r="G9" s="36"/>
      <c r="H9" s="36">
        <f t="shared" si="1"/>
        <v>30000000</v>
      </c>
      <c r="I9" s="36">
        <f t="shared" si="2"/>
        <v>60528000</v>
      </c>
      <c r="J9" s="34"/>
    </row>
    <row r="10">
      <c r="A10" s="33">
        <v>45748.0</v>
      </c>
      <c r="B10" s="34" t="s">
        <v>78</v>
      </c>
      <c r="C10" s="35" t="s">
        <v>703</v>
      </c>
      <c r="D10" s="36"/>
      <c r="E10" s="36">
        <v>5000000.0</v>
      </c>
      <c r="F10" s="36"/>
      <c r="G10" s="36"/>
      <c r="H10" s="36">
        <f t="shared" si="1"/>
        <v>5000000</v>
      </c>
      <c r="I10" s="36">
        <f t="shared" si="2"/>
        <v>55528000</v>
      </c>
      <c r="J10" s="34"/>
    </row>
    <row r="11">
      <c r="A11" s="33">
        <v>45814.0</v>
      </c>
      <c r="B11" s="34" t="s">
        <v>83</v>
      </c>
      <c r="C11" s="35" t="s">
        <v>704</v>
      </c>
      <c r="D11" s="36"/>
      <c r="E11" s="36">
        <v>1000000.0</v>
      </c>
      <c r="F11" s="36"/>
      <c r="G11" s="36"/>
      <c r="H11" s="36">
        <f t="shared" si="1"/>
        <v>1000000</v>
      </c>
      <c r="I11" s="36">
        <f t="shared" si="2"/>
        <v>54528000</v>
      </c>
      <c r="J11" s="34"/>
    </row>
    <row r="12">
      <c r="A12" s="33">
        <v>45840.0</v>
      </c>
      <c r="B12" s="34" t="s">
        <v>85</v>
      </c>
      <c r="C12" s="35" t="s">
        <v>705</v>
      </c>
      <c r="D12" s="36"/>
      <c r="E12" s="36">
        <v>1000000.0</v>
      </c>
      <c r="F12" s="36"/>
      <c r="G12" s="36"/>
      <c r="H12" s="36">
        <f t="shared" si="1"/>
        <v>1000000</v>
      </c>
      <c r="I12" s="36">
        <f t="shared" si="2"/>
        <v>53528000</v>
      </c>
      <c r="J12" s="34"/>
    </row>
    <row r="13">
      <c r="A13" s="33">
        <v>45877.0</v>
      </c>
      <c r="B13" s="34" t="s">
        <v>89</v>
      </c>
      <c r="C13" s="35" t="s">
        <v>706</v>
      </c>
      <c r="D13" s="36"/>
      <c r="E13" s="36">
        <v>1000000.0</v>
      </c>
      <c r="F13" s="36"/>
      <c r="G13" s="36"/>
      <c r="H13" s="36">
        <f t="shared" si="1"/>
        <v>1000000</v>
      </c>
      <c r="I13" s="36">
        <f t="shared" si="2"/>
        <v>52528000</v>
      </c>
      <c r="J13" s="34"/>
    </row>
    <row r="14">
      <c r="A14" s="33">
        <v>45899.0</v>
      </c>
      <c r="B14" s="34" t="s">
        <v>93</v>
      </c>
      <c r="C14" s="35" t="s">
        <v>707</v>
      </c>
      <c r="D14" s="36"/>
      <c r="E14" s="36">
        <v>1000000.0</v>
      </c>
      <c r="F14" s="36"/>
      <c r="G14" s="36"/>
      <c r="H14" s="36">
        <f t="shared" si="1"/>
        <v>1000000</v>
      </c>
      <c r="I14" s="36">
        <f t="shared" si="2"/>
        <v>51528000</v>
      </c>
      <c r="J14" s="34"/>
    </row>
    <row r="15">
      <c r="A15" s="33">
        <v>45959.0</v>
      </c>
      <c r="B15" s="34" t="s">
        <v>96</v>
      </c>
      <c r="C15" s="35" t="s">
        <v>708</v>
      </c>
      <c r="D15" s="36"/>
      <c r="E15" s="36">
        <v>1000000.0</v>
      </c>
      <c r="F15" s="36"/>
      <c r="G15" s="36"/>
      <c r="H15" s="36">
        <f t="shared" si="1"/>
        <v>1000000</v>
      </c>
      <c r="I15" s="36">
        <f t="shared" si="2"/>
        <v>50528000</v>
      </c>
      <c r="J15" s="34"/>
    </row>
    <row r="16">
      <c r="A16" s="33">
        <v>46057.0</v>
      </c>
      <c r="B16" s="34" t="s">
        <v>100</v>
      </c>
      <c r="C16" s="35" t="s">
        <v>709</v>
      </c>
      <c r="D16" s="36"/>
      <c r="E16" s="36">
        <v>1000000.0</v>
      </c>
      <c r="F16" s="36"/>
      <c r="G16" s="36"/>
      <c r="H16" s="36">
        <f t="shared" si="1"/>
        <v>1000000</v>
      </c>
      <c r="I16" s="36">
        <f t="shared" si="2"/>
        <v>49528000</v>
      </c>
      <c r="J16" s="34"/>
    </row>
    <row r="17">
      <c r="A17" s="33">
        <v>46083.0</v>
      </c>
      <c r="B17" s="34" t="s">
        <v>103</v>
      </c>
      <c r="C17" s="35" t="s">
        <v>710</v>
      </c>
      <c r="D17" s="36"/>
      <c r="E17" s="36">
        <v>1000000.0</v>
      </c>
      <c r="F17" s="36"/>
      <c r="G17" s="36"/>
      <c r="H17" s="36">
        <f t="shared" si="1"/>
        <v>1000000</v>
      </c>
      <c r="I17" s="36">
        <f t="shared" si="2"/>
        <v>48528000</v>
      </c>
      <c r="J17" s="34"/>
    </row>
    <row r="18">
      <c r="A18" s="33">
        <v>46120.0</v>
      </c>
      <c r="B18" s="34" t="s">
        <v>107</v>
      </c>
      <c r="C18" s="35" t="s">
        <v>711</v>
      </c>
      <c r="D18" s="36"/>
      <c r="E18" s="36">
        <v>1000000.0</v>
      </c>
      <c r="F18" s="36"/>
      <c r="G18" s="36"/>
      <c r="H18" s="36">
        <f t="shared" si="1"/>
        <v>1000000</v>
      </c>
      <c r="I18" s="36">
        <f t="shared" si="2"/>
        <v>47528000</v>
      </c>
      <c r="J18" s="34"/>
    </row>
    <row r="19">
      <c r="A19" s="33">
        <v>46209.0</v>
      </c>
      <c r="B19" s="34" t="s">
        <v>112</v>
      </c>
      <c r="C19" s="35" t="s">
        <v>712</v>
      </c>
      <c r="D19" s="36"/>
      <c r="E19" s="36">
        <v>1000000.0</v>
      </c>
      <c r="F19" s="36"/>
      <c r="G19" s="36"/>
      <c r="H19" s="36">
        <f t="shared" si="1"/>
        <v>1000000</v>
      </c>
      <c r="I19" s="36">
        <f t="shared" si="2"/>
        <v>46528000</v>
      </c>
      <c r="J19" s="34"/>
    </row>
    <row r="20">
      <c r="A20" s="25"/>
      <c r="B20" s="38" t="s">
        <v>69</v>
      </c>
      <c r="C20" s="39"/>
      <c r="D20" s="27">
        <f t="shared" ref="D20:H20" si="3">SUM(D5:D19)</f>
        <v>0</v>
      </c>
      <c r="E20" s="27">
        <f t="shared" si="3"/>
        <v>53000000</v>
      </c>
      <c r="F20" s="27">
        <f t="shared" si="3"/>
        <v>0</v>
      </c>
      <c r="G20" s="27">
        <f t="shared" si="3"/>
        <v>0</v>
      </c>
      <c r="H20" s="27">
        <f t="shared" si="3"/>
        <v>53000000</v>
      </c>
      <c r="I20" s="27">
        <f>I19</f>
        <v>46528000</v>
      </c>
      <c r="J20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713</v>
      </c>
      <c r="H1" s="57" t="s">
        <v>714</v>
      </c>
      <c r="J1" s="5"/>
    </row>
    <row r="2" ht="15.75" customHeight="1">
      <c r="B2" s="2"/>
      <c r="C2" s="1" t="s">
        <v>6</v>
      </c>
      <c r="D2" s="6">
        <f>+A5*10%</f>
        <v>10556000</v>
      </c>
      <c r="E2" s="7"/>
      <c r="J2" s="5"/>
    </row>
    <row r="3" ht="15.75" customHeight="1">
      <c r="B3" s="2"/>
      <c r="C3" s="1" t="s">
        <v>7</v>
      </c>
      <c r="D3" s="8">
        <f>+A5-D2</f>
        <v>95004000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1.0556E8</v>
      </c>
      <c r="B5" s="2"/>
      <c r="C5" s="1" t="s">
        <v>10</v>
      </c>
      <c r="D5" s="77">
        <v>48.0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2501819.701</v>
      </c>
      <c r="E6" s="12"/>
      <c r="H6" s="5"/>
      <c r="J6" s="5"/>
    </row>
    <row r="7" ht="15.75" customHeight="1">
      <c r="B7" s="2"/>
      <c r="C7" s="1" t="s">
        <v>12</v>
      </c>
      <c r="D7" s="64" t="s">
        <v>715</v>
      </c>
      <c r="H7" s="5"/>
      <c r="J7" s="5"/>
    </row>
    <row r="8" ht="15.75" customHeight="1">
      <c r="B8" s="2"/>
      <c r="C8" s="1" t="s">
        <v>16</v>
      </c>
      <c r="D8" s="2" t="s">
        <v>716</v>
      </c>
      <c r="H8" s="5"/>
      <c r="I8" s="17"/>
      <c r="J8" s="19"/>
      <c r="K8" s="17"/>
      <c r="L8" s="21" t="s">
        <v>717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95004000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1.3735469E8</v>
      </c>
      <c r="U10" s="25"/>
    </row>
    <row r="11" ht="15.75" customHeight="1">
      <c r="A11" s="29">
        <v>45965.0</v>
      </c>
      <c r="B11" s="2" t="s">
        <v>718</v>
      </c>
      <c r="C11" s="30">
        <v>45966.0</v>
      </c>
      <c r="D11" s="8">
        <f t="shared" ref="D11:D70" si="1">$D$6</f>
        <v>2501819.701</v>
      </c>
      <c r="E11" s="15">
        <f>1500001-D11</f>
        <v>-1001818.701</v>
      </c>
      <c r="F11" s="8">
        <f t="shared" ref="F11:F70" si="2">+H10*$D$4</f>
        <v>950040</v>
      </c>
      <c r="G11" s="8">
        <f t="shared" ref="G11:G70" si="3">+D11+E11-F11</f>
        <v>549961</v>
      </c>
      <c r="H11" s="8">
        <f t="shared" ref="H11:H70" si="4">+H10-G11</f>
        <v>94454039</v>
      </c>
      <c r="J11" s="5"/>
      <c r="L11" s="33">
        <v>45875.0</v>
      </c>
      <c r="M11" s="34" t="s">
        <v>44</v>
      </c>
      <c r="N11" s="35" t="s">
        <v>719</v>
      </c>
      <c r="O11" s="36"/>
      <c r="P11" s="36">
        <v>1250002.0</v>
      </c>
      <c r="Q11" s="36"/>
      <c r="R11" s="36"/>
      <c r="S11" s="36">
        <f t="shared" ref="S11:S17" si="5">SUM(O11:R11)</f>
        <v>1250002</v>
      </c>
      <c r="T11" s="36">
        <f t="shared" ref="T11:T17" si="6">T10-S11</f>
        <v>136104688</v>
      </c>
      <c r="U11" s="34"/>
    </row>
    <row r="12" ht="15.75" customHeight="1">
      <c r="A12" s="29">
        <v>46003.0</v>
      </c>
      <c r="B12" s="2" t="s">
        <v>720</v>
      </c>
      <c r="C12" s="30">
        <v>45996.0</v>
      </c>
      <c r="D12" s="8">
        <f t="shared" si="1"/>
        <v>2501819.701</v>
      </c>
      <c r="E12" s="15"/>
      <c r="F12" s="8">
        <f t="shared" si="2"/>
        <v>944540.39</v>
      </c>
      <c r="G12" s="8">
        <f t="shared" si="3"/>
        <v>1557279.311</v>
      </c>
      <c r="H12" s="8">
        <f t="shared" si="4"/>
        <v>92896759.69</v>
      </c>
      <c r="J12" s="5"/>
      <c r="L12" s="33">
        <v>45975.0</v>
      </c>
      <c r="M12" s="34" t="s">
        <v>44</v>
      </c>
      <c r="N12" s="35" t="s">
        <v>721</v>
      </c>
      <c r="O12" s="36"/>
      <c r="P12" s="36">
        <v>9556000.0</v>
      </c>
      <c r="Q12" s="36"/>
      <c r="R12" s="36"/>
      <c r="S12" s="36">
        <f t="shared" si="5"/>
        <v>9556000</v>
      </c>
      <c r="T12" s="36">
        <f t="shared" si="6"/>
        <v>126548688</v>
      </c>
      <c r="U12" s="34"/>
    </row>
    <row r="13" ht="15.75" customHeight="1">
      <c r="A13" s="29">
        <v>46059.0</v>
      </c>
      <c r="B13" s="2" t="s">
        <v>722</v>
      </c>
      <c r="C13" s="30">
        <v>46027.0</v>
      </c>
      <c r="D13" s="8">
        <f t="shared" si="1"/>
        <v>2501819.701</v>
      </c>
      <c r="E13" s="15">
        <f t="shared" ref="E13:E14" si="7">1500001-D13</f>
        <v>-1001818.701</v>
      </c>
      <c r="F13" s="8">
        <f t="shared" si="2"/>
        <v>928967.5969</v>
      </c>
      <c r="G13" s="8">
        <f t="shared" si="3"/>
        <v>571033.4031</v>
      </c>
      <c r="H13" s="8">
        <f t="shared" si="4"/>
        <v>92325726.29</v>
      </c>
      <c r="J13" s="5" t="s">
        <v>56</v>
      </c>
      <c r="L13" s="33">
        <v>45965.0</v>
      </c>
      <c r="M13" s="34" t="s">
        <v>73</v>
      </c>
      <c r="N13" s="35" t="s">
        <v>718</v>
      </c>
      <c r="O13" s="36"/>
      <c r="P13" s="36">
        <v>1500001.0</v>
      </c>
      <c r="Q13" s="36"/>
      <c r="R13" s="36"/>
      <c r="S13" s="36">
        <f t="shared" si="5"/>
        <v>1500001</v>
      </c>
      <c r="T13" s="36">
        <f t="shared" si="6"/>
        <v>125048687</v>
      </c>
      <c r="U13" s="34"/>
    </row>
    <row r="14" ht="15.75" customHeight="1">
      <c r="A14" s="29">
        <v>46134.0</v>
      </c>
      <c r="B14" s="2" t="s">
        <v>723</v>
      </c>
      <c r="C14" s="30">
        <v>46058.0</v>
      </c>
      <c r="D14" s="8">
        <f t="shared" si="1"/>
        <v>2501819.701</v>
      </c>
      <c r="E14" s="15">
        <f t="shared" si="7"/>
        <v>-1001818.701</v>
      </c>
      <c r="F14" s="8">
        <f t="shared" si="2"/>
        <v>923257.2629</v>
      </c>
      <c r="G14" s="8">
        <f t="shared" si="3"/>
        <v>576743.7371</v>
      </c>
      <c r="H14" s="8">
        <f t="shared" si="4"/>
        <v>91748982.55</v>
      </c>
      <c r="J14" s="8">
        <f>+H10</f>
        <v>95004000</v>
      </c>
      <c r="L14" s="33">
        <v>46003.0</v>
      </c>
      <c r="M14" s="34" t="s">
        <v>78</v>
      </c>
      <c r="N14" s="35" t="s">
        <v>720</v>
      </c>
      <c r="O14" s="36"/>
      <c r="P14" s="36">
        <v>1500000.0</v>
      </c>
      <c r="Q14" s="36"/>
      <c r="R14" s="36"/>
      <c r="S14" s="36">
        <f t="shared" si="5"/>
        <v>1500000</v>
      </c>
      <c r="T14" s="36">
        <f t="shared" si="6"/>
        <v>123548687</v>
      </c>
      <c r="U14" s="34"/>
    </row>
    <row r="15" ht="15.75" customHeight="1">
      <c r="A15" s="29">
        <v>46168.0</v>
      </c>
      <c r="B15" s="2" t="s">
        <v>724</v>
      </c>
      <c r="C15" s="30">
        <v>46086.0</v>
      </c>
      <c r="D15" s="8">
        <f t="shared" si="1"/>
        <v>2501819.701</v>
      </c>
      <c r="E15" s="15"/>
      <c r="F15" s="8">
        <f t="shared" si="2"/>
        <v>917489.8255</v>
      </c>
      <c r="G15" s="8">
        <f t="shared" si="3"/>
        <v>1584329.876</v>
      </c>
      <c r="H15" s="8">
        <f t="shared" si="4"/>
        <v>90164652.67</v>
      </c>
      <c r="J15" s="5"/>
      <c r="L15" s="33">
        <v>46059.0</v>
      </c>
      <c r="M15" s="34" t="s">
        <v>83</v>
      </c>
      <c r="N15" s="35" t="s">
        <v>722</v>
      </c>
      <c r="O15" s="36"/>
      <c r="P15" s="36">
        <v>1500001.0</v>
      </c>
      <c r="Q15" s="36"/>
      <c r="R15" s="36"/>
      <c r="S15" s="36">
        <f t="shared" si="5"/>
        <v>1500001</v>
      </c>
      <c r="T15" s="36">
        <f t="shared" si="6"/>
        <v>122048686</v>
      </c>
      <c r="U15" s="34"/>
    </row>
    <row r="16" ht="15.75" customHeight="1">
      <c r="A16" s="37"/>
      <c r="B16" s="2"/>
      <c r="C16" s="30">
        <v>46117.0</v>
      </c>
      <c r="D16" s="8">
        <f t="shared" si="1"/>
        <v>2501819.701</v>
      </c>
      <c r="E16" s="15"/>
      <c r="F16" s="8">
        <f t="shared" si="2"/>
        <v>901646.5267</v>
      </c>
      <c r="G16" s="8">
        <f t="shared" si="3"/>
        <v>1600173.175</v>
      </c>
      <c r="H16" s="8">
        <f t="shared" si="4"/>
        <v>88564479.5</v>
      </c>
      <c r="J16" s="5"/>
      <c r="L16" s="33">
        <v>46134.0</v>
      </c>
      <c r="M16" s="34" t="s">
        <v>85</v>
      </c>
      <c r="N16" s="35" t="s">
        <v>723</v>
      </c>
      <c r="O16" s="36"/>
      <c r="P16" s="36">
        <v>1500001.0</v>
      </c>
      <c r="Q16" s="36"/>
      <c r="R16" s="36"/>
      <c r="S16" s="36">
        <f t="shared" si="5"/>
        <v>1500001</v>
      </c>
      <c r="T16" s="36">
        <f t="shared" si="6"/>
        <v>120548685</v>
      </c>
      <c r="U16" s="34"/>
    </row>
    <row r="17" ht="15.75" customHeight="1">
      <c r="A17" s="37"/>
      <c r="B17" s="2"/>
      <c r="C17" s="30">
        <v>46147.0</v>
      </c>
      <c r="D17" s="8">
        <f t="shared" si="1"/>
        <v>2501819.701</v>
      </c>
      <c r="E17" s="15"/>
      <c r="F17" s="8">
        <f t="shared" si="2"/>
        <v>885644.795</v>
      </c>
      <c r="G17" s="8">
        <f t="shared" si="3"/>
        <v>1616174.906</v>
      </c>
      <c r="H17" s="8">
        <f t="shared" si="4"/>
        <v>86948304.59</v>
      </c>
      <c r="J17" s="5"/>
      <c r="L17" s="33">
        <v>46168.0</v>
      </c>
      <c r="M17" s="34" t="s">
        <v>89</v>
      </c>
      <c r="N17" s="35" t="s">
        <v>724</v>
      </c>
      <c r="O17" s="36"/>
      <c r="P17" s="36">
        <v>1500000.0</v>
      </c>
      <c r="Q17" s="36"/>
      <c r="R17" s="36"/>
      <c r="S17" s="36">
        <f t="shared" si="5"/>
        <v>1500000</v>
      </c>
      <c r="T17" s="36">
        <f t="shared" si="6"/>
        <v>119048685</v>
      </c>
      <c r="U17" s="34"/>
    </row>
    <row r="18" ht="15.75" customHeight="1">
      <c r="A18" s="37"/>
      <c r="B18" s="2"/>
      <c r="C18" s="30">
        <v>46178.0</v>
      </c>
      <c r="D18" s="8">
        <f t="shared" si="1"/>
        <v>2501819.701</v>
      </c>
      <c r="E18" s="15"/>
      <c r="F18" s="8">
        <f t="shared" si="2"/>
        <v>869483.0459</v>
      </c>
      <c r="G18" s="8">
        <f t="shared" si="3"/>
        <v>1632336.655</v>
      </c>
      <c r="H18" s="8">
        <f t="shared" si="4"/>
        <v>85315967.94</v>
      </c>
      <c r="J18" s="5"/>
      <c r="L18" s="25"/>
      <c r="M18" s="38" t="s">
        <v>69</v>
      </c>
      <c r="N18" s="39"/>
      <c r="O18" s="27">
        <f t="shared" ref="O18:S18" si="8">SUM(O11:O17)</f>
        <v>0</v>
      </c>
      <c r="P18" s="27">
        <f t="shared" si="8"/>
        <v>18306005</v>
      </c>
      <c r="Q18" s="27">
        <f t="shared" si="8"/>
        <v>0</v>
      </c>
      <c r="R18" s="27">
        <f t="shared" si="8"/>
        <v>0</v>
      </c>
      <c r="S18" s="27">
        <f t="shared" si="8"/>
        <v>18306005</v>
      </c>
      <c r="T18" s="27">
        <f>T17</f>
        <v>119048685</v>
      </c>
      <c r="U18" s="25"/>
    </row>
    <row r="19" ht="15.75" customHeight="1">
      <c r="A19" s="37"/>
      <c r="B19" s="2"/>
      <c r="C19" s="30">
        <v>46208.0</v>
      </c>
      <c r="D19" s="8">
        <f t="shared" si="1"/>
        <v>2501819.701</v>
      </c>
      <c r="E19" s="15"/>
      <c r="F19" s="8">
        <f t="shared" si="2"/>
        <v>853159.6794</v>
      </c>
      <c r="G19" s="8">
        <f t="shared" si="3"/>
        <v>1648660.022</v>
      </c>
      <c r="H19" s="8">
        <f t="shared" si="4"/>
        <v>83667307.91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46239.0</v>
      </c>
      <c r="D20" s="8">
        <f t="shared" si="1"/>
        <v>2501819.701</v>
      </c>
      <c r="E20" s="15"/>
      <c r="F20" s="8">
        <f t="shared" si="2"/>
        <v>836673.0791</v>
      </c>
      <c r="G20" s="8">
        <f t="shared" si="3"/>
        <v>1665146.622</v>
      </c>
      <c r="H20" s="8">
        <f t="shared" si="4"/>
        <v>82002161.29</v>
      </c>
      <c r="J20" s="5"/>
    </row>
    <row r="21" ht="15.75" customHeight="1">
      <c r="A21" s="37"/>
      <c r="B21" s="2"/>
      <c r="C21" s="30">
        <v>46270.0</v>
      </c>
      <c r="D21" s="8">
        <f t="shared" si="1"/>
        <v>2501819.701</v>
      </c>
      <c r="E21" s="15"/>
      <c r="F21" s="8">
        <f t="shared" si="2"/>
        <v>820021.6129</v>
      </c>
      <c r="G21" s="8">
        <f t="shared" si="3"/>
        <v>1681798.088</v>
      </c>
      <c r="H21" s="8">
        <f t="shared" si="4"/>
        <v>80320363.2</v>
      </c>
      <c r="J21" s="5"/>
    </row>
    <row r="22" ht="15.75" customHeight="1">
      <c r="A22" s="37"/>
      <c r="B22" s="2"/>
      <c r="C22" s="30">
        <v>46300.0</v>
      </c>
      <c r="D22" s="8">
        <f t="shared" si="1"/>
        <v>2501819.701</v>
      </c>
      <c r="E22" s="15"/>
      <c r="F22" s="8">
        <f t="shared" si="2"/>
        <v>803203.632</v>
      </c>
      <c r="G22" s="8">
        <f t="shared" si="3"/>
        <v>1698616.069</v>
      </c>
      <c r="H22" s="8">
        <f t="shared" si="4"/>
        <v>78621747.13</v>
      </c>
      <c r="J22" s="5"/>
    </row>
    <row r="23" ht="15.75" customHeight="1">
      <c r="A23" s="37"/>
      <c r="B23" s="2"/>
      <c r="C23" s="30">
        <v>46331.0</v>
      </c>
      <c r="D23" s="8">
        <f t="shared" si="1"/>
        <v>2501819.701</v>
      </c>
      <c r="E23" s="46"/>
      <c r="F23" s="8">
        <f t="shared" si="2"/>
        <v>786217.4713</v>
      </c>
      <c r="G23" s="8">
        <f t="shared" si="3"/>
        <v>1715602.23</v>
      </c>
      <c r="H23" s="8">
        <f t="shared" si="4"/>
        <v>76906144.9</v>
      </c>
      <c r="J23" s="5"/>
    </row>
    <row r="24" ht="15.75" customHeight="1">
      <c r="A24" s="37"/>
      <c r="B24" s="2"/>
      <c r="C24" s="30">
        <v>46361.0</v>
      </c>
      <c r="D24" s="8">
        <f t="shared" si="1"/>
        <v>2501819.701</v>
      </c>
      <c r="E24" s="46"/>
      <c r="F24" s="8">
        <f t="shared" si="2"/>
        <v>769061.449</v>
      </c>
      <c r="G24" s="8">
        <f t="shared" si="3"/>
        <v>1732758.252</v>
      </c>
      <c r="H24" s="8">
        <f t="shared" si="4"/>
        <v>75173386.65</v>
      </c>
      <c r="J24" s="5"/>
    </row>
    <row r="25" ht="15.75" customHeight="1">
      <c r="B25" s="2"/>
      <c r="C25" s="30">
        <v>46392.0</v>
      </c>
      <c r="D25" s="8">
        <f t="shared" si="1"/>
        <v>2501819.701</v>
      </c>
      <c r="E25" s="46"/>
      <c r="F25" s="8">
        <f t="shared" si="2"/>
        <v>751733.8665</v>
      </c>
      <c r="G25" s="8">
        <f t="shared" si="3"/>
        <v>1750085.835</v>
      </c>
      <c r="H25" s="8">
        <f t="shared" si="4"/>
        <v>73423300.82</v>
      </c>
      <c r="J25" s="5"/>
    </row>
    <row r="26" ht="15.75" customHeight="1">
      <c r="B26" s="2"/>
      <c r="C26" s="30">
        <v>46423.0</v>
      </c>
      <c r="D26" s="8">
        <f t="shared" si="1"/>
        <v>2501819.701</v>
      </c>
      <c r="E26" s="46"/>
      <c r="F26" s="8">
        <f t="shared" si="2"/>
        <v>734233.0082</v>
      </c>
      <c r="G26" s="8">
        <f t="shared" si="3"/>
        <v>1767586.693</v>
      </c>
      <c r="H26" s="8">
        <f t="shared" si="4"/>
        <v>71655714.12</v>
      </c>
      <c r="J26" s="5"/>
    </row>
    <row r="27" ht="15.75" customHeight="1">
      <c r="B27" s="2"/>
      <c r="C27" s="30">
        <v>46451.0</v>
      </c>
      <c r="D27" s="8">
        <f t="shared" si="1"/>
        <v>2501819.701</v>
      </c>
      <c r="E27" s="46"/>
      <c r="F27" s="8">
        <f t="shared" si="2"/>
        <v>716557.1412</v>
      </c>
      <c r="G27" s="8">
        <f t="shared" si="3"/>
        <v>1785262.56</v>
      </c>
      <c r="H27" s="8">
        <f t="shared" si="4"/>
        <v>69870451.56</v>
      </c>
      <c r="J27" s="5"/>
    </row>
    <row r="28" ht="15.75" customHeight="1">
      <c r="B28" s="2"/>
      <c r="C28" s="30">
        <v>46482.0</v>
      </c>
      <c r="D28" s="8">
        <f t="shared" si="1"/>
        <v>2501819.701</v>
      </c>
      <c r="E28" s="46"/>
      <c r="F28" s="8">
        <f t="shared" si="2"/>
        <v>698704.5156</v>
      </c>
      <c r="G28" s="8">
        <f t="shared" si="3"/>
        <v>1803115.186</v>
      </c>
      <c r="H28" s="8">
        <f t="shared" si="4"/>
        <v>68067336.38</v>
      </c>
      <c r="J28" s="5"/>
    </row>
    <row r="29" ht="15.75" customHeight="1">
      <c r="B29" s="2"/>
      <c r="C29" s="30">
        <v>46512.0</v>
      </c>
      <c r="D29" s="8">
        <f t="shared" si="1"/>
        <v>2501819.701</v>
      </c>
      <c r="E29" s="46"/>
      <c r="F29" s="8">
        <f t="shared" si="2"/>
        <v>680673.3638</v>
      </c>
      <c r="G29" s="8">
        <f t="shared" si="3"/>
        <v>1821146.338</v>
      </c>
      <c r="H29" s="8">
        <f t="shared" si="4"/>
        <v>66246190.04</v>
      </c>
      <c r="J29" s="5"/>
    </row>
    <row r="30" ht="15.75" customHeight="1">
      <c r="B30" s="2"/>
      <c r="C30" s="30">
        <v>46543.0</v>
      </c>
      <c r="D30" s="8">
        <f t="shared" si="1"/>
        <v>2501819.701</v>
      </c>
      <c r="E30" s="46"/>
      <c r="F30" s="8">
        <f t="shared" si="2"/>
        <v>662461.9004</v>
      </c>
      <c r="G30" s="8">
        <f t="shared" si="3"/>
        <v>1839357.801</v>
      </c>
      <c r="H30" s="8">
        <f t="shared" si="4"/>
        <v>64406832.24</v>
      </c>
      <c r="J30" s="5"/>
    </row>
    <row r="31" ht="15.75" customHeight="1">
      <c r="B31" s="2"/>
      <c r="C31" s="30">
        <v>46573.0</v>
      </c>
      <c r="D31" s="8">
        <f t="shared" si="1"/>
        <v>2501819.701</v>
      </c>
      <c r="E31" s="46"/>
      <c r="F31" s="8">
        <f t="shared" si="2"/>
        <v>644068.3224</v>
      </c>
      <c r="G31" s="8">
        <f t="shared" si="3"/>
        <v>1857751.379</v>
      </c>
      <c r="H31" s="8">
        <f t="shared" si="4"/>
        <v>62549080.86</v>
      </c>
      <c r="J31" s="5"/>
    </row>
    <row r="32" ht="15.75" customHeight="1">
      <c r="B32" s="2"/>
      <c r="C32" s="30">
        <v>46604.0</v>
      </c>
      <c r="D32" s="8">
        <f t="shared" si="1"/>
        <v>2501819.701</v>
      </c>
      <c r="E32" s="46"/>
      <c r="F32" s="8">
        <f t="shared" si="2"/>
        <v>625490.8086</v>
      </c>
      <c r="G32" s="8">
        <f t="shared" si="3"/>
        <v>1876328.893</v>
      </c>
      <c r="H32" s="8">
        <f t="shared" si="4"/>
        <v>60672751.97</v>
      </c>
      <c r="J32" s="5"/>
    </row>
    <row r="33" ht="15.75" customHeight="1">
      <c r="B33" s="2"/>
      <c r="C33" s="30">
        <v>46635.0</v>
      </c>
      <c r="D33" s="8">
        <f t="shared" si="1"/>
        <v>2501819.701</v>
      </c>
      <c r="E33" s="46"/>
      <c r="F33" s="8">
        <f t="shared" si="2"/>
        <v>606727.5197</v>
      </c>
      <c r="G33" s="8">
        <f t="shared" si="3"/>
        <v>1895092.182</v>
      </c>
      <c r="H33" s="8">
        <f t="shared" si="4"/>
        <v>58777659.79</v>
      </c>
      <c r="J33" s="5"/>
    </row>
    <row r="34" ht="15.75" customHeight="1">
      <c r="B34" s="2"/>
      <c r="C34" s="30">
        <v>46665.0</v>
      </c>
      <c r="D34" s="8">
        <f t="shared" si="1"/>
        <v>2501819.701</v>
      </c>
      <c r="E34" s="46"/>
      <c r="F34" s="8">
        <f t="shared" si="2"/>
        <v>587776.5979</v>
      </c>
      <c r="G34" s="8">
        <f t="shared" si="3"/>
        <v>1914043.104</v>
      </c>
      <c r="H34" s="8">
        <f t="shared" si="4"/>
        <v>56863616.68</v>
      </c>
      <c r="J34" s="5"/>
    </row>
    <row r="35" ht="15.75" customHeight="1">
      <c r="B35" s="2"/>
      <c r="C35" s="30">
        <v>46696.0</v>
      </c>
      <c r="D35" s="8">
        <f t="shared" si="1"/>
        <v>2501819.701</v>
      </c>
      <c r="E35" s="46"/>
      <c r="F35" s="8">
        <f t="shared" si="2"/>
        <v>568636.1668</v>
      </c>
      <c r="G35" s="8">
        <f t="shared" si="3"/>
        <v>1933183.535</v>
      </c>
      <c r="H35" s="8">
        <f t="shared" si="4"/>
        <v>54930433.15</v>
      </c>
      <c r="J35" s="5"/>
    </row>
    <row r="36" ht="15.75" customHeight="1">
      <c r="B36" s="2"/>
      <c r="C36" s="30">
        <v>46726.0</v>
      </c>
      <c r="D36" s="8">
        <f t="shared" si="1"/>
        <v>2501819.701</v>
      </c>
      <c r="E36" s="46"/>
      <c r="F36" s="8">
        <f t="shared" si="2"/>
        <v>549304.3315</v>
      </c>
      <c r="G36" s="8">
        <f t="shared" si="3"/>
        <v>1952515.37</v>
      </c>
      <c r="H36" s="8">
        <f t="shared" si="4"/>
        <v>52977917.78</v>
      </c>
      <c r="J36" s="5"/>
    </row>
    <row r="37" ht="15.75" customHeight="1">
      <c r="B37" s="2"/>
      <c r="C37" s="30">
        <v>46757.0</v>
      </c>
      <c r="D37" s="8">
        <f t="shared" si="1"/>
        <v>2501819.701</v>
      </c>
      <c r="E37" s="46"/>
      <c r="F37" s="8">
        <f t="shared" si="2"/>
        <v>529779.1778</v>
      </c>
      <c r="G37" s="8">
        <f t="shared" si="3"/>
        <v>1972040.524</v>
      </c>
      <c r="H37" s="8">
        <f t="shared" si="4"/>
        <v>51005877.25</v>
      </c>
      <c r="J37" s="5"/>
    </row>
    <row r="38" ht="15.75" customHeight="1">
      <c r="B38" s="2"/>
      <c r="C38" s="30">
        <v>46788.0</v>
      </c>
      <c r="D38" s="8">
        <f t="shared" si="1"/>
        <v>2501819.701</v>
      </c>
      <c r="E38" s="46"/>
      <c r="F38" s="8">
        <f t="shared" si="2"/>
        <v>510058.7725</v>
      </c>
      <c r="G38" s="8">
        <f t="shared" si="3"/>
        <v>1991760.929</v>
      </c>
      <c r="H38" s="8">
        <f t="shared" si="4"/>
        <v>49014116.33</v>
      </c>
      <c r="J38" s="5"/>
    </row>
    <row r="39" ht="15.75" customHeight="1">
      <c r="B39" s="2"/>
      <c r="C39" s="30">
        <v>46817.0</v>
      </c>
      <c r="D39" s="8">
        <f t="shared" si="1"/>
        <v>2501819.701</v>
      </c>
      <c r="E39" s="46"/>
      <c r="F39" s="8">
        <f t="shared" si="2"/>
        <v>490141.1633</v>
      </c>
      <c r="G39" s="8">
        <f t="shared" si="3"/>
        <v>2011678.538</v>
      </c>
      <c r="H39" s="8">
        <f t="shared" si="4"/>
        <v>47002437.79</v>
      </c>
      <c r="J39" s="5"/>
    </row>
    <row r="40" ht="15.75" customHeight="1">
      <c r="B40" s="2"/>
      <c r="C40" s="30">
        <v>46848.0</v>
      </c>
      <c r="D40" s="8">
        <f t="shared" si="1"/>
        <v>2501819.701</v>
      </c>
      <c r="E40" s="46"/>
      <c r="F40" s="8">
        <f t="shared" si="2"/>
        <v>470024.3779</v>
      </c>
      <c r="G40" s="8">
        <f t="shared" si="3"/>
        <v>2031795.324</v>
      </c>
      <c r="H40" s="8">
        <f t="shared" si="4"/>
        <v>44970642.46</v>
      </c>
      <c r="J40" s="5"/>
    </row>
    <row r="41" ht="15.75" customHeight="1">
      <c r="B41" s="2"/>
      <c r="C41" s="30">
        <v>46878.0</v>
      </c>
      <c r="D41" s="8">
        <f t="shared" si="1"/>
        <v>2501819.701</v>
      </c>
      <c r="E41" s="46"/>
      <c r="F41" s="8">
        <f t="shared" si="2"/>
        <v>449706.4246</v>
      </c>
      <c r="G41" s="8">
        <f t="shared" si="3"/>
        <v>2052113.277</v>
      </c>
      <c r="H41" s="8">
        <f t="shared" si="4"/>
        <v>42918529.19</v>
      </c>
      <c r="J41" s="5"/>
    </row>
    <row r="42" ht="15.75" customHeight="1">
      <c r="B42" s="2"/>
      <c r="C42" s="30">
        <v>46909.0</v>
      </c>
      <c r="D42" s="8">
        <f t="shared" si="1"/>
        <v>2501819.701</v>
      </c>
      <c r="E42" s="46"/>
      <c r="F42" s="8">
        <f t="shared" si="2"/>
        <v>429185.2919</v>
      </c>
      <c r="G42" s="8">
        <f t="shared" si="3"/>
        <v>2072634.41</v>
      </c>
      <c r="H42" s="8">
        <f t="shared" si="4"/>
        <v>40845894.78</v>
      </c>
      <c r="J42" s="5"/>
    </row>
    <row r="43" ht="15.75" customHeight="1">
      <c r="B43" s="2"/>
      <c r="C43" s="30">
        <v>46939.0</v>
      </c>
      <c r="D43" s="8">
        <f t="shared" si="1"/>
        <v>2501819.701</v>
      </c>
      <c r="E43" s="46"/>
      <c r="F43" s="8">
        <f t="shared" si="2"/>
        <v>408458.9478</v>
      </c>
      <c r="G43" s="8">
        <f t="shared" si="3"/>
        <v>2093360.754</v>
      </c>
      <c r="H43" s="8">
        <f t="shared" si="4"/>
        <v>38752534.02</v>
      </c>
      <c r="J43" s="5"/>
    </row>
    <row r="44" ht="15.75" customHeight="1">
      <c r="B44" s="2"/>
      <c r="C44" s="30">
        <v>46970.0</v>
      </c>
      <c r="D44" s="8">
        <f t="shared" si="1"/>
        <v>2501819.701</v>
      </c>
      <c r="E44" s="46"/>
      <c r="F44" s="8">
        <f t="shared" si="2"/>
        <v>387525.3402</v>
      </c>
      <c r="G44" s="8">
        <f t="shared" si="3"/>
        <v>2114294.361</v>
      </c>
      <c r="H44" s="8">
        <f t="shared" si="4"/>
        <v>36638239.66</v>
      </c>
      <c r="J44" s="5"/>
    </row>
    <row r="45" ht="15.75" customHeight="1">
      <c r="B45" s="2"/>
      <c r="C45" s="30">
        <v>47001.0</v>
      </c>
      <c r="D45" s="8">
        <f t="shared" si="1"/>
        <v>2501819.701</v>
      </c>
      <c r="E45" s="46"/>
      <c r="F45" s="8">
        <f t="shared" si="2"/>
        <v>366382.3966</v>
      </c>
      <c r="G45" s="8">
        <f t="shared" si="3"/>
        <v>2135437.305</v>
      </c>
      <c r="H45" s="8">
        <f t="shared" si="4"/>
        <v>34502802.36</v>
      </c>
      <c r="J45" s="5"/>
    </row>
    <row r="46" ht="15.75" customHeight="1">
      <c r="B46" s="2"/>
      <c r="C46" s="30">
        <v>47031.0</v>
      </c>
      <c r="D46" s="8">
        <f t="shared" si="1"/>
        <v>2501819.701</v>
      </c>
      <c r="E46" s="46"/>
      <c r="F46" s="8">
        <f t="shared" si="2"/>
        <v>345028.0236</v>
      </c>
      <c r="G46" s="8">
        <f t="shared" si="3"/>
        <v>2156791.678</v>
      </c>
      <c r="H46" s="8">
        <f t="shared" si="4"/>
        <v>32346010.68</v>
      </c>
      <c r="J46" s="5"/>
    </row>
    <row r="47" ht="15.75" customHeight="1">
      <c r="B47" s="2"/>
      <c r="C47" s="30">
        <v>47062.0</v>
      </c>
      <c r="D47" s="8">
        <f t="shared" si="1"/>
        <v>2501819.701</v>
      </c>
      <c r="E47" s="46"/>
      <c r="F47" s="8">
        <f t="shared" si="2"/>
        <v>323460.1068</v>
      </c>
      <c r="G47" s="8">
        <f t="shared" si="3"/>
        <v>2178359.595</v>
      </c>
      <c r="H47" s="8">
        <f t="shared" si="4"/>
        <v>30167651.09</v>
      </c>
      <c r="J47" s="5"/>
    </row>
    <row r="48" ht="15.75" customHeight="1">
      <c r="B48" s="2"/>
      <c r="C48" s="30">
        <v>47092.0</v>
      </c>
      <c r="D48" s="8">
        <f t="shared" si="1"/>
        <v>2501819.701</v>
      </c>
      <c r="E48" s="46"/>
      <c r="F48" s="8">
        <f t="shared" si="2"/>
        <v>301676.5109</v>
      </c>
      <c r="G48" s="8">
        <f t="shared" si="3"/>
        <v>2200143.191</v>
      </c>
      <c r="H48" s="8">
        <f t="shared" si="4"/>
        <v>27967507.89</v>
      </c>
      <c r="J48" s="5"/>
    </row>
    <row r="49" ht="15.75" customHeight="1">
      <c r="B49" s="2"/>
      <c r="C49" s="30">
        <v>47123.0</v>
      </c>
      <c r="D49" s="8">
        <f t="shared" si="1"/>
        <v>2501819.701</v>
      </c>
      <c r="E49" s="46"/>
      <c r="F49" s="8">
        <f t="shared" si="2"/>
        <v>279675.0789</v>
      </c>
      <c r="G49" s="8">
        <f t="shared" si="3"/>
        <v>2222144.622</v>
      </c>
      <c r="H49" s="8">
        <f t="shared" si="4"/>
        <v>25745363.27</v>
      </c>
      <c r="J49" s="5"/>
    </row>
    <row r="50" ht="15.75" customHeight="1">
      <c r="B50" s="2"/>
      <c r="C50" s="30">
        <v>47154.0</v>
      </c>
      <c r="D50" s="8">
        <f t="shared" si="1"/>
        <v>2501819.701</v>
      </c>
      <c r="E50" s="46"/>
      <c r="F50" s="8">
        <f t="shared" si="2"/>
        <v>257453.6327</v>
      </c>
      <c r="G50" s="8">
        <f t="shared" si="3"/>
        <v>2244366.069</v>
      </c>
      <c r="H50" s="8">
        <f t="shared" si="4"/>
        <v>23500997.2</v>
      </c>
      <c r="J50" s="5"/>
    </row>
    <row r="51" ht="15.75" customHeight="1">
      <c r="B51" s="2"/>
      <c r="C51" s="30">
        <v>47182.0</v>
      </c>
      <c r="D51" s="8">
        <f t="shared" si="1"/>
        <v>2501819.701</v>
      </c>
      <c r="E51" s="46"/>
      <c r="F51" s="8">
        <f t="shared" si="2"/>
        <v>235009.972</v>
      </c>
      <c r="G51" s="8">
        <f t="shared" si="3"/>
        <v>2266809.729</v>
      </c>
      <c r="H51" s="8">
        <f t="shared" si="4"/>
        <v>21234187.47</v>
      </c>
      <c r="J51" s="5"/>
    </row>
    <row r="52" ht="15.75" customHeight="1">
      <c r="B52" s="2"/>
      <c r="C52" s="30">
        <v>47213.0</v>
      </c>
      <c r="D52" s="8">
        <f t="shared" si="1"/>
        <v>2501819.701</v>
      </c>
      <c r="E52" s="46"/>
      <c r="F52" s="8">
        <f t="shared" si="2"/>
        <v>212341.8747</v>
      </c>
      <c r="G52" s="8">
        <f t="shared" si="3"/>
        <v>2289477.827</v>
      </c>
      <c r="H52" s="8">
        <f t="shared" si="4"/>
        <v>18944709.65</v>
      </c>
      <c r="J52" s="5"/>
    </row>
    <row r="53" ht="15.75" customHeight="1">
      <c r="B53" s="2"/>
      <c r="C53" s="30">
        <v>47243.0</v>
      </c>
      <c r="D53" s="8">
        <f t="shared" si="1"/>
        <v>2501819.701</v>
      </c>
      <c r="E53" s="46"/>
      <c r="F53" s="8">
        <f t="shared" si="2"/>
        <v>189447.0965</v>
      </c>
      <c r="G53" s="8">
        <f t="shared" si="3"/>
        <v>2312372.605</v>
      </c>
      <c r="H53" s="8">
        <f t="shared" si="4"/>
        <v>16632337.04</v>
      </c>
      <c r="J53" s="5"/>
    </row>
    <row r="54" ht="15.75" customHeight="1">
      <c r="B54" s="2"/>
      <c r="C54" s="30">
        <v>47274.0</v>
      </c>
      <c r="D54" s="8">
        <f t="shared" si="1"/>
        <v>2501819.701</v>
      </c>
      <c r="E54" s="46"/>
      <c r="F54" s="8">
        <f t="shared" si="2"/>
        <v>166323.3704</v>
      </c>
      <c r="G54" s="8">
        <f t="shared" si="3"/>
        <v>2335496.331</v>
      </c>
      <c r="H54" s="8">
        <f t="shared" si="4"/>
        <v>14296840.71</v>
      </c>
      <c r="J54" s="5"/>
    </row>
    <row r="55" ht="15.75" customHeight="1">
      <c r="B55" s="2"/>
      <c r="C55" s="30">
        <v>47304.0</v>
      </c>
      <c r="D55" s="8">
        <f t="shared" si="1"/>
        <v>2501819.701</v>
      </c>
      <c r="E55" s="46"/>
      <c r="F55" s="8">
        <f t="shared" si="2"/>
        <v>142968.4071</v>
      </c>
      <c r="G55" s="8">
        <f t="shared" si="3"/>
        <v>2358851.294</v>
      </c>
      <c r="H55" s="8">
        <f t="shared" si="4"/>
        <v>11937989.42</v>
      </c>
      <c r="J55" s="5"/>
    </row>
    <row r="56" ht="15.75" customHeight="1">
      <c r="B56" s="2"/>
      <c r="C56" s="30">
        <v>47335.0</v>
      </c>
      <c r="D56" s="8">
        <f t="shared" si="1"/>
        <v>2501819.701</v>
      </c>
      <c r="E56" s="46"/>
      <c r="F56" s="8">
        <f t="shared" si="2"/>
        <v>119379.8942</v>
      </c>
      <c r="G56" s="8">
        <f t="shared" si="3"/>
        <v>2382439.807</v>
      </c>
      <c r="H56" s="8">
        <f t="shared" si="4"/>
        <v>9555549.611</v>
      </c>
      <c r="J56" s="5"/>
    </row>
    <row r="57" ht="15.75" customHeight="1">
      <c r="B57" s="2"/>
      <c r="C57" s="30">
        <v>47366.0</v>
      </c>
      <c r="D57" s="8">
        <f t="shared" si="1"/>
        <v>2501819.701</v>
      </c>
      <c r="E57" s="46"/>
      <c r="F57" s="8">
        <f t="shared" si="2"/>
        <v>95555.49611</v>
      </c>
      <c r="G57" s="8">
        <f t="shared" si="3"/>
        <v>2406264.205</v>
      </c>
      <c r="H57" s="8">
        <f t="shared" si="4"/>
        <v>7149285.405</v>
      </c>
      <c r="J57" s="5"/>
    </row>
    <row r="58" ht="15.75" customHeight="1">
      <c r="B58" s="2"/>
      <c r="C58" s="30">
        <v>47396.0</v>
      </c>
      <c r="D58" s="8">
        <f t="shared" si="1"/>
        <v>2501819.701</v>
      </c>
      <c r="E58" s="46"/>
      <c r="F58" s="8">
        <f t="shared" si="2"/>
        <v>71492.85405</v>
      </c>
      <c r="G58" s="8">
        <f t="shared" si="3"/>
        <v>2430326.847</v>
      </c>
      <c r="H58" s="8">
        <f t="shared" si="4"/>
        <v>4718958.558</v>
      </c>
      <c r="J58" s="5"/>
    </row>
    <row r="59" ht="15.75" customHeight="1">
      <c r="B59" s="2"/>
      <c r="C59" s="30">
        <v>47427.0</v>
      </c>
      <c r="D59" s="8">
        <f t="shared" si="1"/>
        <v>2501819.701</v>
      </c>
      <c r="E59" s="46"/>
      <c r="F59" s="8">
        <f t="shared" si="2"/>
        <v>47189.58558</v>
      </c>
      <c r="G59" s="8">
        <f t="shared" si="3"/>
        <v>2454630.116</v>
      </c>
      <c r="H59" s="8">
        <f t="shared" si="4"/>
        <v>2264328.442</v>
      </c>
      <c r="J59" s="5"/>
    </row>
    <row r="60" ht="15.75" customHeight="1">
      <c r="B60" s="2"/>
      <c r="C60" s="30">
        <v>47457.0</v>
      </c>
      <c r="D60" s="8">
        <f t="shared" si="1"/>
        <v>2501819.701</v>
      </c>
      <c r="E60" s="46"/>
      <c r="F60" s="8">
        <f t="shared" si="2"/>
        <v>22643.28442</v>
      </c>
      <c r="G60" s="8">
        <f t="shared" si="3"/>
        <v>2479176.417</v>
      </c>
      <c r="H60" s="8">
        <f t="shared" si="4"/>
        <v>-214847.9748</v>
      </c>
      <c r="J60" s="5"/>
    </row>
    <row r="61" ht="15.75" customHeight="1">
      <c r="B61" s="2"/>
      <c r="C61" s="30">
        <v>47488.0</v>
      </c>
      <c r="D61" s="8">
        <f t="shared" si="1"/>
        <v>2501819.701</v>
      </c>
      <c r="E61" s="46"/>
      <c r="F61" s="8">
        <f t="shared" si="2"/>
        <v>-2148.479748</v>
      </c>
      <c r="G61" s="8">
        <f t="shared" si="3"/>
        <v>2503968.181</v>
      </c>
      <c r="H61" s="8">
        <f t="shared" si="4"/>
        <v>-2718816.156</v>
      </c>
      <c r="J61" s="5"/>
    </row>
    <row r="62" ht="15.75" customHeight="1">
      <c r="B62" s="2"/>
      <c r="C62" s="30">
        <v>47519.0</v>
      </c>
      <c r="D62" s="8">
        <f t="shared" si="1"/>
        <v>2501819.701</v>
      </c>
      <c r="E62" s="46"/>
      <c r="F62" s="8">
        <f t="shared" si="2"/>
        <v>-27188.16156</v>
      </c>
      <c r="G62" s="8">
        <f t="shared" si="3"/>
        <v>2529007.863</v>
      </c>
      <c r="H62" s="8">
        <f t="shared" si="4"/>
        <v>-5247824.019</v>
      </c>
      <c r="J62" s="5"/>
    </row>
    <row r="63" ht="15.75" customHeight="1">
      <c r="B63" s="2"/>
      <c r="C63" s="30">
        <v>47547.0</v>
      </c>
      <c r="D63" s="8">
        <f t="shared" si="1"/>
        <v>2501819.701</v>
      </c>
      <c r="E63" s="46"/>
      <c r="F63" s="8">
        <f t="shared" si="2"/>
        <v>-52478.24019</v>
      </c>
      <c r="G63" s="8">
        <f t="shared" si="3"/>
        <v>2554297.942</v>
      </c>
      <c r="H63" s="8">
        <f t="shared" si="4"/>
        <v>-7802121.96</v>
      </c>
      <c r="J63" s="5"/>
    </row>
    <row r="64" ht="15.75" customHeight="1">
      <c r="B64" s="2"/>
      <c r="C64" s="30">
        <v>47578.0</v>
      </c>
      <c r="D64" s="8">
        <f t="shared" si="1"/>
        <v>2501819.701</v>
      </c>
      <c r="E64" s="46"/>
      <c r="F64" s="8">
        <f t="shared" si="2"/>
        <v>-78021.2196</v>
      </c>
      <c r="G64" s="8">
        <f t="shared" si="3"/>
        <v>2579840.921</v>
      </c>
      <c r="H64" s="8">
        <f t="shared" si="4"/>
        <v>-10381962.88</v>
      </c>
      <c r="J64" s="5"/>
    </row>
    <row r="65" ht="15.75" customHeight="1">
      <c r="B65" s="2"/>
      <c r="C65" s="30">
        <v>47608.0</v>
      </c>
      <c r="D65" s="8">
        <f t="shared" si="1"/>
        <v>2501819.701</v>
      </c>
      <c r="E65" s="46"/>
      <c r="F65" s="8">
        <f t="shared" si="2"/>
        <v>-103819.6288</v>
      </c>
      <c r="G65" s="8">
        <f t="shared" si="3"/>
        <v>2605639.33</v>
      </c>
      <c r="H65" s="8">
        <f t="shared" si="4"/>
        <v>-12987602.21</v>
      </c>
      <c r="J65" s="5"/>
    </row>
    <row r="66" ht="15.75" customHeight="1">
      <c r="B66" s="2"/>
      <c r="C66" s="30">
        <v>47639.0</v>
      </c>
      <c r="D66" s="8">
        <f t="shared" si="1"/>
        <v>2501819.701</v>
      </c>
      <c r="E66" s="46"/>
      <c r="F66" s="8">
        <f t="shared" si="2"/>
        <v>-129876.0221</v>
      </c>
      <c r="G66" s="8">
        <f t="shared" si="3"/>
        <v>2631695.723</v>
      </c>
      <c r="H66" s="8">
        <f t="shared" si="4"/>
        <v>-15619297.94</v>
      </c>
      <c r="J66" s="5"/>
    </row>
    <row r="67" ht="15.75" customHeight="1">
      <c r="B67" s="2"/>
      <c r="C67" s="30">
        <v>47669.0</v>
      </c>
      <c r="D67" s="8">
        <f t="shared" si="1"/>
        <v>2501819.701</v>
      </c>
      <c r="E67" s="46"/>
      <c r="F67" s="8">
        <f t="shared" si="2"/>
        <v>-156192.9794</v>
      </c>
      <c r="G67" s="8">
        <f t="shared" si="3"/>
        <v>2658012.681</v>
      </c>
      <c r="H67" s="8">
        <f t="shared" si="4"/>
        <v>-18277310.62</v>
      </c>
      <c r="J67" s="5"/>
    </row>
    <row r="68" ht="15.75" customHeight="1">
      <c r="B68" s="2"/>
      <c r="C68" s="30">
        <v>47700.0</v>
      </c>
      <c r="D68" s="8">
        <f t="shared" si="1"/>
        <v>2501819.701</v>
      </c>
      <c r="E68" s="46"/>
      <c r="F68" s="8">
        <f t="shared" si="2"/>
        <v>-182773.1062</v>
      </c>
      <c r="G68" s="8">
        <f t="shared" si="3"/>
        <v>2684592.808</v>
      </c>
      <c r="H68" s="8">
        <f t="shared" si="4"/>
        <v>-20961903.42</v>
      </c>
      <c r="J68" s="5"/>
    </row>
    <row r="69" ht="15.75" customHeight="1">
      <c r="B69" s="2"/>
      <c r="C69" s="30">
        <v>47731.0</v>
      </c>
      <c r="D69" s="8">
        <f t="shared" si="1"/>
        <v>2501819.701</v>
      </c>
      <c r="E69" s="46"/>
      <c r="F69" s="8">
        <f t="shared" si="2"/>
        <v>-209619.0342</v>
      </c>
      <c r="G69" s="8">
        <f t="shared" si="3"/>
        <v>2711438.736</v>
      </c>
      <c r="H69" s="8">
        <f t="shared" si="4"/>
        <v>-23673342.16</v>
      </c>
      <c r="J69" s="5"/>
    </row>
    <row r="70" ht="15.75" customHeight="1">
      <c r="B70" s="2"/>
      <c r="C70" s="30">
        <v>47761.0</v>
      </c>
      <c r="D70" s="8">
        <f t="shared" si="1"/>
        <v>2501819.701</v>
      </c>
      <c r="E70" s="46"/>
      <c r="F70" s="8">
        <f t="shared" si="2"/>
        <v>-236733.4216</v>
      </c>
      <c r="G70" s="8">
        <f t="shared" si="3"/>
        <v>2738553.123</v>
      </c>
      <c r="H70" s="8">
        <f t="shared" si="4"/>
        <v>-26411895.28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725</v>
      </c>
      <c r="J1" s="5"/>
    </row>
    <row r="2" ht="15.75" customHeight="1">
      <c r="B2" s="2"/>
      <c r="C2" s="1" t="s">
        <v>6</v>
      </c>
      <c r="D2" s="6">
        <f>+A5*10%</f>
        <v>10556000</v>
      </c>
      <c r="E2" s="7"/>
      <c r="J2" s="5"/>
    </row>
    <row r="3" ht="15.75" customHeight="1">
      <c r="B3" s="2"/>
      <c r="C3" s="1" t="s">
        <v>7</v>
      </c>
      <c r="D3" s="8">
        <f>+A5-D2</f>
        <v>95004000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1.0556E8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2113311.508</v>
      </c>
      <c r="E6" s="12"/>
      <c r="H6" s="5"/>
      <c r="J6" s="5"/>
    </row>
    <row r="7" ht="15.75" customHeight="1">
      <c r="B7" s="2"/>
      <c r="C7" s="1" t="s">
        <v>12</v>
      </c>
      <c r="D7" s="64" t="s">
        <v>726</v>
      </c>
      <c r="H7" s="5"/>
      <c r="J7" s="5"/>
    </row>
    <row r="8" ht="15.75" customHeight="1">
      <c r="B8" s="2"/>
      <c r="C8" s="1" t="s">
        <v>16</v>
      </c>
      <c r="D8" s="2" t="s">
        <v>727</v>
      </c>
      <c r="H8" s="5"/>
      <c r="I8" s="17"/>
      <c r="J8" s="19"/>
      <c r="K8" s="17"/>
      <c r="L8" s="21" t="s">
        <v>728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95004000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1.3735469E8</v>
      </c>
      <c r="U10" s="25"/>
    </row>
    <row r="11" ht="15.75" customHeight="1">
      <c r="A11" s="29">
        <v>45814.0</v>
      </c>
      <c r="B11" s="2" t="s">
        <v>730</v>
      </c>
      <c r="C11" s="30">
        <v>45813.0</v>
      </c>
      <c r="D11" s="8">
        <f t="shared" ref="D11:D70" si="1">$D$6</f>
        <v>2113311.508</v>
      </c>
      <c r="E11" s="15"/>
      <c r="F11" s="8">
        <f t="shared" ref="F11:F70" si="2">+H10*$D$4</f>
        <v>950040</v>
      </c>
      <c r="G11" s="8">
        <f t="shared" ref="G11:G70" si="3">+D11+E11-F11</f>
        <v>1163271.508</v>
      </c>
      <c r="H11" s="8">
        <f t="shared" ref="H11:H70" si="4">+H10-G11</f>
        <v>93840728.49</v>
      </c>
      <c r="J11" s="5"/>
      <c r="L11" s="33">
        <v>45752.0</v>
      </c>
      <c r="M11" s="34" t="s">
        <v>44</v>
      </c>
      <c r="N11" s="35" t="s">
        <v>733</v>
      </c>
      <c r="O11" s="36"/>
      <c r="P11" s="36">
        <v>5000000.0</v>
      </c>
      <c r="Q11" s="36"/>
      <c r="R11" s="36"/>
      <c r="S11" s="36">
        <f t="shared" ref="S11:S21" si="5">SUM(O11:R11)</f>
        <v>5000000</v>
      </c>
      <c r="T11" s="36">
        <f t="shared" ref="T11:T21" si="6">T10-S11</f>
        <v>132354690</v>
      </c>
      <c r="U11" s="34"/>
    </row>
    <row r="12" ht="15.75" customHeight="1">
      <c r="A12" s="29">
        <v>45846.0</v>
      </c>
      <c r="B12" s="2" t="s">
        <v>735</v>
      </c>
      <c r="C12" s="30">
        <v>45843.0</v>
      </c>
      <c r="D12" s="8">
        <f t="shared" si="1"/>
        <v>2113311.508</v>
      </c>
      <c r="E12" s="15"/>
      <c r="F12" s="8">
        <f t="shared" si="2"/>
        <v>938407.2849</v>
      </c>
      <c r="G12" s="8">
        <f t="shared" si="3"/>
        <v>1174904.223</v>
      </c>
      <c r="H12" s="8">
        <f t="shared" si="4"/>
        <v>92665824.27</v>
      </c>
      <c r="J12" s="5"/>
      <c r="L12" s="33">
        <v>45783.0</v>
      </c>
      <c r="M12" s="34" t="s">
        <v>44</v>
      </c>
      <c r="N12" s="35" t="s">
        <v>736</v>
      </c>
      <c r="O12" s="36"/>
      <c r="P12" s="36">
        <v>5556000.0</v>
      </c>
      <c r="Q12" s="36"/>
      <c r="R12" s="36"/>
      <c r="S12" s="36">
        <f t="shared" si="5"/>
        <v>5556000</v>
      </c>
      <c r="T12" s="36">
        <f t="shared" si="6"/>
        <v>126798690</v>
      </c>
      <c r="U12" s="34"/>
    </row>
    <row r="13" ht="15.75" customHeight="1">
      <c r="A13" s="29">
        <v>45877.0</v>
      </c>
      <c r="B13" s="2" t="s">
        <v>737</v>
      </c>
      <c r="C13" s="30">
        <v>45874.0</v>
      </c>
      <c r="D13" s="8">
        <f t="shared" si="1"/>
        <v>2113311.508</v>
      </c>
      <c r="E13" s="15"/>
      <c r="F13" s="8">
        <f t="shared" si="2"/>
        <v>926658.2427</v>
      </c>
      <c r="G13" s="8">
        <f t="shared" si="3"/>
        <v>1186653.265</v>
      </c>
      <c r="H13" s="8">
        <f t="shared" si="4"/>
        <v>91479171</v>
      </c>
      <c r="J13" s="5" t="s">
        <v>56</v>
      </c>
      <c r="L13" s="33">
        <v>45814.0</v>
      </c>
      <c r="M13" s="34" t="s">
        <v>73</v>
      </c>
      <c r="N13" s="35" t="s">
        <v>730</v>
      </c>
      <c r="O13" s="36"/>
      <c r="P13" s="36">
        <v>2113312.0</v>
      </c>
      <c r="Q13" s="36"/>
      <c r="R13" s="36"/>
      <c r="S13" s="36">
        <f t="shared" si="5"/>
        <v>2113312</v>
      </c>
      <c r="T13" s="36">
        <f t="shared" si="6"/>
        <v>124685378</v>
      </c>
      <c r="U13" s="34"/>
    </row>
    <row r="14" ht="15.75" customHeight="1">
      <c r="A14" s="29">
        <v>45908.0</v>
      </c>
      <c r="B14" s="2" t="s">
        <v>739</v>
      </c>
      <c r="C14" s="30">
        <v>45905.0</v>
      </c>
      <c r="D14" s="8">
        <f t="shared" si="1"/>
        <v>2113311.508</v>
      </c>
      <c r="E14" s="15"/>
      <c r="F14" s="8">
        <f t="shared" si="2"/>
        <v>914791.71</v>
      </c>
      <c r="G14" s="8">
        <f t="shared" si="3"/>
        <v>1198519.798</v>
      </c>
      <c r="H14" s="8">
        <f t="shared" si="4"/>
        <v>90280651.21</v>
      </c>
      <c r="J14" s="8">
        <f>+H10</f>
        <v>95004000</v>
      </c>
      <c r="L14" s="33">
        <v>45845.0</v>
      </c>
      <c r="M14" s="34" t="s">
        <v>78</v>
      </c>
      <c r="N14" s="35" t="s">
        <v>735</v>
      </c>
      <c r="O14" s="36"/>
      <c r="P14" s="36">
        <v>2113312.0</v>
      </c>
      <c r="Q14" s="36"/>
      <c r="R14" s="36"/>
      <c r="S14" s="36">
        <f t="shared" si="5"/>
        <v>2113312</v>
      </c>
      <c r="T14" s="36">
        <f t="shared" si="6"/>
        <v>122572066</v>
      </c>
      <c r="U14" s="34"/>
    </row>
    <row r="15" ht="15.75" customHeight="1">
      <c r="A15" s="29">
        <v>45940.0</v>
      </c>
      <c r="B15" s="2" t="s">
        <v>741</v>
      </c>
      <c r="C15" s="30">
        <v>45935.0</v>
      </c>
      <c r="D15" s="8">
        <f t="shared" si="1"/>
        <v>2113311.508</v>
      </c>
      <c r="E15" s="15"/>
      <c r="F15" s="8">
        <f t="shared" si="2"/>
        <v>902806.5121</v>
      </c>
      <c r="G15" s="8">
        <f t="shared" si="3"/>
        <v>1210504.996</v>
      </c>
      <c r="H15" s="8">
        <f t="shared" si="4"/>
        <v>89070146.21</v>
      </c>
      <c r="J15" s="5"/>
      <c r="L15" s="33">
        <v>45877.0</v>
      </c>
      <c r="M15" s="34" t="s">
        <v>83</v>
      </c>
      <c r="N15" s="35" t="s">
        <v>737</v>
      </c>
      <c r="O15" s="36"/>
      <c r="P15" s="36">
        <v>2113312.0</v>
      </c>
      <c r="Q15" s="36"/>
      <c r="R15" s="36"/>
      <c r="S15" s="36">
        <f t="shared" si="5"/>
        <v>2113312</v>
      </c>
      <c r="T15" s="36">
        <f t="shared" si="6"/>
        <v>120458754</v>
      </c>
      <c r="U15" s="34"/>
    </row>
    <row r="16" ht="15.75" customHeight="1">
      <c r="A16" s="29">
        <v>45981.0</v>
      </c>
      <c r="B16" s="2" t="s">
        <v>742</v>
      </c>
      <c r="C16" s="30">
        <v>45966.0</v>
      </c>
      <c r="D16" s="8">
        <f t="shared" si="1"/>
        <v>2113311.508</v>
      </c>
      <c r="E16" s="15"/>
      <c r="F16" s="8">
        <f t="shared" si="2"/>
        <v>890701.4621</v>
      </c>
      <c r="G16" s="8">
        <f t="shared" si="3"/>
        <v>1222610.046</v>
      </c>
      <c r="H16" s="8">
        <f t="shared" si="4"/>
        <v>87847536.16</v>
      </c>
      <c r="J16" s="5"/>
      <c r="L16" s="33">
        <v>45906.0</v>
      </c>
      <c r="M16" s="34" t="s">
        <v>85</v>
      </c>
      <c r="N16" s="35" t="s">
        <v>739</v>
      </c>
      <c r="O16" s="36"/>
      <c r="P16" s="36">
        <v>2113312.0</v>
      </c>
      <c r="Q16" s="36"/>
      <c r="R16" s="36"/>
      <c r="S16" s="36">
        <f t="shared" si="5"/>
        <v>2113312</v>
      </c>
      <c r="T16" s="36">
        <f t="shared" si="6"/>
        <v>118345442</v>
      </c>
      <c r="U16" s="34"/>
    </row>
    <row r="17" ht="15.75" customHeight="1">
      <c r="A17" s="29">
        <v>46018.0</v>
      </c>
      <c r="B17" s="2" t="s">
        <v>744</v>
      </c>
      <c r="C17" s="30">
        <v>45996.0</v>
      </c>
      <c r="D17" s="8">
        <f t="shared" si="1"/>
        <v>2113311.508</v>
      </c>
      <c r="E17" s="15"/>
      <c r="F17" s="8">
        <f t="shared" si="2"/>
        <v>878475.3616</v>
      </c>
      <c r="G17" s="8">
        <f t="shared" si="3"/>
        <v>1234836.146</v>
      </c>
      <c r="H17" s="8">
        <f t="shared" si="4"/>
        <v>86612700.02</v>
      </c>
      <c r="J17" s="5"/>
      <c r="L17" s="33">
        <v>45940.0</v>
      </c>
      <c r="M17" s="34" t="s">
        <v>89</v>
      </c>
      <c r="N17" s="35" t="s">
        <v>741</v>
      </c>
      <c r="O17" s="36"/>
      <c r="P17" s="36">
        <v>2113312.0</v>
      </c>
      <c r="Q17" s="36"/>
      <c r="R17" s="36"/>
      <c r="S17" s="36">
        <f t="shared" si="5"/>
        <v>2113312</v>
      </c>
      <c r="T17" s="36">
        <f t="shared" si="6"/>
        <v>116232130</v>
      </c>
      <c r="U17" s="34"/>
    </row>
    <row r="18" ht="15.75" customHeight="1">
      <c r="A18" s="29">
        <v>46133.0</v>
      </c>
      <c r="B18" s="2" t="s">
        <v>746</v>
      </c>
      <c r="C18" s="30">
        <v>46027.0</v>
      </c>
      <c r="D18" s="8">
        <f t="shared" si="1"/>
        <v>2113311.508</v>
      </c>
      <c r="E18" s="15"/>
      <c r="F18" s="8">
        <f t="shared" si="2"/>
        <v>866127.0002</v>
      </c>
      <c r="G18" s="8">
        <f t="shared" si="3"/>
        <v>1247184.508</v>
      </c>
      <c r="H18" s="8">
        <f t="shared" si="4"/>
        <v>85365515.51</v>
      </c>
      <c r="J18" s="5"/>
      <c r="L18" s="33">
        <v>45980.0</v>
      </c>
      <c r="M18" s="34" t="s">
        <v>93</v>
      </c>
      <c r="N18" s="35" t="s">
        <v>742</v>
      </c>
      <c r="O18" s="36"/>
      <c r="P18" s="36">
        <v>2113312.0</v>
      </c>
      <c r="Q18" s="36"/>
      <c r="R18" s="36"/>
      <c r="S18" s="36">
        <f t="shared" si="5"/>
        <v>2113312</v>
      </c>
      <c r="T18" s="36">
        <f t="shared" si="6"/>
        <v>114118818</v>
      </c>
      <c r="U18" s="34"/>
    </row>
    <row r="19" ht="15.75" customHeight="1">
      <c r="A19" s="29">
        <v>46134.0</v>
      </c>
      <c r="B19" s="2" t="s">
        <v>101</v>
      </c>
      <c r="C19" s="30">
        <v>46058.0</v>
      </c>
      <c r="D19" s="8">
        <f t="shared" si="1"/>
        <v>2113311.508</v>
      </c>
      <c r="E19" s="15">
        <f>4226624-D19-D18</f>
        <v>0.9842871856</v>
      </c>
      <c r="F19" s="8">
        <f t="shared" si="2"/>
        <v>853655.1551</v>
      </c>
      <c r="G19" s="8">
        <f t="shared" si="3"/>
        <v>1259657.337</v>
      </c>
      <c r="H19" s="8">
        <f t="shared" si="4"/>
        <v>84105858.17</v>
      </c>
      <c r="I19" s="1"/>
      <c r="J19" s="41"/>
      <c r="K19" s="1"/>
      <c r="L19" s="42">
        <v>46018.0</v>
      </c>
      <c r="M19" s="43" t="s">
        <v>96</v>
      </c>
      <c r="N19" s="44" t="s">
        <v>744</v>
      </c>
      <c r="O19" s="45"/>
      <c r="P19" s="45">
        <v>2113312.0</v>
      </c>
      <c r="Q19" s="45"/>
      <c r="R19" s="45"/>
      <c r="S19" s="45">
        <f t="shared" si="5"/>
        <v>2113312</v>
      </c>
      <c r="T19" s="45">
        <f t="shared" si="6"/>
        <v>112005506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46156.0</v>
      </c>
      <c r="B20" s="2" t="s">
        <v>750</v>
      </c>
      <c r="C20" s="30">
        <v>46086.0</v>
      </c>
      <c r="D20" s="8">
        <f t="shared" si="1"/>
        <v>2113311.508</v>
      </c>
      <c r="E20" s="15"/>
      <c r="F20" s="8">
        <f t="shared" si="2"/>
        <v>841058.5817</v>
      </c>
      <c r="G20" s="8">
        <f t="shared" si="3"/>
        <v>1272252.926</v>
      </c>
      <c r="H20" s="8">
        <f t="shared" si="4"/>
        <v>82833605.25</v>
      </c>
      <c r="J20" s="5"/>
      <c r="L20" s="33">
        <v>46133.0</v>
      </c>
      <c r="M20" s="34" t="s">
        <v>110</v>
      </c>
      <c r="N20" s="35" t="s">
        <v>746</v>
      </c>
      <c r="O20" s="36"/>
      <c r="P20" s="36">
        <v>4226624.0</v>
      </c>
      <c r="Q20" s="36"/>
      <c r="R20" s="36"/>
      <c r="S20" s="36">
        <f t="shared" si="5"/>
        <v>4226624</v>
      </c>
      <c r="T20" s="36">
        <f t="shared" si="6"/>
        <v>107778882</v>
      </c>
      <c r="U20" s="34"/>
    </row>
    <row r="21" ht="15.75" customHeight="1">
      <c r="A21" s="37"/>
      <c r="B21" s="2"/>
      <c r="C21" s="30">
        <v>46117.0</v>
      </c>
      <c r="D21" s="8">
        <f t="shared" si="1"/>
        <v>2113311.508</v>
      </c>
      <c r="E21" s="15"/>
      <c r="F21" s="8">
        <f t="shared" si="2"/>
        <v>828336.0525</v>
      </c>
      <c r="G21" s="8">
        <f t="shared" si="3"/>
        <v>1284975.455</v>
      </c>
      <c r="H21" s="8">
        <f t="shared" si="4"/>
        <v>81548629.79</v>
      </c>
      <c r="J21" s="5"/>
      <c r="L21" s="33">
        <v>46156.0</v>
      </c>
      <c r="M21" s="34" t="s">
        <v>107</v>
      </c>
      <c r="N21" s="35" t="s">
        <v>750</v>
      </c>
      <c r="O21" s="36"/>
      <c r="P21" s="36">
        <v>2113312.0</v>
      </c>
      <c r="Q21" s="36"/>
      <c r="R21" s="36"/>
      <c r="S21" s="36">
        <f t="shared" si="5"/>
        <v>2113312</v>
      </c>
      <c r="T21" s="36">
        <f t="shared" si="6"/>
        <v>105665570</v>
      </c>
      <c r="U21" s="34"/>
    </row>
    <row r="22" ht="15.75" customHeight="1">
      <c r="A22" s="37"/>
      <c r="B22" s="2"/>
      <c r="C22" s="30">
        <v>46147.0</v>
      </c>
      <c r="D22" s="8">
        <f t="shared" si="1"/>
        <v>2113311.508</v>
      </c>
      <c r="E22" s="15"/>
      <c r="F22" s="8">
        <f t="shared" si="2"/>
        <v>815486.2979</v>
      </c>
      <c r="G22" s="8">
        <f t="shared" si="3"/>
        <v>1297825.21</v>
      </c>
      <c r="H22" s="8">
        <f t="shared" si="4"/>
        <v>80250804.58</v>
      </c>
      <c r="J22" s="5"/>
      <c r="L22" s="25"/>
      <c r="M22" s="38" t="s">
        <v>69</v>
      </c>
      <c r="N22" s="39"/>
      <c r="O22" s="27">
        <f t="shared" ref="O22:S22" si="7">SUM(O11:O21)</f>
        <v>0</v>
      </c>
      <c r="P22" s="27">
        <f t="shared" si="7"/>
        <v>31689120</v>
      </c>
      <c r="Q22" s="27">
        <f t="shared" si="7"/>
        <v>0</v>
      </c>
      <c r="R22" s="27">
        <f t="shared" si="7"/>
        <v>0</v>
      </c>
      <c r="S22" s="27">
        <f t="shared" si="7"/>
        <v>31689120</v>
      </c>
      <c r="T22" s="27">
        <f>T21</f>
        <v>105665570</v>
      </c>
      <c r="U22" s="25"/>
    </row>
    <row r="23" ht="15.75" customHeight="1">
      <c r="A23" s="37"/>
      <c r="B23" s="2"/>
      <c r="C23" s="30">
        <v>46178.0</v>
      </c>
      <c r="D23" s="8">
        <f t="shared" si="1"/>
        <v>2113311.508</v>
      </c>
      <c r="E23" s="46"/>
      <c r="F23" s="8">
        <f t="shared" si="2"/>
        <v>802508.0458</v>
      </c>
      <c r="G23" s="8">
        <f t="shared" si="3"/>
        <v>1310803.462</v>
      </c>
      <c r="H23" s="8">
        <f t="shared" si="4"/>
        <v>78940001.12</v>
      </c>
      <c r="J23" s="5"/>
    </row>
    <row r="24" ht="15.75" customHeight="1">
      <c r="A24" s="37"/>
      <c r="B24" s="2"/>
      <c r="C24" s="30">
        <v>46208.0</v>
      </c>
      <c r="D24" s="8">
        <f t="shared" si="1"/>
        <v>2113311.508</v>
      </c>
      <c r="E24" s="46"/>
      <c r="F24" s="8">
        <f t="shared" si="2"/>
        <v>789400.0112</v>
      </c>
      <c r="G24" s="8">
        <f t="shared" si="3"/>
        <v>1323911.497</v>
      </c>
      <c r="H24" s="8">
        <f t="shared" si="4"/>
        <v>77616089.62</v>
      </c>
      <c r="J24" s="5"/>
    </row>
    <row r="25" ht="15.75" customHeight="1">
      <c r="B25" s="2"/>
      <c r="C25" s="30">
        <v>46239.0</v>
      </c>
      <c r="D25" s="8">
        <f t="shared" si="1"/>
        <v>2113311.508</v>
      </c>
      <c r="E25" s="46"/>
      <c r="F25" s="8">
        <f t="shared" si="2"/>
        <v>776160.8962</v>
      </c>
      <c r="G25" s="8">
        <f t="shared" si="3"/>
        <v>1337150.612</v>
      </c>
      <c r="H25" s="8">
        <f t="shared" si="4"/>
        <v>76278939.01</v>
      </c>
      <c r="J25" s="5"/>
    </row>
    <row r="26" ht="15.75" customHeight="1">
      <c r="B26" s="2"/>
      <c r="C26" s="30">
        <v>46270.0</v>
      </c>
      <c r="D26" s="8">
        <f t="shared" si="1"/>
        <v>2113311.508</v>
      </c>
      <c r="E26" s="46"/>
      <c r="F26" s="8">
        <f t="shared" si="2"/>
        <v>762789.3901</v>
      </c>
      <c r="G26" s="8">
        <f t="shared" si="3"/>
        <v>1350522.118</v>
      </c>
      <c r="H26" s="8">
        <f t="shared" si="4"/>
        <v>74928416.89</v>
      </c>
      <c r="J26" s="5"/>
    </row>
    <row r="27" ht="15.75" customHeight="1">
      <c r="B27" s="2"/>
      <c r="C27" s="30">
        <v>46300.0</v>
      </c>
      <c r="D27" s="8">
        <f t="shared" si="1"/>
        <v>2113311.508</v>
      </c>
      <c r="E27" s="46"/>
      <c r="F27" s="8">
        <f t="shared" si="2"/>
        <v>749284.1689</v>
      </c>
      <c r="G27" s="8">
        <f t="shared" si="3"/>
        <v>1364027.339</v>
      </c>
      <c r="H27" s="8">
        <f t="shared" si="4"/>
        <v>73564389.56</v>
      </c>
      <c r="J27" s="5"/>
    </row>
    <row r="28" ht="15.75" customHeight="1">
      <c r="B28" s="2"/>
      <c r="C28" s="30">
        <v>46331.0</v>
      </c>
      <c r="D28" s="8">
        <f t="shared" si="1"/>
        <v>2113311.508</v>
      </c>
      <c r="E28" s="46"/>
      <c r="F28" s="8">
        <f t="shared" si="2"/>
        <v>735643.8956</v>
      </c>
      <c r="G28" s="8">
        <f t="shared" si="3"/>
        <v>1377667.612</v>
      </c>
      <c r="H28" s="8">
        <f t="shared" si="4"/>
        <v>72186721.94</v>
      </c>
      <c r="J28" s="5"/>
    </row>
    <row r="29" ht="15.75" customHeight="1">
      <c r="B29" s="2"/>
      <c r="C29" s="30">
        <v>46361.0</v>
      </c>
      <c r="D29" s="8">
        <f t="shared" si="1"/>
        <v>2113311.508</v>
      </c>
      <c r="E29" s="46"/>
      <c r="F29" s="8">
        <f t="shared" si="2"/>
        <v>721867.2194</v>
      </c>
      <c r="G29" s="8">
        <f t="shared" si="3"/>
        <v>1391444.288</v>
      </c>
      <c r="H29" s="8">
        <f t="shared" si="4"/>
        <v>70795277.65</v>
      </c>
      <c r="J29" s="5"/>
    </row>
    <row r="30" ht="15.75" customHeight="1">
      <c r="B30" s="2"/>
      <c r="C30" s="30">
        <v>46392.0</v>
      </c>
      <c r="D30" s="8">
        <f t="shared" si="1"/>
        <v>2113311.508</v>
      </c>
      <c r="E30" s="46"/>
      <c r="F30" s="8">
        <f t="shared" si="2"/>
        <v>707952.7765</v>
      </c>
      <c r="G30" s="8">
        <f t="shared" si="3"/>
        <v>1405358.731</v>
      </c>
      <c r="H30" s="8">
        <f t="shared" si="4"/>
        <v>69389918.92</v>
      </c>
      <c r="J30" s="5"/>
    </row>
    <row r="31" ht="15.75" customHeight="1">
      <c r="B31" s="2"/>
      <c r="C31" s="30">
        <v>46423.0</v>
      </c>
      <c r="D31" s="8">
        <f t="shared" si="1"/>
        <v>2113311.508</v>
      </c>
      <c r="E31" s="46"/>
      <c r="F31" s="8">
        <f t="shared" si="2"/>
        <v>693899.1892</v>
      </c>
      <c r="G31" s="8">
        <f t="shared" si="3"/>
        <v>1419412.319</v>
      </c>
      <c r="H31" s="8">
        <f t="shared" si="4"/>
        <v>67970506.6</v>
      </c>
      <c r="J31" s="5"/>
    </row>
    <row r="32" ht="15.75" customHeight="1">
      <c r="B32" s="2"/>
      <c r="C32" s="30">
        <v>46451.0</v>
      </c>
      <c r="D32" s="8">
        <f t="shared" si="1"/>
        <v>2113311.508</v>
      </c>
      <c r="E32" s="46"/>
      <c r="F32" s="8">
        <f t="shared" si="2"/>
        <v>679705.066</v>
      </c>
      <c r="G32" s="8">
        <f t="shared" si="3"/>
        <v>1433606.442</v>
      </c>
      <c r="H32" s="8">
        <f t="shared" si="4"/>
        <v>66536900.16</v>
      </c>
      <c r="J32" s="5"/>
    </row>
    <row r="33" ht="15.75" customHeight="1">
      <c r="B33" s="2"/>
      <c r="C33" s="30">
        <v>46482.0</v>
      </c>
      <c r="D33" s="8">
        <f t="shared" si="1"/>
        <v>2113311.508</v>
      </c>
      <c r="E33" s="46"/>
      <c r="F33" s="8">
        <f t="shared" si="2"/>
        <v>665369.0016</v>
      </c>
      <c r="G33" s="8">
        <f t="shared" si="3"/>
        <v>1447942.506</v>
      </c>
      <c r="H33" s="8">
        <f t="shared" si="4"/>
        <v>65088957.66</v>
      </c>
      <c r="J33" s="5"/>
    </row>
    <row r="34" ht="15.75" customHeight="1">
      <c r="B34" s="2"/>
      <c r="C34" s="30">
        <v>46512.0</v>
      </c>
      <c r="D34" s="8">
        <f t="shared" si="1"/>
        <v>2113311.508</v>
      </c>
      <c r="E34" s="46"/>
      <c r="F34" s="8">
        <f t="shared" si="2"/>
        <v>650889.5766</v>
      </c>
      <c r="G34" s="8">
        <f t="shared" si="3"/>
        <v>1462421.931</v>
      </c>
      <c r="H34" s="8">
        <f t="shared" si="4"/>
        <v>63626535.73</v>
      </c>
      <c r="J34" s="5"/>
    </row>
    <row r="35" ht="15.75" customHeight="1">
      <c r="B35" s="2"/>
      <c r="C35" s="30">
        <v>46543.0</v>
      </c>
      <c r="D35" s="8">
        <f t="shared" si="1"/>
        <v>2113311.508</v>
      </c>
      <c r="E35" s="46"/>
      <c r="F35" s="8">
        <f t="shared" si="2"/>
        <v>636265.3573</v>
      </c>
      <c r="G35" s="8">
        <f t="shared" si="3"/>
        <v>1477046.151</v>
      </c>
      <c r="H35" s="8">
        <f t="shared" si="4"/>
        <v>62149489.57</v>
      </c>
      <c r="J35" s="5"/>
    </row>
    <row r="36" ht="15.75" customHeight="1">
      <c r="B36" s="2"/>
      <c r="C36" s="30">
        <v>46573.0</v>
      </c>
      <c r="D36" s="8">
        <f t="shared" si="1"/>
        <v>2113311.508</v>
      </c>
      <c r="E36" s="46"/>
      <c r="F36" s="8">
        <f t="shared" si="2"/>
        <v>621494.8957</v>
      </c>
      <c r="G36" s="8">
        <f t="shared" si="3"/>
        <v>1491816.612</v>
      </c>
      <c r="H36" s="8">
        <f t="shared" si="4"/>
        <v>60657672.96</v>
      </c>
      <c r="J36" s="5"/>
    </row>
    <row r="37" ht="15.75" customHeight="1">
      <c r="B37" s="2"/>
      <c r="C37" s="30">
        <v>46604.0</v>
      </c>
      <c r="D37" s="8">
        <f t="shared" si="1"/>
        <v>2113311.508</v>
      </c>
      <c r="E37" s="46"/>
      <c r="F37" s="8">
        <f t="shared" si="2"/>
        <v>606576.7296</v>
      </c>
      <c r="G37" s="8">
        <f t="shared" si="3"/>
        <v>1506734.778</v>
      </c>
      <c r="H37" s="8">
        <f t="shared" si="4"/>
        <v>59150938.18</v>
      </c>
      <c r="J37" s="5"/>
    </row>
    <row r="38" ht="15.75" customHeight="1">
      <c r="B38" s="2"/>
      <c r="C38" s="30">
        <v>46635.0</v>
      </c>
      <c r="D38" s="8">
        <f t="shared" si="1"/>
        <v>2113311.508</v>
      </c>
      <c r="E38" s="46"/>
      <c r="F38" s="8">
        <f t="shared" si="2"/>
        <v>591509.3818</v>
      </c>
      <c r="G38" s="8">
        <f t="shared" si="3"/>
        <v>1521802.126</v>
      </c>
      <c r="H38" s="8">
        <f t="shared" si="4"/>
        <v>57629136.06</v>
      </c>
      <c r="J38" s="5"/>
    </row>
    <row r="39" ht="15.75" customHeight="1">
      <c r="B39" s="2"/>
      <c r="C39" s="30">
        <v>46665.0</v>
      </c>
      <c r="D39" s="8">
        <f t="shared" si="1"/>
        <v>2113311.508</v>
      </c>
      <c r="E39" s="46"/>
      <c r="F39" s="8">
        <f t="shared" si="2"/>
        <v>576291.3606</v>
      </c>
      <c r="G39" s="8">
        <f t="shared" si="3"/>
        <v>1537020.147</v>
      </c>
      <c r="H39" s="8">
        <f t="shared" si="4"/>
        <v>56092115.91</v>
      </c>
      <c r="J39" s="5"/>
    </row>
    <row r="40" ht="15.75" customHeight="1">
      <c r="B40" s="2"/>
      <c r="C40" s="30">
        <v>46696.0</v>
      </c>
      <c r="D40" s="8">
        <f t="shared" si="1"/>
        <v>2113311.508</v>
      </c>
      <c r="E40" s="46"/>
      <c r="F40" s="8">
        <f t="shared" si="2"/>
        <v>560921.1591</v>
      </c>
      <c r="G40" s="8">
        <f t="shared" si="3"/>
        <v>1552390.349</v>
      </c>
      <c r="H40" s="8">
        <f t="shared" si="4"/>
        <v>54539725.56</v>
      </c>
      <c r="J40" s="5"/>
    </row>
    <row r="41" ht="15.75" customHeight="1">
      <c r="B41" s="2"/>
      <c r="C41" s="30">
        <v>46726.0</v>
      </c>
      <c r="D41" s="8">
        <f t="shared" si="1"/>
        <v>2113311.508</v>
      </c>
      <c r="E41" s="46"/>
      <c r="F41" s="8">
        <f t="shared" si="2"/>
        <v>545397.2556</v>
      </c>
      <c r="G41" s="8">
        <f t="shared" si="3"/>
        <v>1567914.252</v>
      </c>
      <c r="H41" s="8">
        <f t="shared" si="4"/>
        <v>52971811.31</v>
      </c>
      <c r="J41" s="5"/>
    </row>
    <row r="42" ht="15.75" customHeight="1">
      <c r="B42" s="2"/>
      <c r="C42" s="30">
        <v>46757.0</v>
      </c>
      <c r="D42" s="8">
        <f t="shared" si="1"/>
        <v>2113311.508</v>
      </c>
      <c r="E42" s="46"/>
      <c r="F42" s="8">
        <f t="shared" si="2"/>
        <v>529718.1131</v>
      </c>
      <c r="G42" s="8">
        <f t="shared" si="3"/>
        <v>1583593.395</v>
      </c>
      <c r="H42" s="8">
        <f t="shared" si="4"/>
        <v>51388217.92</v>
      </c>
      <c r="J42" s="5"/>
    </row>
    <row r="43" ht="15.75" customHeight="1">
      <c r="B43" s="2"/>
      <c r="C43" s="30">
        <v>46788.0</v>
      </c>
      <c r="D43" s="8">
        <f t="shared" si="1"/>
        <v>2113311.508</v>
      </c>
      <c r="E43" s="46"/>
      <c r="F43" s="8">
        <f t="shared" si="2"/>
        <v>513882.1792</v>
      </c>
      <c r="G43" s="8">
        <f t="shared" si="3"/>
        <v>1599429.329</v>
      </c>
      <c r="H43" s="8">
        <f t="shared" si="4"/>
        <v>49788788.59</v>
      </c>
      <c r="J43" s="5"/>
    </row>
    <row r="44" ht="15.75" customHeight="1">
      <c r="B44" s="2"/>
      <c r="C44" s="30">
        <v>46817.0</v>
      </c>
      <c r="D44" s="8">
        <f t="shared" si="1"/>
        <v>2113311.508</v>
      </c>
      <c r="E44" s="46"/>
      <c r="F44" s="8">
        <f t="shared" si="2"/>
        <v>497887.8859</v>
      </c>
      <c r="G44" s="8">
        <f t="shared" si="3"/>
        <v>1615423.622</v>
      </c>
      <c r="H44" s="8">
        <f t="shared" si="4"/>
        <v>48173364.96</v>
      </c>
      <c r="J44" s="5"/>
    </row>
    <row r="45" ht="15.75" customHeight="1">
      <c r="B45" s="2"/>
      <c r="C45" s="30">
        <v>46848.0</v>
      </c>
      <c r="D45" s="8">
        <f t="shared" si="1"/>
        <v>2113311.508</v>
      </c>
      <c r="E45" s="46"/>
      <c r="F45" s="8">
        <f t="shared" si="2"/>
        <v>481733.6496</v>
      </c>
      <c r="G45" s="8">
        <f t="shared" si="3"/>
        <v>1631577.858</v>
      </c>
      <c r="H45" s="8">
        <f t="shared" si="4"/>
        <v>46541787.11</v>
      </c>
      <c r="J45" s="5"/>
    </row>
    <row r="46" ht="15.75" customHeight="1">
      <c r="B46" s="2"/>
      <c r="C46" s="30">
        <v>46878.0</v>
      </c>
      <c r="D46" s="8">
        <f t="shared" si="1"/>
        <v>2113311.508</v>
      </c>
      <c r="E46" s="46"/>
      <c r="F46" s="8">
        <f t="shared" si="2"/>
        <v>465417.8711</v>
      </c>
      <c r="G46" s="8">
        <f t="shared" si="3"/>
        <v>1647893.637</v>
      </c>
      <c r="H46" s="8">
        <f t="shared" si="4"/>
        <v>44893893.47</v>
      </c>
      <c r="J46" s="5"/>
    </row>
    <row r="47" ht="15.75" customHeight="1">
      <c r="B47" s="2"/>
      <c r="C47" s="30">
        <v>46909.0</v>
      </c>
      <c r="D47" s="8">
        <f t="shared" si="1"/>
        <v>2113311.508</v>
      </c>
      <c r="E47" s="46"/>
      <c r="F47" s="8">
        <f t="shared" si="2"/>
        <v>448938.9347</v>
      </c>
      <c r="G47" s="8">
        <f t="shared" si="3"/>
        <v>1664372.573</v>
      </c>
      <c r="H47" s="8">
        <f t="shared" si="4"/>
        <v>43229520.9</v>
      </c>
      <c r="J47" s="5"/>
    </row>
    <row r="48" ht="15.75" customHeight="1">
      <c r="B48" s="2"/>
      <c r="C48" s="30">
        <v>46939.0</v>
      </c>
      <c r="D48" s="8">
        <f t="shared" si="1"/>
        <v>2113311.508</v>
      </c>
      <c r="E48" s="46"/>
      <c r="F48" s="8">
        <f t="shared" si="2"/>
        <v>432295.209</v>
      </c>
      <c r="G48" s="8">
        <f t="shared" si="3"/>
        <v>1681016.299</v>
      </c>
      <c r="H48" s="8">
        <f t="shared" si="4"/>
        <v>41548504.6</v>
      </c>
      <c r="J48" s="5"/>
    </row>
    <row r="49" ht="15.75" customHeight="1">
      <c r="B49" s="2"/>
      <c r="C49" s="30">
        <v>46970.0</v>
      </c>
      <c r="D49" s="8">
        <f t="shared" si="1"/>
        <v>2113311.508</v>
      </c>
      <c r="E49" s="46"/>
      <c r="F49" s="8">
        <f t="shared" si="2"/>
        <v>415485.046</v>
      </c>
      <c r="G49" s="8">
        <f t="shared" si="3"/>
        <v>1697826.462</v>
      </c>
      <c r="H49" s="8">
        <f t="shared" si="4"/>
        <v>39850678.14</v>
      </c>
      <c r="J49" s="5"/>
    </row>
    <row r="50" ht="15.75" customHeight="1">
      <c r="B50" s="2"/>
      <c r="C50" s="30">
        <v>47001.0</v>
      </c>
      <c r="D50" s="8">
        <f t="shared" si="1"/>
        <v>2113311.508</v>
      </c>
      <c r="E50" s="46"/>
      <c r="F50" s="8">
        <f t="shared" si="2"/>
        <v>398506.7814</v>
      </c>
      <c r="G50" s="8">
        <f t="shared" si="3"/>
        <v>1714804.726</v>
      </c>
      <c r="H50" s="8">
        <f t="shared" si="4"/>
        <v>38135873.41</v>
      </c>
      <c r="J50" s="5"/>
    </row>
    <row r="51" ht="15.75" customHeight="1">
      <c r="B51" s="2"/>
      <c r="C51" s="30">
        <v>47031.0</v>
      </c>
      <c r="D51" s="8">
        <f t="shared" si="1"/>
        <v>2113311.508</v>
      </c>
      <c r="E51" s="46"/>
      <c r="F51" s="8">
        <f t="shared" si="2"/>
        <v>381358.7341</v>
      </c>
      <c r="G51" s="8">
        <f t="shared" si="3"/>
        <v>1731952.774</v>
      </c>
      <c r="H51" s="8">
        <f t="shared" si="4"/>
        <v>36403920.64</v>
      </c>
      <c r="J51" s="5"/>
    </row>
    <row r="52" ht="15.75" customHeight="1">
      <c r="B52" s="2"/>
      <c r="C52" s="30">
        <v>47062.0</v>
      </c>
      <c r="D52" s="8">
        <f t="shared" si="1"/>
        <v>2113311.508</v>
      </c>
      <c r="E52" s="46"/>
      <c r="F52" s="8">
        <f t="shared" si="2"/>
        <v>364039.2064</v>
      </c>
      <c r="G52" s="8">
        <f t="shared" si="3"/>
        <v>1749272.302</v>
      </c>
      <c r="H52" s="8">
        <f t="shared" si="4"/>
        <v>34654648.33</v>
      </c>
      <c r="J52" s="5"/>
    </row>
    <row r="53" ht="15.75" customHeight="1">
      <c r="B53" s="2"/>
      <c r="C53" s="30">
        <v>47092.0</v>
      </c>
      <c r="D53" s="8">
        <f t="shared" si="1"/>
        <v>2113311.508</v>
      </c>
      <c r="E53" s="46"/>
      <c r="F53" s="8">
        <f t="shared" si="2"/>
        <v>346546.4833</v>
      </c>
      <c r="G53" s="8">
        <f t="shared" si="3"/>
        <v>1766765.025</v>
      </c>
      <c r="H53" s="8">
        <f t="shared" si="4"/>
        <v>32887883.31</v>
      </c>
      <c r="J53" s="5"/>
    </row>
    <row r="54" ht="15.75" customHeight="1">
      <c r="B54" s="2"/>
      <c r="C54" s="30">
        <v>47123.0</v>
      </c>
      <c r="D54" s="8">
        <f t="shared" si="1"/>
        <v>2113311.508</v>
      </c>
      <c r="E54" s="46"/>
      <c r="F54" s="8">
        <f t="shared" si="2"/>
        <v>328878.8331</v>
      </c>
      <c r="G54" s="8">
        <f t="shared" si="3"/>
        <v>1784432.675</v>
      </c>
      <c r="H54" s="8">
        <f t="shared" si="4"/>
        <v>31103450.63</v>
      </c>
      <c r="J54" s="5"/>
    </row>
    <row r="55" ht="15.75" customHeight="1">
      <c r="B55" s="2"/>
      <c r="C55" s="30">
        <v>47154.0</v>
      </c>
      <c r="D55" s="8">
        <f t="shared" si="1"/>
        <v>2113311.508</v>
      </c>
      <c r="E55" s="46"/>
      <c r="F55" s="8">
        <f t="shared" si="2"/>
        <v>311034.5063</v>
      </c>
      <c r="G55" s="8">
        <f t="shared" si="3"/>
        <v>1802277.002</v>
      </c>
      <c r="H55" s="8">
        <f t="shared" si="4"/>
        <v>29301173.63</v>
      </c>
      <c r="J55" s="5"/>
    </row>
    <row r="56" ht="15.75" customHeight="1">
      <c r="B56" s="2"/>
      <c r="C56" s="30">
        <v>47182.0</v>
      </c>
      <c r="D56" s="8">
        <f t="shared" si="1"/>
        <v>2113311.508</v>
      </c>
      <c r="E56" s="46"/>
      <c r="F56" s="8">
        <f t="shared" si="2"/>
        <v>293011.7363</v>
      </c>
      <c r="G56" s="8">
        <f t="shared" si="3"/>
        <v>1820299.772</v>
      </c>
      <c r="H56" s="8">
        <f t="shared" si="4"/>
        <v>27480873.86</v>
      </c>
      <c r="J56" s="5"/>
    </row>
    <row r="57" ht="15.75" customHeight="1">
      <c r="B57" s="2"/>
      <c r="C57" s="30">
        <v>47213.0</v>
      </c>
      <c r="D57" s="8">
        <f t="shared" si="1"/>
        <v>2113311.508</v>
      </c>
      <c r="E57" s="46"/>
      <c r="F57" s="8">
        <f t="shared" si="2"/>
        <v>274808.7386</v>
      </c>
      <c r="G57" s="8">
        <f t="shared" si="3"/>
        <v>1838502.769</v>
      </c>
      <c r="H57" s="8">
        <f t="shared" si="4"/>
        <v>25642371.09</v>
      </c>
      <c r="J57" s="5"/>
    </row>
    <row r="58" ht="15.75" customHeight="1">
      <c r="B58" s="2"/>
      <c r="C58" s="30">
        <v>47243.0</v>
      </c>
      <c r="D58" s="8">
        <f t="shared" si="1"/>
        <v>2113311.508</v>
      </c>
      <c r="E58" s="46"/>
      <c r="F58" s="8">
        <f t="shared" si="2"/>
        <v>256423.7109</v>
      </c>
      <c r="G58" s="8">
        <f t="shared" si="3"/>
        <v>1856887.797</v>
      </c>
      <c r="H58" s="8">
        <f t="shared" si="4"/>
        <v>23785483.3</v>
      </c>
      <c r="J58" s="5"/>
    </row>
    <row r="59" ht="15.75" customHeight="1">
      <c r="B59" s="2"/>
      <c r="C59" s="30">
        <v>47274.0</v>
      </c>
      <c r="D59" s="8">
        <f t="shared" si="1"/>
        <v>2113311.508</v>
      </c>
      <c r="E59" s="46"/>
      <c r="F59" s="8">
        <f t="shared" si="2"/>
        <v>237854.833</v>
      </c>
      <c r="G59" s="8">
        <f t="shared" si="3"/>
        <v>1875456.675</v>
      </c>
      <c r="H59" s="8">
        <f t="shared" si="4"/>
        <v>21910026.62</v>
      </c>
      <c r="J59" s="5"/>
    </row>
    <row r="60" ht="15.75" customHeight="1">
      <c r="B60" s="2"/>
      <c r="C60" s="30">
        <v>47304.0</v>
      </c>
      <c r="D60" s="8">
        <f t="shared" si="1"/>
        <v>2113311.508</v>
      </c>
      <c r="E60" s="46"/>
      <c r="F60" s="8">
        <f t="shared" si="2"/>
        <v>219100.2662</v>
      </c>
      <c r="G60" s="8">
        <f t="shared" si="3"/>
        <v>1894211.242</v>
      </c>
      <c r="H60" s="8">
        <f t="shared" si="4"/>
        <v>20015815.38</v>
      </c>
      <c r="J60" s="5"/>
    </row>
    <row r="61" ht="15.75" customHeight="1">
      <c r="B61" s="2"/>
      <c r="C61" s="30">
        <v>47335.0</v>
      </c>
      <c r="D61" s="8">
        <f t="shared" si="1"/>
        <v>2113311.508</v>
      </c>
      <c r="E61" s="46"/>
      <c r="F61" s="8">
        <f t="shared" si="2"/>
        <v>200158.1538</v>
      </c>
      <c r="G61" s="8">
        <f t="shared" si="3"/>
        <v>1913153.354</v>
      </c>
      <c r="H61" s="8">
        <f t="shared" si="4"/>
        <v>18102662.02</v>
      </c>
      <c r="J61" s="5"/>
    </row>
    <row r="62" ht="15.75" customHeight="1">
      <c r="B62" s="2"/>
      <c r="C62" s="30">
        <v>47366.0</v>
      </c>
      <c r="D62" s="8">
        <f t="shared" si="1"/>
        <v>2113311.508</v>
      </c>
      <c r="E62" s="46"/>
      <c r="F62" s="8">
        <f t="shared" si="2"/>
        <v>181026.6202</v>
      </c>
      <c r="G62" s="8">
        <f t="shared" si="3"/>
        <v>1932284.888</v>
      </c>
      <c r="H62" s="8">
        <f t="shared" si="4"/>
        <v>16170377.14</v>
      </c>
      <c r="J62" s="5"/>
    </row>
    <row r="63" ht="15.75" customHeight="1">
      <c r="B63" s="2"/>
      <c r="C63" s="30">
        <v>47396.0</v>
      </c>
      <c r="D63" s="8">
        <f t="shared" si="1"/>
        <v>2113311.508</v>
      </c>
      <c r="E63" s="46"/>
      <c r="F63" s="8">
        <f t="shared" si="2"/>
        <v>161703.7714</v>
      </c>
      <c r="G63" s="8">
        <f t="shared" si="3"/>
        <v>1951607.736</v>
      </c>
      <c r="H63" s="8">
        <f t="shared" si="4"/>
        <v>14218769.4</v>
      </c>
      <c r="J63" s="5"/>
    </row>
    <row r="64" ht="15.75" customHeight="1">
      <c r="B64" s="2"/>
      <c r="C64" s="30">
        <v>47427.0</v>
      </c>
      <c r="D64" s="8">
        <f t="shared" si="1"/>
        <v>2113311.508</v>
      </c>
      <c r="E64" s="46"/>
      <c r="F64" s="8">
        <f t="shared" si="2"/>
        <v>142187.694</v>
      </c>
      <c r="G64" s="8">
        <f t="shared" si="3"/>
        <v>1971123.814</v>
      </c>
      <c r="H64" s="8">
        <f t="shared" si="4"/>
        <v>12247645.59</v>
      </c>
      <c r="J64" s="5"/>
    </row>
    <row r="65" ht="15.75" customHeight="1">
      <c r="B65" s="2"/>
      <c r="C65" s="30">
        <v>47457.0</v>
      </c>
      <c r="D65" s="8">
        <f t="shared" si="1"/>
        <v>2113311.508</v>
      </c>
      <c r="E65" s="46"/>
      <c r="F65" s="8">
        <f t="shared" si="2"/>
        <v>122476.4559</v>
      </c>
      <c r="G65" s="8">
        <f t="shared" si="3"/>
        <v>1990835.052</v>
      </c>
      <c r="H65" s="8">
        <f t="shared" si="4"/>
        <v>10256810.54</v>
      </c>
      <c r="J65" s="5"/>
    </row>
    <row r="66" ht="15.75" customHeight="1">
      <c r="B66" s="2"/>
      <c r="C66" s="30">
        <v>47488.0</v>
      </c>
      <c r="D66" s="8">
        <f t="shared" si="1"/>
        <v>2113311.508</v>
      </c>
      <c r="E66" s="46"/>
      <c r="F66" s="8">
        <f t="shared" si="2"/>
        <v>102568.1054</v>
      </c>
      <c r="G66" s="8">
        <f t="shared" si="3"/>
        <v>2010743.403</v>
      </c>
      <c r="H66" s="8">
        <f t="shared" si="4"/>
        <v>8246067.133</v>
      </c>
      <c r="J66" s="5"/>
    </row>
    <row r="67" ht="15.75" customHeight="1">
      <c r="B67" s="2"/>
      <c r="C67" s="30">
        <v>47519.0</v>
      </c>
      <c r="D67" s="8">
        <f t="shared" si="1"/>
        <v>2113311.508</v>
      </c>
      <c r="E67" s="46"/>
      <c r="F67" s="8">
        <f t="shared" si="2"/>
        <v>82460.67133</v>
      </c>
      <c r="G67" s="8">
        <f t="shared" si="3"/>
        <v>2030850.837</v>
      </c>
      <c r="H67" s="8">
        <f t="shared" si="4"/>
        <v>6215216.296</v>
      </c>
      <c r="J67" s="5"/>
    </row>
    <row r="68" ht="15.75" customHeight="1">
      <c r="B68" s="2"/>
      <c r="C68" s="30">
        <v>47547.0</v>
      </c>
      <c r="D68" s="8">
        <f t="shared" si="1"/>
        <v>2113311.508</v>
      </c>
      <c r="E68" s="46"/>
      <c r="F68" s="8">
        <f t="shared" si="2"/>
        <v>62152.16296</v>
      </c>
      <c r="G68" s="8">
        <f t="shared" si="3"/>
        <v>2051159.345</v>
      </c>
      <c r="H68" s="8">
        <f t="shared" si="4"/>
        <v>4164056.951</v>
      </c>
      <c r="J68" s="5"/>
    </row>
    <row r="69" ht="15.75" customHeight="1">
      <c r="B69" s="2"/>
      <c r="C69" s="30">
        <v>47578.0</v>
      </c>
      <c r="D69" s="8">
        <f t="shared" si="1"/>
        <v>2113311.508</v>
      </c>
      <c r="E69" s="46"/>
      <c r="F69" s="8">
        <f t="shared" si="2"/>
        <v>41640.56951</v>
      </c>
      <c r="G69" s="8">
        <f t="shared" si="3"/>
        <v>2071670.938</v>
      </c>
      <c r="H69" s="8">
        <f t="shared" si="4"/>
        <v>2092386.013</v>
      </c>
      <c r="J69" s="5"/>
    </row>
    <row r="70" ht="15.75" customHeight="1">
      <c r="B70" s="2"/>
      <c r="C70" s="30">
        <v>47608.0</v>
      </c>
      <c r="D70" s="8">
        <f t="shared" si="1"/>
        <v>2113311.508</v>
      </c>
      <c r="E70" s="46"/>
      <c r="F70" s="8">
        <f t="shared" si="2"/>
        <v>20923.86013</v>
      </c>
      <c r="G70" s="8">
        <f t="shared" si="3"/>
        <v>2092387.648</v>
      </c>
      <c r="H70" s="8">
        <f t="shared" si="4"/>
        <v>-1.634977838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8.89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729</v>
      </c>
      <c r="J1" s="5"/>
    </row>
    <row r="2" ht="15.75" customHeight="1">
      <c r="B2" s="2"/>
      <c r="C2" s="1" t="s">
        <v>6</v>
      </c>
      <c r="D2" s="6">
        <f>+A5*10%</f>
        <v>10356000</v>
      </c>
      <c r="E2" s="7"/>
      <c r="J2" s="5"/>
    </row>
    <row r="3" ht="15.75" customHeight="1">
      <c r="B3" s="2"/>
      <c r="C3" s="1" t="s">
        <v>7</v>
      </c>
      <c r="D3" s="8">
        <f>+A5-D2</f>
        <v>93204000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1.0356E8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2073271.502</v>
      </c>
      <c r="E6" s="12"/>
      <c r="H6" s="5"/>
      <c r="J6" s="5"/>
    </row>
    <row r="7" ht="15.75" customHeight="1">
      <c r="B7" s="2"/>
      <c r="C7" s="1" t="s">
        <v>12</v>
      </c>
      <c r="D7" s="64" t="s">
        <v>731</v>
      </c>
      <c r="H7" s="5"/>
      <c r="J7" s="5"/>
    </row>
    <row r="8" ht="15.75" customHeight="1">
      <c r="B8" s="2"/>
      <c r="C8" s="1" t="s">
        <v>16</v>
      </c>
      <c r="D8" s="2" t="s">
        <v>732</v>
      </c>
      <c r="H8" s="5"/>
      <c r="I8" s="17"/>
      <c r="J8" s="19"/>
      <c r="K8" s="17"/>
      <c r="L8" s="21" t="s">
        <v>734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93204000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1.3475229E8</v>
      </c>
      <c r="U10" s="25"/>
    </row>
    <row r="11" ht="15.75" customHeight="1">
      <c r="A11" s="29">
        <v>45973.0</v>
      </c>
      <c r="B11" s="2" t="s">
        <v>738</v>
      </c>
      <c r="C11" s="30">
        <v>45960.0</v>
      </c>
      <c r="D11" s="8">
        <f t="shared" ref="D11:D70" si="1">$D$6</f>
        <v>2073271.502</v>
      </c>
      <c r="E11" s="15"/>
      <c r="F11" s="8">
        <f t="shared" ref="F11:F70" si="2">+H10*$D$4</f>
        <v>932040</v>
      </c>
      <c r="G11" s="8">
        <f t="shared" ref="G11:G70" si="3">+D11+E11-F11</f>
        <v>1141231.502</v>
      </c>
      <c r="H11" s="8">
        <f t="shared" ref="H11:H70" si="4">+H10-G11</f>
        <v>92062768.5</v>
      </c>
      <c r="J11" s="5"/>
      <c r="L11" s="33">
        <v>45940.0</v>
      </c>
      <c r="M11" s="34" t="s">
        <v>44</v>
      </c>
      <c r="N11" s="35" t="s">
        <v>740</v>
      </c>
      <c r="O11" s="36"/>
      <c r="P11" s="36">
        <v>1.0356E7</v>
      </c>
      <c r="Q11" s="36"/>
      <c r="R11" s="36"/>
      <c r="S11" s="36">
        <f t="shared" ref="S11:S19" si="5">SUM(O11:R11)</f>
        <v>10356000</v>
      </c>
      <c r="T11" s="36">
        <f t="shared" ref="T11:T19" si="6">T10-S11</f>
        <v>124396290</v>
      </c>
      <c r="U11" s="34"/>
    </row>
    <row r="12" ht="15.75" customHeight="1">
      <c r="A12" s="29">
        <v>46006.0</v>
      </c>
      <c r="B12" s="2" t="s">
        <v>743</v>
      </c>
      <c r="C12" s="30">
        <v>45991.0</v>
      </c>
      <c r="D12" s="8">
        <f t="shared" si="1"/>
        <v>2073271.502</v>
      </c>
      <c r="E12" s="15"/>
      <c r="F12" s="8">
        <f t="shared" si="2"/>
        <v>920627.685</v>
      </c>
      <c r="G12" s="8">
        <f t="shared" si="3"/>
        <v>1152643.817</v>
      </c>
      <c r="H12" s="8">
        <f t="shared" si="4"/>
        <v>90910124.68</v>
      </c>
      <c r="J12" s="5"/>
      <c r="L12" s="33">
        <v>45973.0</v>
      </c>
      <c r="M12" s="34" t="s">
        <v>73</v>
      </c>
      <c r="N12" s="35" t="s">
        <v>738</v>
      </c>
      <c r="O12" s="36"/>
      <c r="P12" s="36">
        <v>2073272.0</v>
      </c>
      <c r="Q12" s="36"/>
      <c r="R12" s="36"/>
      <c r="S12" s="36">
        <f t="shared" si="5"/>
        <v>2073272</v>
      </c>
      <c r="T12" s="36">
        <f t="shared" si="6"/>
        <v>122323018</v>
      </c>
      <c r="U12" s="34"/>
    </row>
    <row r="13" ht="15.75" customHeight="1">
      <c r="A13" s="29">
        <v>46042.0</v>
      </c>
      <c r="B13" s="2" t="s">
        <v>745</v>
      </c>
      <c r="C13" s="30">
        <v>46021.0</v>
      </c>
      <c r="D13" s="8">
        <f t="shared" si="1"/>
        <v>2073271.502</v>
      </c>
      <c r="E13" s="15">
        <f>2073000-D13</f>
        <v>-271.5020236</v>
      </c>
      <c r="F13" s="8">
        <f t="shared" si="2"/>
        <v>909101.2468</v>
      </c>
      <c r="G13" s="8">
        <f t="shared" si="3"/>
        <v>1163898.753</v>
      </c>
      <c r="H13" s="8">
        <f t="shared" si="4"/>
        <v>89746225.93</v>
      </c>
      <c r="J13" s="5" t="s">
        <v>56</v>
      </c>
      <c r="L13" s="33">
        <v>46006.0</v>
      </c>
      <c r="M13" s="34" t="s">
        <v>78</v>
      </c>
      <c r="N13" s="35" t="s">
        <v>743</v>
      </c>
      <c r="O13" s="36"/>
      <c r="P13" s="36">
        <v>2073272.0</v>
      </c>
      <c r="Q13" s="36"/>
      <c r="R13" s="36"/>
      <c r="S13" s="36">
        <f t="shared" si="5"/>
        <v>2073272</v>
      </c>
      <c r="T13" s="36">
        <f t="shared" si="6"/>
        <v>120249746</v>
      </c>
      <c r="U13" s="34"/>
    </row>
    <row r="14" ht="15.75" customHeight="1">
      <c r="A14" s="29">
        <v>46072.0</v>
      </c>
      <c r="B14" s="2" t="s">
        <v>747</v>
      </c>
      <c r="C14" s="30">
        <v>46052.0</v>
      </c>
      <c r="D14" s="8">
        <f t="shared" si="1"/>
        <v>2073271.502</v>
      </c>
      <c r="E14" s="15"/>
      <c r="F14" s="8">
        <f t="shared" si="2"/>
        <v>897462.2593</v>
      </c>
      <c r="G14" s="8">
        <f t="shared" si="3"/>
        <v>1175809.243</v>
      </c>
      <c r="H14" s="8">
        <f t="shared" si="4"/>
        <v>88570416.68</v>
      </c>
      <c r="J14" s="8">
        <f>+H10</f>
        <v>93204000</v>
      </c>
      <c r="L14" s="33">
        <v>46042.0</v>
      </c>
      <c r="M14" s="34" t="s">
        <v>83</v>
      </c>
      <c r="N14" s="35" t="s">
        <v>745</v>
      </c>
      <c r="O14" s="36"/>
      <c r="P14" s="36">
        <v>2073000.0</v>
      </c>
      <c r="Q14" s="36"/>
      <c r="R14" s="36"/>
      <c r="S14" s="36">
        <f t="shared" si="5"/>
        <v>2073000</v>
      </c>
      <c r="T14" s="36">
        <f t="shared" si="6"/>
        <v>118176746</v>
      </c>
      <c r="U14" s="34"/>
    </row>
    <row r="15" ht="15.75" customHeight="1">
      <c r="A15" s="29">
        <v>46111.0</v>
      </c>
      <c r="B15" s="2" t="s">
        <v>748</v>
      </c>
      <c r="C15" s="30">
        <v>46081.0</v>
      </c>
      <c r="D15" s="8">
        <f t="shared" si="1"/>
        <v>2073271.502</v>
      </c>
      <c r="E15" s="15"/>
      <c r="F15" s="8">
        <f t="shared" si="2"/>
        <v>885704.1668</v>
      </c>
      <c r="G15" s="8">
        <f t="shared" si="3"/>
        <v>1187567.335</v>
      </c>
      <c r="H15" s="8">
        <f t="shared" si="4"/>
        <v>87382849.35</v>
      </c>
      <c r="J15" s="5"/>
      <c r="L15" s="33">
        <v>46072.0</v>
      </c>
      <c r="M15" s="34" t="s">
        <v>85</v>
      </c>
      <c r="N15" s="35" t="s">
        <v>747</v>
      </c>
      <c r="O15" s="36"/>
      <c r="P15" s="36">
        <v>2073272.0</v>
      </c>
      <c r="Q15" s="36"/>
      <c r="R15" s="36"/>
      <c r="S15" s="36">
        <f t="shared" si="5"/>
        <v>2073272</v>
      </c>
      <c r="T15" s="36">
        <f t="shared" si="6"/>
        <v>116103474</v>
      </c>
      <c r="U15" s="34"/>
    </row>
    <row r="16" ht="15.75" customHeight="1">
      <c r="A16" s="29">
        <v>46147.0</v>
      </c>
      <c r="B16" s="2" t="s">
        <v>749</v>
      </c>
      <c r="C16" s="30">
        <v>46111.0</v>
      </c>
      <c r="D16" s="8">
        <f t="shared" si="1"/>
        <v>2073271.502</v>
      </c>
      <c r="E16" s="15"/>
      <c r="F16" s="8">
        <f t="shared" si="2"/>
        <v>873828.4935</v>
      </c>
      <c r="G16" s="8">
        <f t="shared" si="3"/>
        <v>1199443.009</v>
      </c>
      <c r="H16" s="8">
        <f t="shared" si="4"/>
        <v>86183406.34</v>
      </c>
      <c r="J16" s="5"/>
      <c r="L16" s="33">
        <v>46111.0</v>
      </c>
      <c r="M16" s="34" t="s">
        <v>89</v>
      </c>
      <c r="N16" s="35" t="s">
        <v>748</v>
      </c>
      <c r="O16" s="36"/>
      <c r="P16" s="36">
        <v>2073272.0</v>
      </c>
      <c r="Q16" s="36"/>
      <c r="R16" s="36"/>
      <c r="S16" s="36">
        <f t="shared" si="5"/>
        <v>2073272</v>
      </c>
      <c r="T16" s="36">
        <f t="shared" si="6"/>
        <v>114030202</v>
      </c>
      <c r="U16" s="34"/>
    </row>
    <row r="17" ht="15.75" customHeight="1">
      <c r="A17" s="29">
        <v>46217.0</v>
      </c>
      <c r="B17" s="2" t="s">
        <v>751</v>
      </c>
      <c r="C17" s="30">
        <v>46142.0</v>
      </c>
      <c r="D17" s="8">
        <f t="shared" si="1"/>
        <v>2073271.502</v>
      </c>
      <c r="E17" s="15"/>
      <c r="F17" s="8">
        <f t="shared" si="2"/>
        <v>861834.0634</v>
      </c>
      <c r="G17" s="8">
        <f t="shared" si="3"/>
        <v>1211437.439</v>
      </c>
      <c r="H17" s="8">
        <f t="shared" si="4"/>
        <v>84971968.9</v>
      </c>
      <c r="J17" s="5"/>
      <c r="L17" s="33">
        <v>46147.0</v>
      </c>
      <c r="M17" s="34" t="s">
        <v>93</v>
      </c>
      <c r="N17" s="35" t="s">
        <v>749</v>
      </c>
      <c r="O17" s="36"/>
      <c r="P17" s="36">
        <v>2073272.0</v>
      </c>
      <c r="Q17" s="36"/>
      <c r="R17" s="36"/>
      <c r="S17" s="36">
        <f t="shared" si="5"/>
        <v>2073272</v>
      </c>
      <c r="T17" s="36">
        <f t="shared" si="6"/>
        <v>111956930</v>
      </c>
      <c r="U17" s="34"/>
    </row>
    <row r="18" ht="15.75" customHeight="1">
      <c r="A18" s="29">
        <v>46244.0</v>
      </c>
      <c r="B18" s="2" t="s">
        <v>752</v>
      </c>
      <c r="C18" s="30">
        <v>46172.0</v>
      </c>
      <c r="D18" s="8">
        <f t="shared" si="1"/>
        <v>2073271.502</v>
      </c>
      <c r="E18" s="15"/>
      <c r="F18" s="8">
        <f t="shared" si="2"/>
        <v>849719.689</v>
      </c>
      <c r="G18" s="8">
        <f t="shared" si="3"/>
        <v>1223551.813</v>
      </c>
      <c r="H18" s="8">
        <f t="shared" si="4"/>
        <v>83748417.09</v>
      </c>
      <c r="J18" s="5"/>
      <c r="L18" s="33">
        <v>46217.0</v>
      </c>
      <c r="M18" s="34" t="s">
        <v>96</v>
      </c>
      <c r="N18" s="35" t="s">
        <v>751</v>
      </c>
      <c r="O18" s="36"/>
      <c r="P18" s="36">
        <v>2073272.0</v>
      </c>
      <c r="Q18" s="36"/>
      <c r="R18" s="36"/>
      <c r="S18" s="36">
        <f t="shared" si="5"/>
        <v>2073272</v>
      </c>
      <c r="T18" s="36">
        <f t="shared" si="6"/>
        <v>109883658</v>
      </c>
      <c r="U18" s="34"/>
    </row>
    <row r="19" ht="15.75" customHeight="1">
      <c r="A19" s="37"/>
      <c r="B19" s="2"/>
      <c r="C19" s="30">
        <v>46203.0</v>
      </c>
      <c r="D19" s="8">
        <f t="shared" si="1"/>
        <v>2073271.502</v>
      </c>
      <c r="E19" s="15"/>
      <c r="F19" s="8">
        <f t="shared" si="2"/>
        <v>837484.1709</v>
      </c>
      <c r="G19" s="8">
        <f t="shared" si="3"/>
        <v>1235787.331</v>
      </c>
      <c r="H19" s="8">
        <f t="shared" si="4"/>
        <v>82512629.76</v>
      </c>
      <c r="I19" s="1"/>
      <c r="J19" s="41"/>
      <c r="K19" s="1"/>
      <c r="L19" s="78">
        <v>46244.0</v>
      </c>
      <c r="M19" s="43" t="s">
        <v>100</v>
      </c>
      <c r="N19" s="44" t="s">
        <v>752</v>
      </c>
      <c r="O19" s="45"/>
      <c r="P19" s="45"/>
      <c r="Q19" s="45"/>
      <c r="R19" s="45">
        <v>2073272.0</v>
      </c>
      <c r="S19" s="45">
        <f t="shared" si="5"/>
        <v>2073272</v>
      </c>
      <c r="T19" s="45">
        <f t="shared" si="6"/>
        <v>107810386</v>
      </c>
      <c r="U19" s="43" t="s">
        <v>125</v>
      </c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46233.0</v>
      </c>
      <c r="D20" s="8">
        <f t="shared" si="1"/>
        <v>2073271.502</v>
      </c>
      <c r="E20" s="15"/>
      <c r="F20" s="8">
        <f t="shared" si="2"/>
        <v>825126.2976</v>
      </c>
      <c r="G20" s="8">
        <f t="shared" si="3"/>
        <v>1248145.204</v>
      </c>
      <c r="H20" s="8">
        <f t="shared" si="4"/>
        <v>81264484.55</v>
      </c>
      <c r="J20" s="5"/>
      <c r="L20" s="25"/>
      <c r="M20" s="38" t="s">
        <v>69</v>
      </c>
      <c r="N20" s="39"/>
      <c r="O20" s="27">
        <f t="shared" ref="O20:S20" si="7">SUM(O11:O19)</f>
        <v>0</v>
      </c>
      <c r="P20" s="27">
        <f t="shared" si="7"/>
        <v>24868632</v>
      </c>
      <c r="Q20" s="27">
        <f t="shared" si="7"/>
        <v>0</v>
      </c>
      <c r="R20" s="27">
        <f t="shared" si="7"/>
        <v>2073272</v>
      </c>
      <c r="S20" s="27">
        <f t="shared" si="7"/>
        <v>26941904</v>
      </c>
      <c r="T20" s="27">
        <f>T19</f>
        <v>107810386</v>
      </c>
      <c r="U20" s="25"/>
    </row>
    <row r="21" ht="15.75" customHeight="1">
      <c r="A21" s="37"/>
      <c r="B21" s="2"/>
      <c r="C21" s="30">
        <v>46264.0</v>
      </c>
      <c r="D21" s="8">
        <f t="shared" si="1"/>
        <v>2073271.502</v>
      </c>
      <c r="E21" s="15"/>
      <c r="F21" s="8">
        <f t="shared" si="2"/>
        <v>812644.8455</v>
      </c>
      <c r="G21" s="8">
        <f t="shared" si="3"/>
        <v>1260626.656</v>
      </c>
      <c r="H21" s="8">
        <f t="shared" si="4"/>
        <v>80003857.9</v>
      </c>
      <c r="J21" s="5"/>
    </row>
    <row r="22" ht="15.75" customHeight="1">
      <c r="A22" s="37"/>
      <c r="B22" s="2"/>
      <c r="C22" s="30">
        <v>46295.0</v>
      </c>
      <c r="D22" s="8">
        <f t="shared" si="1"/>
        <v>2073271.502</v>
      </c>
      <c r="E22" s="15"/>
      <c r="F22" s="8">
        <f t="shared" si="2"/>
        <v>800038.579</v>
      </c>
      <c r="G22" s="8">
        <f t="shared" si="3"/>
        <v>1273232.923</v>
      </c>
      <c r="H22" s="8">
        <f t="shared" si="4"/>
        <v>78730624.97</v>
      </c>
      <c r="J22" s="5"/>
    </row>
    <row r="23" ht="15.75" customHeight="1">
      <c r="A23" s="37"/>
      <c r="B23" s="2"/>
      <c r="C23" s="30">
        <v>46325.0</v>
      </c>
      <c r="D23" s="8">
        <f t="shared" si="1"/>
        <v>2073271.502</v>
      </c>
      <c r="E23" s="46"/>
      <c r="F23" s="8">
        <f t="shared" si="2"/>
        <v>787306.2497</v>
      </c>
      <c r="G23" s="8">
        <f t="shared" si="3"/>
        <v>1285965.252</v>
      </c>
      <c r="H23" s="8">
        <f t="shared" si="4"/>
        <v>77444659.72</v>
      </c>
      <c r="J23" s="5"/>
    </row>
    <row r="24" ht="15.75" customHeight="1">
      <c r="A24" s="37"/>
      <c r="B24" s="2"/>
      <c r="C24" s="30">
        <v>46356.0</v>
      </c>
      <c r="D24" s="8">
        <f t="shared" si="1"/>
        <v>2073271.502</v>
      </c>
      <c r="E24" s="46"/>
      <c r="F24" s="8">
        <f t="shared" si="2"/>
        <v>774446.5972</v>
      </c>
      <c r="G24" s="8">
        <f t="shared" si="3"/>
        <v>1298824.905</v>
      </c>
      <c r="H24" s="8">
        <f t="shared" si="4"/>
        <v>76145834.82</v>
      </c>
      <c r="J24" s="5"/>
    </row>
    <row r="25" ht="15.75" customHeight="1">
      <c r="B25" s="2"/>
      <c r="C25" s="30">
        <v>46386.0</v>
      </c>
      <c r="D25" s="8">
        <f t="shared" si="1"/>
        <v>2073271.502</v>
      </c>
      <c r="E25" s="46"/>
      <c r="F25" s="8">
        <f t="shared" si="2"/>
        <v>761458.3482</v>
      </c>
      <c r="G25" s="8">
        <f t="shared" si="3"/>
        <v>1311813.154</v>
      </c>
      <c r="H25" s="8">
        <f t="shared" si="4"/>
        <v>74834021.66</v>
      </c>
      <c r="J25" s="5"/>
    </row>
    <row r="26" ht="15.75" customHeight="1">
      <c r="B26" s="2"/>
      <c r="C26" s="30">
        <v>46417.0</v>
      </c>
      <c r="D26" s="8">
        <f t="shared" si="1"/>
        <v>2073271.502</v>
      </c>
      <c r="E26" s="46"/>
      <c r="F26" s="8">
        <f t="shared" si="2"/>
        <v>748340.2166</v>
      </c>
      <c r="G26" s="8">
        <f t="shared" si="3"/>
        <v>1324931.285</v>
      </c>
      <c r="H26" s="8">
        <f t="shared" si="4"/>
        <v>73509090.38</v>
      </c>
      <c r="J26" s="5"/>
    </row>
    <row r="27" ht="15.75" customHeight="1">
      <c r="B27" s="2"/>
      <c r="C27" s="30">
        <v>46446.0</v>
      </c>
      <c r="D27" s="8">
        <f t="shared" si="1"/>
        <v>2073271.502</v>
      </c>
      <c r="E27" s="46"/>
      <c r="F27" s="8">
        <f t="shared" si="2"/>
        <v>735090.9038</v>
      </c>
      <c r="G27" s="8">
        <f t="shared" si="3"/>
        <v>1338180.598</v>
      </c>
      <c r="H27" s="8">
        <f t="shared" si="4"/>
        <v>72170909.78</v>
      </c>
      <c r="J27" s="5"/>
    </row>
    <row r="28" ht="15.75" customHeight="1">
      <c r="B28" s="2"/>
      <c r="C28" s="30">
        <v>46476.0</v>
      </c>
      <c r="D28" s="8">
        <f t="shared" si="1"/>
        <v>2073271.502</v>
      </c>
      <c r="E28" s="46"/>
      <c r="F28" s="8">
        <f t="shared" si="2"/>
        <v>721709.0978</v>
      </c>
      <c r="G28" s="8">
        <f t="shared" si="3"/>
        <v>1351562.404</v>
      </c>
      <c r="H28" s="8">
        <f t="shared" si="4"/>
        <v>70819347.38</v>
      </c>
      <c r="J28" s="5"/>
    </row>
    <row r="29" ht="15.75" customHeight="1">
      <c r="B29" s="2"/>
      <c r="C29" s="30">
        <v>46507.0</v>
      </c>
      <c r="D29" s="8">
        <f t="shared" si="1"/>
        <v>2073271.502</v>
      </c>
      <c r="E29" s="46"/>
      <c r="F29" s="8">
        <f t="shared" si="2"/>
        <v>708193.4738</v>
      </c>
      <c r="G29" s="8">
        <f t="shared" si="3"/>
        <v>1365078.028</v>
      </c>
      <c r="H29" s="8">
        <f t="shared" si="4"/>
        <v>69454269.35</v>
      </c>
      <c r="J29" s="5"/>
    </row>
    <row r="30" ht="15.75" customHeight="1">
      <c r="B30" s="2"/>
      <c r="C30" s="30">
        <v>46537.0</v>
      </c>
      <c r="D30" s="8">
        <f t="shared" si="1"/>
        <v>2073271.502</v>
      </c>
      <c r="E30" s="46"/>
      <c r="F30" s="8">
        <f t="shared" si="2"/>
        <v>694542.6935</v>
      </c>
      <c r="G30" s="8">
        <f t="shared" si="3"/>
        <v>1378728.809</v>
      </c>
      <c r="H30" s="8">
        <f t="shared" si="4"/>
        <v>68075540.54</v>
      </c>
      <c r="J30" s="5"/>
    </row>
    <row r="31" ht="15.75" customHeight="1">
      <c r="B31" s="2"/>
      <c r="C31" s="30">
        <v>46568.0</v>
      </c>
      <c r="D31" s="8">
        <f t="shared" si="1"/>
        <v>2073271.502</v>
      </c>
      <c r="E31" s="46"/>
      <c r="F31" s="8">
        <f t="shared" si="2"/>
        <v>680755.4054</v>
      </c>
      <c r="G31" s="8">
        <f t="shared" si="3"/>
        <v>1392516.097</v>
      </c>
      <c r="H31" s="8">
        <f t="shared" si="4"/>
        <v>66683024.44</v>
      </c>
      <c r="J31" s="5"/>
    </row>
    <row r="32" ht="15.75" customHeight="1">
      <c r="B32" s="2"/>
      <c r="C32" s="30">
        <v>46598.0</v>
      </c>
      <c r="D32" s="8">
        <f t="shared" si="1"/>
        <v>2073271.502</v>
      </c>
      <c r="E32" s="46"/>
      <c r="F32" s="8">
        <f t="shared" si="2"/>
        <v>666830.2444</v>
      </c>
      <c r="G32" s="8">
        <f t="shared" si="3"/>
        <v>1406441.258</v>
      </c>
      <c r="H32" s="8">
        <f t="shared" si="4"/>
        <v>65276583.18</v>
      </c>
      <c r="J32" s="5"/>
    </row>
    <row r="33" ht="15.75" customHeight="1">
      <c r="B33" s="2"/>
      <c r="C33" s="30">
        <v>46629.0</v>
      </c>
      <c r="D33" s="8">
        <f t="shared" si="1"/>
        <v>2073271.502</v>
      </c>
      <c r="E33" s="46"/>
      <c r="F33" s="8">
        <f t="shared" si="2"/>
        <v>652765.8318</v>
      </c>
      <c r="G33" s="8">
        <f t="shared" si="3"/>
        <v>1420505.67</v>
      </c>
      <c r="H33" s="8">
        <f t="shared" si="4"/>
        <v>63856077.51</v>
      </c>
      <c r="J33" s="5"/>
    </row>
    <row r="34" ht="15.75" customHeight="1">
      <c r="B34" s="2"/>
      <c r="C34" s="30">
        <v>46660.0</v>
      </c>
      <c r="D34" s="8">
        <f t="shared" si="1"/>
        <v>2073271.502</v>
      </c>
      <c r="E34" s="46"/>
      <c r="F34" s="8">
        <f t="shared" si="2"/>
        <v>638560.7751</v>
      </c>
      <c r="G34" s="8">
        <f t="shared" si="3"/>
        <v>1434710.727</v>
      </c>
      <c r="H34" s="8">
        <f t="shared" si="4"/>
        <v>62421366.79</v>
      </c>
      <c r="J34" s="5"/>
    </row>
    <row r="35" ht="15.75" customHeight="1">
      <c r="B35" s="2"/>
      <c r="C35" s="30">
        <v>46690.0</v>
      </c>
      <c r="D35" s="8">
        <f t="shared" si="1"/>
        <v>2073271.502</v>
      </c>
      <c r="E35" s="46"/>
      <c r="F35" s="8">
        <f t="shared" si="2"/>
        <v>624213.6679</v>
      </c>
      <c r="G35" s="8">
        <f t="shared" si="3"/>
        <v>1449057.834</v>
      </c>
      <c r="H35" s="8">
        <f t="shared" si="4"/>
        <v>60972308.95</v>
      </c>
      <c r="J35" s="5"/>
    </row>
    <row r="36" ht="15.75" customHeight="1">
      <c r="B36" s="2"/>
      <c r="C36" s="30">
        <v>46721.0</v>
      </c>
      <c r="D36" s="8">
        <f t="shared" si="1"/>
        <v>2073271.502</v>
      </c>
      <c r="E36" s="46"/>
      <c r="F36" s="8">
        <f t="shared" si="2"/>
        <v>609723.0895</v>
      </c>
      <c r="G36" s="8">
        <f t="shared" si="3"/>
        <v>1463548.412</v>
      </c>
      <c r="H36" s="8">
        <f t="shared" si="4"/>
        <v>59508760.54</v>
      </c>
      <c r="J36" s="5"/>
    </row>
    <row r="37" ht="15.75" customHeight="1">
      <c r="B37" s="2"/>
      <c r="C37" s="30">
        <v>46751.0</v>
      </c>
      <c r="D37" s="8">
        <f t="shared" si="1"/>
        <v>2073271.502</v>
      </c>
      <c r="E37" s="46"/>
      <c r="F37" s="8">
        <f t="shared" si="2"/>
        <v>595087.6054</v>
      </c>
      <c r="G37" s="8">
        <f t="shared" si="3"/>
        <v>1478183.897</v>
      </c>
      <c r="H37" s="8">
        <f t="shared" si="4"/>
        <v>58030576.64</v>
      </c>
      <c r="J37" s="5"/>
    </row>
    <row r="38" ht="15.75" customHeight="1">
      <c r="B38" s="2"/>
      <c r="C38" s="30">
        <v>46782.0</v>
      </c>
      <c r="D38" s="8">
        <f t="shared" si="1"/>
        <v>2073271.502</v>
      </c>
      <c r="E38" s="46"/>
      <c r="F38" s="8">
        <f t="shared" si="2"/>
        <v>580305.7664</v>
      </c>
      <c r="G38" s="8">
        <f t="shared" si="3"/>
        <v>1492965.736</v>
      </c>
      <c r="H38" s="8">
        <f t="shared" si="4"/>
        <v>56537610.91</v>
      </c>
      <c r="J38" s="5"/>
    </row>
    <row r="39" ht="15.75" customHeight="1">
      <c r="B39" s="2"/>
      <c r="C39" s="30">
        <v>46812.0</v>
      </c>
      <c r="D39" s="8">
        <f t="shared" si="1"/>
        <v>2073271.502</v>
      </c>
      <c r="E39" s="46"/>
      <c r="F39" s="8">
        <f t="shared" si="2"/>
        <v>565376.1091</v>
      </c>
      <c r="G39" s="8">
        <f t="shared" si="3"/>
        <v>1507895.393</v>
      </c>
      <c r="H39" s="8">
        <f t="shared" si="4"/>
        <v>55029715.52</v>
      </c>
      <c r="J39" s="5"/>
    </row>
    <row r="40" ht="15.75" customHeight="1">
      <c r="B40" s="2"/>
      <c r="C40" s="30">
        <v>46842.0</v>
      </c>
      <c r="D40" s="8">
        <f t="shared" si="1"/>
        <v>2073271.502</v>
      </c>
      <c r="E40" s="46"/>
      <c r="F40" s="8">
        <f t="shared" si="2"/>
        <v>550297.1552</v>
      </c>
      <c r="G40" s="8">
        <f t="shared" si="3"/>
        <v>1522974.347</v>
      </c>
      <c r="H40" s="8">
        <f t="shared" si="4"/>
        <v>53506741.17</v>
      </c>
      <c r="J40" s="5"/>
    </row>
    <row r="41" ht="15.75" customHeight="1">
      <c r="B41" s="2"/>
      <c r="C41" s="30">
        <v>46873.0</v>
      </c>
      <c r="D41" s="8">
        <f t="shared" si="1"/>
        <v>2073271.502</v>
      </c>
      <c r="E41" s="46"/>
      <c r="F41" s="8">
        <f t="shared" si="2"/>
        <v>535067.4117</v>
      </c>
      <c r="G41" s="8">
        <f t="shared" si="3"/>
        <v>1538204.09</v>
      </c>
      <c r="H41" s="8">
        <f t="shared" si="4"/>
        <v>51968537.08</v>
      </c>
      <c r="J41" s="5"/>
    </row>
    <row r="42" ht="15.75" customHeight="1">
      <c r="B42" s="2"/>
      <c r="C42" s="30">
        <v>46903.0</v>
      </c>
      <c r="D42" s="8">
        <f t="shared" si="1"/>
        <v>2073271.502</v>
      </c>
      <c r="E42" s="46"/>
      <c r="F42" s="8">
        <f t="shared" si="2"/>
        <v>519685.3708</v>
      </c>
      <c r="G42" s="8">
        <f t="shared" si="3"/>
        <v>1553586.131</v>
      </c>
      <c r="H42" s="8">
        <f t="shared" si="4"/>
        <v>50414950.95</v>
      </c>
      <c r="J42" s="5"/>
    </row>
    <row r="43" ht="15.75" customHeight="1">
      <c r="B43" s="2"/>
      <c r="C43" s="30">
        <v>46934.0</v>
      </c>
      <c r="D43" s="8">
        <f t="shared" si="1"/>
        <v>2073271.502</v>
      </c>
      <c r="E43" s="46"/>
      <c r="F43" s="8">
        <f t="shared" si="2"/>
        <v>504149.5095</v>
      </c>
      <c r="G43" s="8">
        <f t="shared" si="3"/>
        <v>1569121.993</v>
      </c>
      <c r="H43" s="8">
        <f t="shared" si="4"/>
        <v>48845828.95</v>
      </c>
      <c r="J43" s="5"/>
    </row>
    <row r="44" ht="15.75" customHeight="1">
      <c r="B44" s="2"/>
      <c r="C44" s="30">
        <v>46964.0</v>
      </c>
      <c r="D44" s="8">
        <f t="shared" si="1"/>
        <v>2073271.502</v>
      </c>
      <c r="E44" s="46"/>
      <c r="F44" s="8">
        <f t="shared" si="2"/>
        <v>488458.2895</v>
      </c>
      <c r="G44" s="8">
        <f t="shared" si="3"/>
        <v>1584813.212</v>
      </c>
      <c r="H44" s="8">
        <f t="shared" si="4"/>
        <v>47261015.74</v>
      </c>
      <c r="J44" s="5"/>
    </row>
    <row r="45" ht="15.75" customHeight="1">
      <c r="B45" s="2"/>
      <c r="C45" s="30">
        <v>46995.0</v>
      </c>
      <c r="D45" s="8">
        <f t="shared" si="1"/>
        <v>2073271.502</v>
      </c>
      <c r="E45" s="46"/>
      <c r="F45" s="8">
        <f t="shared" si="2"/>
        <v>472610.1574</v>
      </c>
      <c r="G45" s="8">
        <f t="shared" si="3"/>
        <v>1600661.345</v>
      </c>
      <c r="H45" s="8">
        <f t="shared" si="4"/>
        <v>45660354.4</v>
      </c>
      <c r="J45" s="5"/>
    </row>
    <row r="46" ht="15.75" customHeight="1">
      <c r="B46" s="2"/>
      <c r="C46" s="30">
        <v>47026.0</v>
      </c>
      <c r="D46" s="8">
        <f t="shared" si="1"/>
        <v>2073271.502</v>
      </c>
      <c r="E46" s="46"/>
      <c r="F46" s="8">
        <f t="shared" si="2"/>
        <v>456603.544</v>
      </c>
      <c r="G46" s="8">
        <f t="shared" si="3"/>
        <v>1616667.958</v>
      </c>
      <c r="H46" s="8">
        <f t="shared" si="4"/>
        <v>44043686.44</v>
      </c>
      <c r="J46" s="5"/>
    </row>
    <row r="47" ht="15.75" customHeight="1">
      <c r="B47" s="2"/>
      <c r="C47" s="30">
        <v>47056.0</v>
      </c>
      <c r="D47" s="8">
        <f t="shared" si="1"/>
        <v>2073271.502</v>
      </c>
      <c r="E47" s="46"/>
      <c r="F47" s="8">
        <f t="shared" si="2"/>
        <v>440436.8644</v>
      </c>
      <c r="G47" s="8">
        <f t="shared" si="3"/>
        <v>1632834.638</v>
      </c>
      <c r="H47" s="8">
        <f t="shared" si="4"/>
        <v>42410851.8</v>
      </c>
      <c r="J47" s="5"/>
    </row>
    <row r="48" ht="15.75" customHeight="1">
      <c r="B48" s="2"/>
      <c r="C48" s="30">
        <v>47087.0</v>
      </c>
      <c r="D48" s="8">
        <f t="shared" si="1"/>
        <v>2073271.502</v>
      </c>
      <c r="E48" s="46"/>
      <c r="F48" s="8">
        <f t="shared" si="2"/>
        <v>424108.518</v>
      </c>
      <c r="G48" s="8">
        <f t="shared" si="3"/>
        <v>1649162.984</v>
      </c>
      <c r="H48" s="8">
        <f t="shared" si="4"/>
        <v>40761688.82</v>
      </c>
      <c r="J48" s="5"/>
    </row>
    <row r="49" ht="15.75" customHeight="1">
      <c r="B49" s="2"/>
      <c r="C49" s="30">
        <v>47117.0</v>
      </c>
      <c r="D49" s="8">
        <f t="shared" si="1"/>
        <v>2073271.502</v>
      </c>
      <c r="E49" s="46"/>
      <c r="F49" s="8">
        <f t="shared" si="2"/>
        <v>407616.8882</v>
      </c>
      <c r="G49" s="8">
        <f t="shared" si="3"/>
        <v>1665654.614</v>
      </c>
      <c r="H49" s="8">
        <f t="shared" si="4"/>
        <v>39096034.2</v>
      </c>
      <c r="J49" s="5"/>
    </row>
    <row r="50" ht="15.75" customHeight="1">
      <c r="B50" s="2"/>
      <c r="C50" s="30">
        <v>47148.0</v>
      </c>
      <c r="D50" s="8">
        <f t="shared" si="1"/>
        <v>2073271.502</v>
      </c>
      <c r="E50" s="46"/>
      <c r="F50" s="8">
        <f t="shared" si="2"/>
        <v>390960.342</v>
      </c>
      <c r="G50" s="8">
        <f t="shared" si="3"/>
        <v>1682311.16</v>
      </c>
      <c r="H50" s="8">
        <f t="shared" si="4"/>
        <v>37413723.04</v>
      </c>
      <c r="J50" s="5"/>
    </row>
    <row r="51" ht="15.75" customHeight="1">
      <c r="B51" s="2"/>
      <c r="C51" s="30">
        <v>47177.0</v>
      </c>
      <c r="D51" s="8">
        <f t="shared" si="1"/>
        <v>2073271.502</v>
      </c>
      <c r="E51" s="46"/>
      <c r="F51" s="8">
        <f t="shared" si="2"/>
        <v>374137.2304</v>
      </c>
      <c r="G51" s="8">
        <f t="shared" si="3"/>
        <v>1699134.272</v>
      </c>
      <c r="H51" s="8">
        <f t="shared" si="4"/>
        <v>35714588.77</v>
      </c>
      <c r="J51" s="5"/>
    </row>
    <row r="52" ht="15.75" customHeight="1">
      <c r="B52" s="2"/>
      <c r="C52" s="30">
        <v>47207.0</v>
      </c>
      <c r="D52" s="8">
        <f t="shared" si="1"/>
        <v>2073271.502</v>
      </c>
      <c r="E52" s="46"/>
      <c r="F52" s="8">
        <f t="shared" si="2"/>
        <v>357145.8877</v>
      </c>
      <c r="G52" s="8">
        <f t="shared" si="3"/>
        <v>1716125.614</v>
      </c>
      <c r="H52" s="8">
        <f t="shared" si="4"/>
        <v>33998463.16</v>
      </c>
      <c r="J52" s="5"/>
    </row>
    <row r="53" ht="15.75" customHeight="1">
      <c r="B53" s="2"/>
      <c r="C53" s="30">
        <v>47238.0</v>
      </c>
      <c r="D53" s="8">
        <f t="shared" si="1"/>
        <v>2073271.502</v>
      </c>
      <c r="E53" s="46"/>
      <c r="F53" s="8">
        <f t="shared" si="2"/>
        <v>339984.6316</v>
      </c>
      <c r="G53" s="8">
        <f t="shared" si="3"/>
        <v>1733286.87</v>
      </c>
      <c r="H53" s="8">
        <f t="shared" si="4"/>
        <v>32265176.29</v>
      </c>
      <c r="J53" s="5"/>
    </row>
    <row r="54" ht="15.75" customHeight="1">
      <c r="B54" s="2"/>
      <c r="C54" s="30">
        <v>47268.0</v>
      </c>
      <c r="D54" s="8">
        <f t="shared" si="1"/>
        <v>2073271.502</v>
      </c>
      <c r="E54" s="46"/>
      <c r="F54" s="8">
        <f t="shared" si="2"/>
        <v>322651.7629</v>
      </c>
      <c r="G54" s="8">
        <f t="shared" si="3"/>
        <v>1750619.739</v>
      </c>
      <c r="H54" s="8">
        <f t="shared" si="4"/>
        <v>30514556.55</v>
      </c>
      <c r="J54" s="5"/>
    </row>
    <row r="55" ht="15.75" customHeight="1">
      <c r="B55" s="2"/>
      <c r="C55" s="30">
        <v>47299.0</v>
      </c>
      <c r="D55" s="8">
        <f t="shared" si="1"/>
        <v>2073271.502</v>
      </c>
      <c r="E55" s="46"/>
      <c r="F55" s="8">
        <f t="shared" si="2"/>
        <v>305145.5655</v>
      </c>
      <c r="G55" s="8">
        <f t="shared" si="3"/>
        <v>1768125.937</v>
      </c>
      <c r="H55" s="8">
        <f t="shared" si="4"/>
        <v>28746430.61</v>
      </c>
      <c r="J55" s="5"/>
    </row>
    <row r="56" ht="15.75" customHeight="1">
      <c r="B56" s="2"/>
      <c r="C56" s="30">
        <v>47329.0</v>
      </c>
      <c r="D56" s="8">
        <f t="shared" si="1"/>
        <v>2073271.502</v>
      </c>
      <c r="E56" s="46"/>
      <c r="F56" s="8">
        <f t="shared" si="2"/>
        <v>287464.3061</v>
      </c>
      <c r="G56" s="8">
        <f t="shared" si="3"/>
        <v>1785807.196</v>
      </c>
      <c r="H56" s="8">
        <f t="shared" si="4"/>
        <v>26960623.42</v>
      </c>
      <c r="J56" s="5"/>
    </row>
    <row r="57" ht="15.75" customHeight="1">
      <c r="B57" s="2"/>
      <c r="C57" s="30">
        <v>47360.0</v>
      </c>
      <c r="D57" s="8">
        <f t="shared" si="1"/>
        <v>2073271.502</v>
      </c>
      <c r="E57" s="46"/>
      <c r="F57" s="8">
        <f t="shared" si="2"/>
        <v>269606.2342</v>
      </c>
      <c r="G57" s="8">
        <f t="shared" si="3"/>
        <v>1803665.268</v>
      </c>
      <c r="H57" s="8">
        <f t="shared" si="4"/>
        <v>25156958.15</v>
      </c>
      <c r="J57" s="5"/>
    </row>
    <row r="58" ht="15.75" customHeight="1">
      <c r="B58" s="2"/>
      <c r="C58" s="30">
        <v>47391.0</v>
      </c>
      <c r="D58" s="8">
        <f t="shared" si="1"/>
        <v>2073271.502</v>
      </c>
      <c r="E58" s="46"/>
      <c r="F58" s="8">
        <f t="shared" si="2"/>
        <v>251569.5815</v>
      </c>
      <c r="G58" s="8">
        <f t="shared" si="3"/>
        <v>1821701.921</v>
      </c>
      <c r="H58" s="8">
        <f t="shared" si="4"/>
        <v>23335256.23</v>
      </c>
      <c r="J58" s="5"/>
    </row>
    <row r="59" ht="15.75" customHeight="1">
      <c r="B59" s="2"/>
      <c r="C59" s="30">
        <v>47421.0</v>
      </c>
      <c r="D59" s="8">
        <f t="shared" si="1"/>
        <v>2073271.502</v>
      </c>
      <c r="E59" s="46"/>
      <c r="F59" s="8">
        <f t="shared" si="2"/>
        <v>233352.5623</v>
      </c>
      <c r="G59" s="8">
        <f t="shared" si="3"/>
        <v>1839918.94</v>
      </c>
      <c r="H59" s="8">
        <f t="shared" si="4"/>
        <v>21495337.29</v>
      </c>
      <c r="J59" s="5"/>
    </row>
    <row r="60" ht="15.75" customHeight="1">
      <c r="B60" s="2"/>
      <c r="C60" s="30">
        <v>47452.0</v>
      </c>
      <c r="D60" s="8">
        <f t="shared" si="1"/>
        <v>2073271.502</v>
      </c>
      <c r="E60" s="46"/>
      <c r="F60" s="8">
        <f t="shared" si="2"/>
        <v>214953.3729</v>
      </c>
      <c r="G60" s="8">
        <f t="shared" si="3"/>
        <v>1858318.129</v>
      </c>
      <c r="H60" s="8">
        <f t="shared" si="4"/>
        <v>19637019.16</v>
      </c>
      <c r="J60" s="5"/>
    </row>
    <row r="61" ht="15.75" customHeight="1">
      <c r="B61" s="2"/>
      <c r="C61" s="30">
        <v>47482.0</v>
      </c>
      <c r="D61" s="8">
        <f t="shared" si="1"/>
        <v>2073271.502</v>
      </c>
      <c r="E61" s="46"/>
      <c r="F61" s="8">
        <f t="shared" si="2"/>
        <v>196370.1916</v>
      </c>
      <c r="G61" s="8">
        <f t="shared" si="3"/>
        <v>1876901.31</v>
      </c>
      <c r="H61" s="8">
        <f t="shared" si="4"/>
        <v>17760117.85</v>
      </c>
      <c r="J61" s="5"/>
    </row>
    <row r="62" ht="15.75" customHeight="1">
      <c r="B62" s="2"/>
      <c r="C62" s="30">
        <v>47513.0</v>
      </c>
      <c r="D62" s="8">
        <f t="shared" si="1"/>
        <v>2073271.502</v>
      </c>
      <c r="E62" s="46"/>
      <c r="F62" s="8">
        <f t="shared" si="2"/>
        <v>177601.1785</v>
      </c>
      <c r="G62" s="8">
        <f t="shared" si="3"/>
        <v>1895670.324</v>
      </c>
      <c r="H62" s="8">
        <f t="shared" si="4"/>
        <v>15864447.53</v>
      </c>
      <c r="J62" s="5"/>
    </row>
    <row r="63" ht="15.75" customHeight="1">
      <c r="B63" s="2"/>
      <c r="C63" s="30">
        <v>47542.0</v>
      </c>
      <c r="D63" s="8">
        <f t="shared" si="1"/>
        <v>2073271.502</v>
      </c>
      <c r="E63" s="46"/>
      <c r="F63" s="8">
        <f t="shared" si="2"/>
        <v>158644.4753</v>
      </c>
      <c r="G63" s="8">
        <f t="shared" si="3"/>
        <v>1914627.027</v>
      </c>
      <c r="H63" s="8">
        <f t="shared" si="4"/>
        <v>13949820.5</v>
      </c>
      <c r="J63" s="5"/>
    </row>
    <row r="64" ht="15.75" customHeight="1">
      <c r="B64" s="2"/>
      <c r="C64" s="30">
        <v>47572.0</v>
      </c>
      <c r="D64" s="8">
        <f t="shared" si="1"/>
        <v>2073271.502</v>
      </c>
      <c r="E64" s="46"/>
      <c r="F64" s="8">
        <f t="shared" si="2"/>
        <v>139498.205</v>
      </c>
      <c r="G64" s="8">
        <f t="shared" si="3"/>
        <v>1933773.297</v>
      </c>
      <c r="H64" s="8">
        <f t="shared" si="4"/>
        <v>12016047.2</v>
      </c>
      <c r="J64" s="5"/>
    </row>
    <row r="65" ht="15.75" customHeight="1">
      <c r="B65" s="2"/>
      <c r="C65" s="30">
        <v>47603.0</v>
      </c>
      <c r="D65" s="8">
        <f t="shared" si="1"/>
        <v>2073271.502</v>
      </c>
      <c r="E65" s="46"/>
      <c r="F65" s="8">
        <f t="shared" si="2"/>
        <v>120160.472</v>
      </c>
      <c r="G65" s="8">
        <f t="shared" si="3"/>
        <v>1953111.03</v>
      </c>
      <c r="H65" s="8">
        <f t="shared" si="4"/>
        <v>10062936.17</v>
      </c>
      <c r="J65" s="5"/>
    </row>
    <row r="66" ht="15.75" customHeight="1">
      <c r="B66" s="2"/>
      <c r="C66" s="30">
        <v>47633.0</v>
      </c>
      <c r="D66" s="8">
        <f t="shared" si="1"/>
        <v>2073271.502</v>
      </c>
      <c r="E66" s="46"/>
      <c r="F66" s="8">
        <f t="shared" si="2"/>
        <v>100629.3617</v>
      </c>
      <c r="G66" s="8">
        <f t="shared" si="3"/>
        <v>1972642.14</v>
      </c>
      <c r="H66" s="8">
        <f t="shared" si="4"/>
        <v>8090294.031</v>
      </c>
      <c r="J66" s="5"/>
    </row>
    <row r="67" ht="15.75" customHeight="1">
      <c r="B67" s="2"/>
      <c r="C67" s="30">
        <v>47664.0</v>
      </c>
      <c r="D67" s="8">
        <f t="shared" si="1"/>
        <v>2073271.502</v>
      </c>
      <c r="E67" s="46"/>
      <c r="F67" s="8">
        <f t="shared" si="2"/>
        <v>80902.94031</v>
      </c>
      <c r="G67" s="8">
        <f t="shared" si="3"/>
        <v>1992368.562</v>
      </c>
      <c r="H67" s="8">
        <f t="shared" si="4"/>
        <v>6097925.469</v>
      </c>
      <c r="J67" s="5"/>
    </row>
    <row r="68" ht="15.75" customHeight="1">
      <c r="B68" s="2"/>
      <c r="C68" s="30">
        <v>47694.0</v>
      </c>
      <c r="D68" s="8">
        <f t="shared" si="1"/>
        <v>2073271.502</v>
      </c>
      <c r="E68" s="46"/>
      <c r="F68" s="8">
        <f t="shared" si="2"/>
        <v>60979.25469</v>
      </c>
      <c r="G68" s="8">
        <f t="shared" si="3"/>
        <v>2012292.247</v>
      </c>
      <c r="H68" s="8">
        <f t="shared" si="4"/>
        <v>4085633.222</v>
      </c>
      <c r="J68" s="5"/>
    </row>
    <row r="69" ht="15.75" customHeight="1">
      <c r="B69" s="2"/>
      <c r="C69" s="30">
        <v>47725.0</v>
      </c>
      <c r="D69" s="8">
        <f t="shared" si="1"/>
        <v>2073271.502</v>
      </c>
      <c r="E69" s="46"/>
      <c r="F69" s="8">
        <f t="shared" si="2"/>
        <v>40856.33222</v>
      </c>
      <c r="G69" s="8">
        <f t="shared" si="3"/>
        <v>2032415.17</v>
      </c>
      <c r="H69" s="8">
        <f t="shared" si="4"/>
        <v>2053218.052</v>
      </c>
      <c r="J69" s="5"/>
    </row>
    <row r="70" ht="15.75" customHeight="1">
      <c r="B70" s="2"/>
      <c r="C70" s="30">
        <v>47756.0</v>
      </c>
      <c r="D70" s="8">
        <f t="shared" si="1"/>
        <v>2073271.502</v>
      </c>
      <c r="E70" s="46"/>
      <c r="F70" s="8">
        <f t="shared" si="2"/>
        <v>20532.18052</v>
      </c>
      <c r="G70" s="8">
        <f t="shared" si="3"/>
        <v>2052739.322</v>
      </c>
      <c r="H70" s="8">
        <f t="shared" si="4"/>
        <v>478.7308078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6.78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753</v>
      </c>
      <c r="J1" s="5"/>
    </row>
    <row r="2" ht="15.75" customHeight="1">
      <c r="B2" s="2"/>
      <c r="C2" s="1" t="s">
        <v>6</v>
      </c>
      <c r="D2" s="6">
        <f>+A5*10%</f>
        <v>10556000</v>
      </c>
      <c r="E2" s="7"/>
      <c r="J2" s="5"/>
    </row>
    <row r="3" ht="15.75" customHeight="1">
      <c r="B3" s="2"/>
      <c r="C3" s="1" t="s">
        <v>7</v>
      </c>
      <c r="D3" s="8">
        <f>+A5-D2</f>
        <v>95004000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1.0556E8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2113311.508</v>
      </c>
      <c r="E6" s="12"/>
      <c r="H6" s="5"/>
      <c r="J6" s="5"/>
    </row>
    <row r="7" ht="15.75" customHeight="1">
      <c r="B7" s="2"/>
      <c r="C7" s="1" t="s">
        <v>12</v>
      </c>
      <c r="D7" s="20" t="s">
        <v>754</v>
      </c>
      <c r="H7" s="5"/>
      <c r="J7" s="5"/>
    </row>
    <row r="8" ht="15.75" customHeight="1">
      <c r="B8" s="2"/>
      <c r="C8" s="1" t="s">
        <v>16</v>
      </c>
      <c r="D8" s="2" t="s">
        <v>755</v>
      </c>
      <c r="H8" s="5"/>
      <c r="I8" s="17"/>
      <c r="J8" s="19"/>
      <c r="K8" s="17"/>
      <c r="L8" s="21" t="s">
        <v>756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95004000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1.3735469E8</v>
      </c>
      <c r="U10" s="25"/>
    </row>
    <row r="11" ht="15.75" customHeight="1">
      <c r="B11" s="2"/>
      <c r="C11" s="30">
        <v>45950.0</v>
      </c>
      <c r="D11" s="8">
        <f t="shared" ref="D11:D70" si="1">$D$6</f>
        <v>2113311.508</v>
      </c>
      <c r="E11" s="15"/>
      <c r="F11" s="8">
        <f t="shared" ref="F11:F70" si="2">+H10*$D$4</f>
        <v>950040</v>
      </c>
      <c r="G11" s="8">
        <f t="shared" ref="G11:G70" si="3">+D11+E11-F11</f>
        <v>1163271.508</v>
      </c>
      <c r="H11" s="8">
        <f t="shared" ref="H11:H70" si="4">+H10-G11</f>
        <v>93840728.49</v>
      </c>
      <c r="J11" s="5"/>
      <c r="L11" s="33">
        <v>45905.0</v>
      </c>
      <c r="M11" s="34" t="s">
        <v>44</v>
      </c>
      <c r="N11" s="35" t="s">
        <v>757</v>
      </c>
      <c r="O11" s="36"/>
      <c r="P11" s="36">
        <v>1000000.0</v>
      </c>
      <c r="Q11" s="36"/>
      <c r="R11" s="36"/>
      <c r="S11" s="36">
        <f t="shared" ref="S11:S16" si="5">SUM(O11:R11)</f>
        <v>1000000</v>
      </c>
      <c r="T11" s="36">
        <f t="shared" ref="T11:T16" si="6">T10-S11</f>
        <v>136354690</v>
      </c>
      <c r="U11" s="34"/>
    </row>
    <row r="12" ht="15.75" customHeight="1">
      <c r="A12" s="29">
        <v>45964.0</v>
      </c>
      <c r="B12" s="2" t="s">
        <v>758</v>
      </c>
      <c r="C12" s="30">
        <v>45981.0</v>
      </c>
      <c r="D12" s="8">
        <f t="shared" si="1"/>
        <v>2113311.508</v>
      </c>
      <c r="E12" s="15">
        <f>4226624-D11-D12</f>
        <v>0.9842871856</v>
      </c>
      <c r="F12" s="8">
        <f t="shared" si="2"/>
        <v>938407.2849</v>
      </c>
      <c r="G12" s="8">
        <f t="shared" si="3"/>
        <v>1174905.207</v>
      </c>
      <c r="H12" s="8">
        <f t="shared" si="4"/>
        <v>92665823.28</v>
      </c>
      <c r="J12" s="5"/>
      <c r="L12" s="33">
        <v>45925.0</v>
      </c>
      <c r="M12" s="34" t="s">
        <v>44</v>
      </c>
      <c r="N12" s="35" t="s">
        <v>759</v>
      </c>
      <c r="O12" s="36"/>
      <c r="P12" s="36">
        <v>9556000.0</v>
      </c>
      <c r="Q12" s="36"/>
      <c r="R12" s="36"/>
      <c r="S12" s="36">
        <f t="shared" si="5"/>
        <v>9556000</v>
      </c>
      <c r="T12" s="36">
        <f t="shared" si="6"/>
        <v>126798690</v>
      </c>
      <c r="U12" s="34"/>
    </row>
    <row r="13" ht="15.75" customHeight="1">
      <c r="A13" s="29">
        <v>46024.0</v>
      </c>
      <c r="B13" s="2" t="s">
        <v>760</v>
      </c>
      <c r="C13" s="30">
        <v>46011.0</v>
      </c>
      <c r="D13" s="8">
        <f t="shared" si="1"/>
        <v>2113311.508</v>
      </c>
      <c r="E13" s="15">
        <f t="shared" ref="E13:E14" si="7">2113312-D13</f>
        <v>0.4921435928</v>
      </c>
      <c r="F13" s="8">
        <f t="shared" si="2"/>
        <v>926658.2328</v>
      </c>
      <c r="G13" s="8">
        <f t="shared" si="3"/>
        <v>1186653.767</v>
      </c>
      <c r="H13" s="8">
        <f t="shared" si="4"/>
        <v>91479169.52</v>
      </c>
      <c r="J13" s="5" t="s">
        <v>56</v>
      </c>
      <c r="L13" s="33">
        <v>45964.0</v>
      </c>
      <c r="M13" s="34" t="s">
        <v>252</v>
      </c>
      <c r="N13" s="35" t="s">
        <v>758</v>
      </c>
      <c r="O13" s="36"/>
      <c r="P13" s="36">
        <v>4226624.0</v>
      </c>
      <c r="Q13" s="36"/>
      <c r="R13" s="36"/>
      <c r="S13" s="36">
        <f t="shared" si="5"/>
        <v>4226624</v>
      </c>
      <c r="T13" s="36">
        <f t="shared" si="6"/>
        <v>122572066</v>
      </c>
      <c r="U13" s="34"/>
    </row>
    <row r="14" ht="15.75" customHeight="1">
      <c r="A14" s="29">
        <v>46062.0</v>
      </c>
      <c r="B14" s="2" t="s">
        <v>761</v>
      </c>
      <c r="C14" s="30">
        <v>46042.0</v>
      </c>
      <c r="D14" s="8">
        <f t="shared" si="1"/>
        <v>2113311.508</v>
      </c>
      <c r="E14" s="15">
        <f t="shared" si="7"/>
        <v>0.4921435928</v>
      </c>
      <c r="F14" s="8">
        <f t="shared" si="2"/>
        <v>914791.6952</v>
      </c>
      <c r="G14" s="8">
        <f t="shared" si="3"/>
        <v>1198520.305</v>
      </c>
      <c r="H14" s="8">
        <f t="shared" si="4"/>
        <v>90280649.21</v>
      </c>
      <c r="J14" s="8">
        <f>+H10</f>
        <v>95004000</v>
      </c>
      <c r="L14" s="33">
        <v>46024.0</v>
      </c>
      <c r="M14" s="34" t="s">
        <v>83</v>
      </c>
      <c r="N14" s="35" t="s">
        <v>760</v>
      </c>
      <c r="O14" s="36"/>
      <c r="P14" s="36">
        <v>2113312.0</v>
      </c>
      <c r="Q14" s="36"/>
      <c r="R14" s="36"/>
      <c r="S14" s="36">
        <f t="shared" si="5"/>
        <v>2113312</v>
      </c>
      <c r="T14" s="36">
        <f t="shared" si="6"/>
        <v>120458754</v>
      </c>
      <c r="U14" s="34"/>
    </row>
    <row r="15" ht="15.75" customHeight="1">
      <c r="A15" s="29">
        <v>46203.0</v>
      </c>
      <c r="B15" s="2" t="s">
        <v>762</v>
      </c>
      <c r="C15" s="30">
        <v>46073.0</v>
      </c>
      <c r="D15" s="8">
        <f t="shared" si="1"/>
        <v>2113311.508</v>
      </c>
      <c r="E15" s="15"/>
      <c r="F15" s="8">
        <f t="shared" si="2"/>
        <v>902806.4921</v>
      </c>
      <c r="G15" s="8">
        <f t="shared" si="3"/>
        <v>1210505.016</v>
      </c>
      <c r="H15" s="8">
        <f t="shared" si="4"/>
        <v>89070144.2</v>
      </c>
      <c r="J15" s="5"/>
      <c r="L15" s="33">
        <v>46062.0</v>
      </c>
      <c r="M15" s="34" t="s">
        <v>85</v>
      </c>
      <c r="N15" s="35" t="s">
        <v>761</v>
      </c>
      <c r="O15" s="36"/>
      <c r="P15" s="36">
        <v>2113312.0</v>
      </c>
      <c r="Q15" s="36"/>
      <c r="R15" s="36"/>
      <c r="S15" s="36">
        <f t="shared" si="5"/>
        <v>2113312</v>
      </c>
      <c r="T15" s="36">
        <f t="shared" si="6"/>
        <v>118345442</v>
      </c>
      <c r="U15" s="34"/>
    </row>
    <row r="16" ht="15.75" customHeight="1">
      <c r="A16" s="29">
        <v>46203.0</v>
      </c>
      <c r="B16" s="2" t="s">
        <v>762</v>
      </c>
      <c r="C16" s="30">
        <v>46101.0</v>
      </c>
      <c r="D16" s="8">
        <f t="shared" si="1"/>
        <v>2113311.508</v>
      </c>
      <c r="E16" s="15"/>
      <c r="F16" s="8">
        <f t="shared" si="2"/>
        <v>890701.442</v>
      </c>
      <c r="G16" s="8">
        <f t="shared" si="3"/>
        <v>1222610.066</v>
      </c>
      <c r="H16" s="8">
        <f t="shared" si="4"/>
        <v>87847534.13</v>
      </c>
      <c r="J16" s="5"/>
      <c r="L16" s="33">
        <v>46203.0</v>
      </c>
      <c r="M16" s="34" t="s">
        <v>763</v>
      </c>
      <c r="N16" s="35" t="s">
        <v>762</v>
      </c>
      <c r="O16" s="36"/>
      <c r="P16" s="36">
        <v>6339936.0</v>
      </c>
      <c r="Q16" s="36"/>
      <c r="R16" s="36"/>
      <c r="S16" s="36">
        <f t="shared" si="5"/>
        <v>6339936</v>
      </c>
      <c r="T16" s="36">
        <f t="shared" si="6"/>
        <v>112005506</v>
      </c>
      <c r="U16" s="34"/>
    </row>
    <row r="17" ht="15.75" customHeight="1">
      <c r="A17" s="29">
        <v>46203.0</v>
      </c>
      <c r="B17" s="2" t="s">
        <v>762</v>
      </c>
      <c r="C17" s="30">
        <v>46132.0</v>
      </c>
      <c r="D17" s="8">
        <f t="shared" si="1"/>
        <v>2113311.508</v>
      </c>
      <c r="E17" s="15">
        <f>6339936-D15-D16-D17</f>
        <v>1.476430778</v>
      </c>
      <c r="F17" s="8">
        <f t="shared" si="2"/>
        <v>878475.3413</v>
      </c>
      <c r="G17" s="8">
        <f t="shared" si="3"/>
        <v>1234837.643</v>
      </c>
      <c r="H17" s="8">
        <f t="shared" si="4"/>
        <v>86612696.49</v>
      </c>
      <c r="J17" s="5"/>
      <c r="L17" s="25"/>
      <c r="M17" s="38" t="s">
        <v>69</v>
      </c>
      <c r="N17" s="39"/>
      <c r="O17" s="27">
        <f t="shared" ref="O17:S17" si="8">SUM(O11:O16)</f>
        <v>0</v>
      </c>
      <c r="P17" s="27">
        <f t="shared" si="8"/>
        <v>25349184</v>
      </c>
      <c r="Q17" s="27">
        <f t="shared" si="8"/>
        <v>0</v>
      </c>
      <c r="R17" s="27">
        <f t="shared" si="8"/>
        <v>0</v>
      </c>
      <c r="S17" s="27">
        <f t="shared" si="8"/>
        <v>25349184</v>
      </c>
      <c r="T17" s="27">
        <f>T16</f>
        <v>112005506</v>
      </c>
      <c r="U17" s="25"/>
    </row>
    <row r="18" ht="15.75" customHeight="1">
      <c r="A18" s="37"/>
      <c r="B18" s="2"/>
      <c r="C18" s="30">
        <v>46162.0</v>
      </c>
      <c r="D18" s="8">
        <f t="shared" si="1"/>
        <v>2113311.508</v>
      </c>
      <c r="E18" s="15"/>
      <c r="F18" s="8">
        <f t="shared" si="2"/>
        <v>866126.9649</v>
      </c>
      <c r="G18" s="8">
        <f t="shared" si="3"/>
        <v>1247184.543</v>
      </c>
      <c r="H18" s="8">
        <f t="shared" si="4"/>
        <v>85365511.95</v>
      </c>
      <c r="J18" s="5"/>
    </row>
    <row r="19" ht="15.75" customHeight="1">
      <c r="A19" s="37"/>
      <c r="B19" s="2"/>
      <c r="C19" s="30">
        <v>46193.0</v>
      </c>
      <c r="D19" s="8">
        <f t="shared" si="1"/>
        <v>2113311.508</v>
      </c>
      <c r="E19" s="15"/>
      <c r="F19" s="8">
        <f t="shared" si="2"/>
        <v>853655.1195</v>
      </c>
      <c r="G19" s="8">
        <f t="shared" si="3"/>
        <v>1259656.388</v>
      </c>
      <c r="H19" s="8">
        <f t="shared" si="4"/>
        <v>84105855.56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46223.0</v>
      </c>
      <c r="D20" s="8">
        <f t="shared" si="1"/>
        <v>2113311.508</v>
      </c>
      <c r="E20" s="15"/>
      <c r="F20" s="8">
        <f t="shared" si="2"/>
        <v>841058.5556</v>
      </c>
      <c r="G20" s="8">
        <f t="shared" si="3"/>
        <v>1272252.952</v>
      </c>
      <c r="H20" s="8">
        <f t="shared" si="4"/>
        <v>82833602.6</v>
      </c>
      <c r="J20" s="5"/>
    </row>
    <row r="21" ht="15.75" customHeight="1">
      <c r="A21" s="37"/>
      <c r="B21" s="2"/>
      <c r="C21" s="30">
        <v>46254.0</v>
      </c>
      <c r="D21" s="8">
        <f t="shared" si="1"/>
        <v>2113311.508</v>
      </c>
      <c r="E21" s="15"/>
      <c r="F21" s="8">
        <f t="shared" si="2"/>
        <v>828336.026</v>
      </c>
      <c r="G21" s="8">
        <f t="shared" si="3"/>
        <v>1284975.482</v>
      </c>
      <c r="H21" s="8">
        <f t="shared" si="4"/>
        <v>81548627.12</v>
      </c>
      <c r="J21" s="5"/>
    </row>
    <row r="22" ht="15.75" customHeight="1">
      <c r="A22" s="37"/>
      <c r="B22" s="2"/>
      <c r="C22" s="30">
        <v>46285.0</v>
      </c>
      <c r="D22" s="8">
        <f t="shared" si="1"/>
        <v>2113311.508</v>
      </c>
      <c r="E22" s="15"/>
      <c r="F22" s="8">
        <f t="shared" si="2"/>
        <v>815486.2712</v>
      </c>
      <c r="G22" s="8">
        <f t="shared" si="3"/>
        <v>1297825.237</v>
      </c>
      <c r="H22" s="8">
        <f t="shared" si="4"/>
        <v>80250801.89</v>
      </c>
      <c r="J22" s="5"/>
    </row>
    <row r="23" ht="15.75" customHeight="1">
      <c r="A23" s="37"/>
      <c r="B23" s="2"/>
      <c r="C23" s="30">
        <v>46315.0</v>
      </c>
      <c r="D23" s="8">
        <f t="shared" si="1"/>
        <v>2113311.508</v>
      </c>
      <c r="E23" s="46"/>
      <c r="F23" s="8">
        <f t="shared" si="2"/>
        <v>802508.0189</v>
      </c>
      <c r="G23" s="8">
        <f t="shared" si="3"/>
        <v>1310803.489</v>
      </c>
      <c r="H23" s="8">
        <f t="shared" si="4"/>
        <v>78939998.4</v>
      </c>
      <c r="J23" s="5"/>
    </row>
    <row r="24" ht="15.75" customHeight="1">
      <c r="A24" s="37"/>
      <c r="B24" s="2"/>
      <c r="C24" s="30">
        <v>46346.0</v>
      </c>
      <c r="D24" s="8">
        <f t="shared" si="1"/>
        <v>2113311.508</v>
      </c>
      <c r="E24" s="46"/>
      <c r="F24" s="8">
        <f t="shared" si="2"/>
        <v>789399.984</v>
      </c>
      <c r="G24" s="8">
        <f t="shared" si="3"/>
        <v>1323911.524</v>
      </c>
      <c r="H24" s="8">
        <f t="shared" si="4"/>
        <v>77616086.87</v>
      </c>
      <c r="J24" s="5"/>
    </row>
    <row r="25" ht="15.75" customHeight="1">
      <c r="B25" s="2"/>
      <c r="C25" s="30">
        <v>46376.0</v>
      </c>
      <c r="D25" s="8">
        <f t="shared" si="1"/>
        <v>2113311.508</v>
      </c>
      <c r="E25" s="46"/>
      <c r="F25" s="8">
        <f t="shared" si="2"/>
        <v>776160.8687</v>
      </c>
      <c r="G25" s="8">
        <f t="shared" si="3"/>
        <v>1337150.639</v>
      </c>
      <c r="H25" s="8">
        <f t="shared" si="4"/>
        <v>76278936.23</v>
      </c>
      <c r="J25" s="5"/>
    </row>
    <row r="26" ht="15.75" customHeight="1">
      <c r="B26" s="2"/>
      <c r="C26" s="30">
        <v>46407.0</v>
      </c>
      <c r="D26" s="8">
        <f t="shared" si="1"/>
        <v>2113311.508</v>
      </c>
      <c r="E26" s="46"/>
      <c r="F26" s="8">
        <f t="shared" si="2"/>
        <v>762789.3623</v>
      </c>
      <c r="G26" s="8">
        <f t="shared" si="3"/>
        <v>1350522.146</v>
      </c>
      <c r="H26" s="8">
        <f t="shared" si="4"/>
        <v>74928414.09</v>
      </c>
      <c r="J26" s="5"/>
    </row>
    <row r="27" ht="15.75" customHeight="1">
      <c r="B27" s="2"/>
      <c r="C27" s="30">
        <v>46438.0</v>
      </c>
      <c r="D27" s="8">
        <f t="shared" si="1"/>
        <v>2113311.508</v>
      </c>
      <c r="E27" s="46"/>
      <c r="F27" s="8">
        <f t="shared" si="2"/>
        <v>749284.1409</v>
      </c>
      <c r="G27" s="8">
        <f t="shared" si="3"/>
        <v>1364027.367</v>
      </c>
      <c r="H27" s="8">
        <f t="shared" si="4"/>
        <v>73564386.72</v>
      </c>
      <c r="J27" s="5"/>
    </row>
    <row r="28" ht="15.75" customHeight="1">
      <c r="B28" s="2"/>
      <c r="C28" s="30">
        <v>46466.0</v>
      </c>
      <c r="D28" s="8">
        <f t="shared" si="1"/>
        <v>2113311.508</v>
      </c>
      <c r="E28" s="46"/>
      <c r="F28" s="8">
        <f t="shared" si="2"/>
        <v>735643.8672</v>
      </c>
      <c r="G28" s="8">
        <f t="shared" si="3"/>
        <v>1377667.641</v>
      </c>
      <c r="H28" s="8">
        <f t="shared" si="4"/>
        <v>72186719.08</v>
      </c>
      <c r="J28" s="5"/>
    </row>
    <row r="29" ht="15.75" customHeight="1">
      <c r="B29" s="2"/>
      <c r="C29" s="30">
        <v>46497.0</v>
      </c>
      <c r="D29" s="8">
        <f t="shared" si="1"/>
        <v>2113311.508</v>
      </c>
      <c r="E29" s="46"/>
      <c r="F29" s="8">
        <f t="shared" si="2"/>
        <v>721867.1908</v>
      </c>
      <c r="G29" s="8">
        <f t="shared" si="3"/>
        <v>1391444.317</v>
      </c>
      <c r="H29" s="8">
        <f t="shared" si="4"/>
        <v>70795274.76</v>
      </c>
      <c r="J29" s="5"/>
    </row>
    <row r="30" ht="15.75" customHeight="1">
      <c r="B30" s="2"/>
      <c r="C30" s="30">
        <v>46527.0</v>
      </c>
      <c r="D30" s="8">
        <f t="shared" si="1"/>
        <v>2113311.508</v>
      </c>
      <c r="E30" s="46"/>
      <c r="F30" s="8">
        <f t="shared" si="2"/>
        <v>707952.7476</v>
      </c>
      <c r="G30" s="8">
        <f t="shared" si="3"/>
        <v>1405358.76</v>
      </c>
      <c r="H30" s="8">
        <f t="shared" si="4"/>
        <v>69389916</v>
      </c>
      <c r="J30" s="5"/>
    </row>
    <row r="31" ht="15.75" customHeight="1">
      <c r="B31" s="2"/>
      <c r="C31" s="30">
        <v>46558.0</v>
      </c>
      <c r="D31" s="8">
        <f t="shared" si="1"/>
        <v>2113311.508</v>
      </c>
      <c r="E31" s="46"/>
      <c r="F31" s="8">
        <f t="shared" si="2"/>
        <v>693899.16</v>
      </c>
      <c r="G31" s="8">
        <f t="shared" si="3"/>
        <v>1419412.348</v>
      </c>
      <c r="H31" s="8">
        <f t="shared" si="4"/>
        <v>67970503.66</v>
      </c>
      <c r="J31" s="5"/>
    </row>
    <row r="32" ht="15.75" customHeight="1">
      <c r="B32" s="2"/>
      <c r="C32" s="30">
        <v>46588.0</v>
      </c>
      <c r="D32" s="8">
        <f t="shared" si="1"/>
        <v>2113311.508</v>
      </c>
      <c r="E32" s="46"/>
      <c r="F32" s="8">
        <f t="shared" si="2"/>
        <v>679705.0366</v>
      </c>
      <c r="G32" s="8">
        <f t="shared" si="3"/>
        <v>1433606.471</v>
      </c>
      <c r="H32" s="8">
        <f t="shared" si="4"/>
        <v>66536897.18</v>
      </c>
      <c r="J32" s="5"/>
    </row>
    <row r="33" ht="15.75" customHeight="1">
      <c r="B33" s="2"/>
      <c r="C33" s="30">
        <v>46619.0</v>
      </c>
      <c r="D33" s="8">
        <f t="shared" si="1"/>
        <v>2113311.508</v>
      </c>
      <c r="E33" s="46"/>
      <c r="F33" s="8">
        <f t="shared" si="2"/>
        <v>665368.9718</v>
      </c>
      <c r="G33" s="8">
        <f t="shared" si="3"/>
        <v>1447942.536</v>
      </c>
      <c r="H33" s="8">
        <f t="shared" si="4"/>
        <v>65088954.65</v>
      </c>
      <c r="J33" s="5"/>
    </row>
    <row r="34" ht="15.75" customHeight="1">
      <c r="B34" s="2"/>
      <c r="C34" s="30">
        <v>46650.0</v>
      </c>
      <c r="D34" s="8">
        <f t="shared" si="1"/>
        <v>2113311.508</v>
      </c>
      <c r="E34" s="46"/>
      <c r="F34" s="8">
        <f t="shared" si="2"/>
        <v>650889.5465</v>
      </c>
      <c r="G34" s="8">
        <f t="shared" si="3"/>
        <v>1462421.961</v>
      </c>
      <c r="H34" s="8">
        <f t="shared" si="4"/>
        <v>63626532.69</v>
      </c>
      <c r="J34" s="5"/>
    </row>
    <row r="35" ht="15.75" customHeight="1">
      <c r="B35" s="2"/>
      <c r="C35" s="30">
        <v>46680.0</v>
      </c>
      <c r="D35" s="8">
        <f t="shared" si="1"/>
        <v>2113311.508</v>
      </c>
      <c r="E35" s="46"/>
      <c r="F35" s="8">
        <f t="shared" si="2"/>
        <v>636265.3269</v>
      </c>
      <c r="G35" s="8">
        <f t="shared" si="3"/>
        <v>1477046.181</v>
      </c>
      <c r="H35" s="8">
        <f t="shared" si="4"/>
        <v>62149486.51</v>
      </c>
      <c r="J35" s="5"/>
    </row>
    <row r="36" ht="15.75" customHeight="1">
      <c r="B36" s="2"/>
      <c r="C36" s="30">
        <v>46711.0</v>
      </c>
      <c r="D36" s="8">
        <f t="shared" si="1"/>
        <v>2113311.508</v>
      </c>
      <c r="E36" s="46"/>
      <c r="F36" s="8">
        <f t="shared" si="2"/>
        <v>621494.8651</v>
      </c>
      <c r="G36" s="8">
        <f t="shared" si="3"/>
        <v>1491816.643</v>
      </c>
      <c r="H36" s="8">
        <f t="shared" si="4"/>
        <v>60657669.86</v>
      </c>
      <c r="J36" s="5"/>
    </row>
    <row r="37" ht="15.75" customHeight="1">
      <c r="B37" s="2"/>
      <c r="C37" s="30">
        <v>46741.0</v>
      </c>
      <c r="D37" s="8">
        <f t="shared" si="1"/>
        <v>2113311.508</v>
      </c>
      <c r="E37" s="46"/>
      <c r="F37" s="8">
        <f t="shared" si="2"/>
        <v>606576.6986</v>
      </c>
      <c r="G37" s="8">
        <f t="shared" si="3"/>
        <v>1506734.809</v>
      </c>
      <c r="H37" s="8">
        <f t="shared" si="4"/>
        <v>59150935.05</v>
      </c>
      <c r="J37" s="5"/>
    </row>
    <row r="38" ht="15.75" customHeight="1">
      <c r="B38" s="2"/>
      <c r="C38" s="30">
        <v>46772.0</v>
      </c>
      <c r="D38" s="8">
        <f t="shared" si="1"/>
        <v>2113311.508</v>
      </c>
      <c r="E38" s="46"/>
      <c r="F38" s="8">
        <f t="shared" si="2"/>
        <v>591509.3505</v>
      </c>
      <c r="G38" s="8">
        <f t="shared" si="3"/>
        <v>1521802.157</v>
      </c>
      <c r="H38" s="8">
        <f t="shared" si="4"/>
        <v>57629132.9</v>
      </c>
      <c r="J38" s="5"/>
    </row>
    <row r="39" ht="15.75" customHeight="1">
      <c r="B39" s="2"/>
      <c r="C39" s="30">
        <v>46803.0</v>
      </c>
      <c r="D39" s="8">
        <f t="shared" si="1"/>
        <v>2113311.508</v>
      </c>
      <c r="E39" s="46"/>
      <c r="F39" s="8">
        <f t="shared" si="2"/>
        <v>576291.329</v>
      </c>
      <c r="G39" s="8">
        <f t="shared" si="3"/>
        <v>1537020.179</v>
      </c>
      <c r="H39" s="8">
        <f t="shared" si="4"/>
        <v>56092112.72</v>
      </c>
      <c r="J39" s="5"/>
    </row>
    <row r="40" ht="15.75" customHeight="1">
      <c r="B40" s="2"/>
      <c r="C40" s="30">
        <v>46832.0</v>
      </c>
      <c r="D40" s="8">
        <f t="shared" si="1"/>
        <v>2113311.508</v>
      </c>
      <c r="E40" s="46"/>
      <c r="F40" s="8">
        <f t="shared" si="2"/>
        <v>560921.1272</v>
      </c>
      <c r="G40" s="8">
        <f t="shared" si="3"/>
        <v>1552390.381</v>
      </c>
      <c r="H40" s="8">
        <f t="shared" si="4"/>
        <v>54539722.34</v>
      </c>
      <c r="J40" s="5"/>
    </row>
    <row r="41" ht="15.75" customHeight="1">
      <c r="B41" s="2"/>
      <c r="C41" s="30">
        <v>46863.0</v>
      </c>
      <c r="D41" s="8">
        <f t="shared" si="1"/>
        <v>2113311.508</v>
      </c>
      <c r="E41" s="46"/>
      <c r="F41" s="8">
        <f t="shared" si="2"/>
        <v>545397.2234</v>
      </c>
      <c r="G41" s="8">
        <f t="shared" si="3"/>
        <v>1567914.284</v>
      </c>
      <c r="H41" s="8">
        <f t="shared" si="4"/>
        <v>52971808.05</v>
      </c>
      <c r="J41" s="5"/>
    </row>
    <row r="42" ht="15.75" customHeight="1">
      <c r="B42" s="2"/>
      <c r="C42" s="30">
        <v>46893.0</v>
      </c>
      <c r="D42" s="8">
        <f t="shared" si="1"/>
        <v>2113311.508</v>
      </c>
      <c r="E42" s="46"/>
      <c r="F42" s="8">
        <f t="shared" si="2"/>
        <v>529718.0805</v>
      </c>
      <c r="G42" s="8">
        <f t="shared" si="3"/>
        <v>1583593.427</v>
      </c>
      <c r="H42" s="8">
        <f t="shared" si="4"/>
        <v>51388214.63</v>
      </c>
      <c r="J42" s="5"/>
    </row>
    <row r="43" ht="15.75" customHeight="1">
      <c r="B43" s="2"/>
      <c r="C43" s="30">
        <v>46924.0</v>
      </c>
      <c r="D43" s="8">
        <f t="shared" si="1"/>
        <v>2113311.508</v>
      </c>
      <c r="E43" s="46"/>
      <c r="F43" s="8">
        <f t="shared" si="2"/>
        <v>513882.1463</v>
      </c>
      <c r="G43" s="8">
        <f t="shared" si="3"/>
        <v>1599429.362</v>
      </c>
      <c r="H43" s="8">
        <f t="shared" si="4"/>
        <v>49788785.26</v>
      </c>
      <c r="J43" s="5"/>
    </row>
    <row r="44" ht="15.75" customHeight="1">
      <c r="B44" s="2"/>
      <c r="C44" s="30">
        <v>46954.0</v>
      </c>
      <c r="D44" s="8">
        <f t="shared" si="1"/>
        <v>2113311.508</v>
      </c>
      <c r="E44" s="46"/>
      <c r="F44" s="8">
        <f t="shared" si="2"/>
        <v>497887.8526</v>
      </c>
      <c r="G44" s="8">
        <f t="shared" si="3"/>
        <v>1615423.655</v>
      </c>
      <c r="H44" s="8">
        <f t="shared" si="4"/>
        <v>48173361.61</v>
      </c>
      <c r="J44" s="5"/>
    </row>
    <row r="45" ht="15.75" customHeight="1">
      <c r="B45" s="2"/>
      <c r="C45" s="30">
        <v>46985.0</v>
      </c>
      <c r="D45" s="8">
        <f t="shared" si="1"/>
        <v>2113311.508</v>
      </c>
      <c r="E45" s="46"/>
      <c r="F45" s="8">
        <f t="shared" si="2"/>
        <v>481733.6161</v>
      </c>
      <c r="G45" s="8">
        <f t="shared" si="3"/>
        <v>1631577.892</v>
      </c>
      <c r="H45" s="8">
        <f t="shared" si="4"/>
        <v>46541783.72</v>
      </c>
      <c r="J45" s="5"/>
    </row>
    <row r="46" ht="15.75" customHeight="1">
      <c r="B46" s="2"/>
      <c r="C46" s="30">
        <v>47016.0</v>
      </c>
      <c r="D46" s="8">
        <f t="shared" si="1"/>
        <v>2113311.508</v>
      </c>
      <c r="E46" s="46"/>
      <c r="F46" s="8">
        <f t="shared" si="2"/>
        <v>465417.8372</v>
      </c>
      <c r="G46" s="8">
        <f t="shared" si="3"/>
        <v>1647893.671</v>
      </c>
      <c r="H46" s="8">
        <f t="shared" si="4"/>
        <v>44893890.05</v>
      </c>
      <c r="J46" s="5"/>
    </row>
    <row r="47" ht="15.75" customHeight="1">
      <c r="B47" s="2"/>
      <c r="C47" s="30">
        <v>47046.0</v>
      </c>
      <c r="D47" s="8">
        <f t="shared" si="1"/>
        <v>2113311.508</v>
      </c>
      <c r="E47" s="46"/>
      <c r="F47" s="8">
        <f t="shared" si="2"/>
        <v>448938.9005</v>
      </c>
      <c r="G47" s="8">
        <f t="shared" si="3"/>
        <v>1664372.607</v>
      </c>
      <c r="H47" s="8">
        <f t="shared" si="4"/>
        <v>43229517.44</v>
      </c>
      <c r="J47" s="5"/>
    </row>
    <row r="48" ht="15.75" customHeight="1">
      <c r="B48" s="2"/>
      <c r="C48" s="30">
        <v>47077.0</v>
      </c>
      <c r="D48" s="8">
        <f t="shared" si="1"/>
        <v>2113311.508</v>
      </c>
      <c r="E48" s="46"/>
      <c r="F48" s="8">
        <f t="shared" si="2"/>
        <v>432295.1744</v>
      </c>
      <c r="G48" s="8">
        <f t="shared" si="3"/>
        <v>1681016.333</v>
      </c>
      <c r="H48" s="8">
        <f t="shared" si="4"/>
        <v>41548501.11</v>
      </c>
      <c r="J48" s="5"/>
    </row>
    <row r="49" ht="15.75" customHeight="1">
      <c r="B49" s="2"/>
      <c r="C49" s="30">
        <v>47107.0</v>
      </c>
      <c r="D49" s="8">
        <f t="shared" si="1"/>
        <v>2113311.508</v>
      </c>
      <c r="E49" s="46"/>
      <c r="F49" s="8">
        <f t="shared" si="2"/>
        <v>415485.0111</v>
      </c>
      <c r="G49" s="8">
        <f t="shared" si="3"/>
        <v>1697826.497</v>
      </c>
      <c r="H49" s="8">
        <f t="shared" si="4"/>
        <v>39850674.61</v>
      </c>
      <c r="J49" s="5"/>
    </row>
    <row r="50" ht="15.75" customHeight="1">
      <c r="B50" s="2"/>
      <c r="C50" s="30">
        <v>47138.0</v>
      </c>
      <c r="D50" s="8">
        <f t="shared" si="1"/>
        <v>2113311.508</v>
      </c>
      <c r="E50" s="46"/>
      <c r="F50" s="8">
        <f t="shared" si="2"/>
        <v>398506.7461</v>
      </c>
      <c r="G50" s="8">
        <f t="shared" si="3"/>
        <v>1714804.762</v>
      </c>
      <c r="H50" s="8">
        <f t="shared" si="4"/>
        <v>38135869.85</v>
      </c>
      <c r="J50" s="5"/>
    </row>
    <row r="51" ht="15.75" customHeight="1">
      <c r="B51" s="2"/>
      <c r="C51" s="30">
        <v>47169.0</v>
      </c>
      <c r="D51" s="8">
        <f t="shared" si="1"/>
        <v>2113311.508</v>
      </c>
      <c r="E51" s="46"/>
      <c r="F51" s="8">
        <f t="shared" si="2"/>
        <v>381358.6985</v>
      </c>
      <c r="G51" s="8">
        <f t="shared" si="3"/>
        <v>1731952.809</v>
      </c>
      <c r="H51" s="8">
        <f t="shared" si="4"/>
        <v>36403917.04</v>
      </c>
      <c r="J51" s="5"/>
    </row>
    <row r="52" ht="15.75" customHeight="1">
      <c r="B52" s="2"/>
      <c r="C52" s="30">
        <v>47197.0</v>
      </c>
      <c r="D52" s="8">
        <f t="shared" si="1"/>
        <v>2113311.508</v>
      </c>
      <c r="E52" s="46"/>
      <c r="F52" s="8">
        <f t="shared" si="2"/>
        <v>364039.1704</v>
      </c>
      <c r="G52" s="8">
        <f t="shared" si="3"/>
        <v>1749272.337</v>
      </c>
      <c r="H52" s="8">
        <f t="shared" si="4"/>
        <v>34654644.7</v>
      </c>
      <c r="J52" s="5"/>
    </row>
    <row r="53" ht="15.75" customHeight="1">
      <c r="B53" s="2"/>
      <c r="C53" s="30">
        <v>47228.0</v>
      </c>
      <c r="D53" s="8">
        <f t="shared" si="1"/>
        <v>2113311.508</v>
      </c>
      <c r="E53" s="46"/>
      <c r="F53" s="8">
        <f t="shared" si="2"/>
        <v>346546.447</v>
      </c>
      <c r="G53" s="8">
        <f t="shared" si="3"/>
        <v>1766765.061</v>
      </c>
      <c r="H53" s="8">
        <f t="shared" si="4"/>
        <v>32887879.64</v>
      </c>
      <c r="J53" s="5"/>
    </row>
    <row r="54" ht="15.75" customHeight="1">
      <c r="B54" s="2"/>
      <c r="C54" s="30">
        <v>47258.0</v>
      </c>
      <c r="D54" s="8">
        <f t="shared" si="1"/>
        <v>2113311.508</v>
      </c>
      <c r="E54" s="46"/>
      <c r="F54" s="8">
        <f t="shared" si="2"/>
        <v>328878.7964</v>
      </c>
      <c r="G54" s="8">
        <f t="shared" si="3"/>
        <v>1784432.711</v>
      </c>
      <c r="H54" s="8">
        <f t="shared" si="4"/>
        <v>31103446.93</v>
      </c>
      <c r="J54" s="5"/>
    </row>
    <row r="55" ht="15.75" customHeight="1">
      <c r="B55" s="2"/>
      <c r="C55" s="30">
        <v>47289.0</v>
      </c>
      <c r="D55" s="8">
        <f t="shared" si="1"/>
        <v>2113311.508</v>
      </c>
      <c r="E55" s="46"/>
      <c r="F55" s="8">
        <f t="shared" si="2"/>
        <v>311034.4693</v>
      </c>
      <c r="G55" s="8">
        <f t="shared" si="3"/>
        <v>1802277.039</v>
      </c>
      <c r="H55" s="8">
        <f t="shared" si="4"/>
        <v>29301169.89</v>
      </c>
      <c r="J55" s="5"/>
    </row>
    <row r="56" ht="15.75" customHeight="1">
      <c r="B56" s="2"/>
      <c r="C56" s="30">
        <v>47319.0</v>
      </c>
      <c r="D56" s="8">
        <f t="shared" si="1"/>
        <v>2113311.508</v>
      </c>
      <c r="E56" s="46"/>
      <c r="F56" s="8">
        <f t="shared" si="2"/>
        <v>293011.6989</v>
      </c>
      <c r="G56" s="8">
        <f t="shared" si="3"/>
        <v>1820299.809</v>
      </c>
      <c r="H56" s="8">
        <f t="shared" si="4"/>
        <v>27480870.08</v>
      </c>
      <c r="J56" s="5"/>
    </row>
    <row r="57" ht="15.75" customHeight="1">
      <c r="B57" s="2"/>
      <c r="C57" s="30">
        <v>47350.0</v>
      </c>
      <c r="D57" s="8">
        <f t="shared" si="1"/>
        <v>2113311.508</v>
      </c>
      <c r="E57" s="46"/>
      <c r="F57" s="8">
        <f t="shared" si="2"/>
        <v>274808.7008</v>
      </c>
      <c r="G57" s="8">
        <f t="shared" si="3"/>
        <v>1838502.807</v>
      </c>
      <c r="H57" s="8">
        <f t="shared" si="4"/>
        <v>25642367.27</v>
      </c>
      <c r="J57" s="5"/>
    </row>
    <row r="58" ht="15.75" customHeight="1">
      <c r="B58" s="2"/>
      <c r="C58" s="30">
        <v>47381.0</v>
      </c>
      <c r="D58" s="8">
        <f t="shared" si="1"/>
        <v>2113311.508</v>
      </c>
      <c r="E58" s="46"/>
      <c r="F58" s="8">
        <f t="shared" si="2"/>
        <v>256423.6727</v>
      </c>
      <c r="G58" s="8">
        <f t="shared" si="3"/>
        <v>1856887.835</v>
      </c>
      <c r="H58" s="8">
        <f t="shared" si="4"/>
        <v>23785479.44</v>
      </c>
      <c r="J58" s="5"/>
    </row>
    <row r="59" ht="15.75" customHeight="1">
      <c r="B59" s="2"/>
      <c r="C59" s="30">
        <v>47411.0</v>
      </c>
      <c r="D59" s="8">
        <f t="shared" si="1"/>
        <v>2113311.508</v>
      </c>
      <c r="E59" s="46"/>
      <c r="F59" s="8">
        <f t="shared" si="2"/>
        <v>237854.7944</v>
      </c>
      <c r="G59" s="8">
        <f t="shared" si="3"/>
        <v>1875456.713</v>
      </c>
      <c r="H59" s="8">
        <f t="shared" si="4"/>
        <v>21910022.72</v>
      </c>
      <c r="J59" s="5"/>
    </row>
    <row r="60" ht="15.75" customHeight="1">
      <c r="B60" s="2"/>
      <c r="C60" s="30">
        <v>47442.0</v>
      </c>
      <c r="D60" s="8">
        <f t="shared" si="1"/>
        <v>2113311.508</v>
      </c>
      <c r="E60" s="46"/>
      <c r="F60" s="8">
        <f t="shared" si="2"/>
        <v>219100.2272</v>
      </c>
      <c r="G60" s="8">
        <f t="shared" si="3"/>
        <v>1894211.281</v>
      </c>
      <c r="H60" s="8">
        <f t="shared" si="4"/>
        <v>20015811.44</v>
      </c>
      <c r="J60" s="5"/>
    </row>
    <row r="61" ht="15.75" customHeight="1">
      <c r="B61" s="2"/>
      <c r="C61" s="30">
        <v>47472.0</v>
      </c>
      <c r="D61" s="8">
        <f t="shared" si="1"/>
        <v>2113311.508</v>
      </c>
      <c r="E61" s="46"/>
      <c r="F61" s="8">
        <f t="shared" si="2"/>
        <v>200158.1144</v>
      </c>
      <c r="G61" s="8">
        <f t="shared" si="3"/>
        <v>1913153.393</v>
      </c>
      <c r="H61" s="8">
        <f t="shared" si="4"/>
        <v>18102658.05</v>
      </c>
      <c r="J61" s="5"/>
    </row>
    <row r="62" ht="15.75" customHeight="1">
      <c r="B62" s="2"/>
      <c r="C62" s="30">
        <v>47503.0</v>
      </c>
      <c r="D62" s="8">
        <f t="shared" si="1"/>
        <v>2113311.508</v>
      </c>
      <c r="E62" s="46"/>
      <c r="F62" s="8">
        <f t="shared" si="2"/>
        <v>181026.5805</v>
      </c>
      <c r="G62" s="8">
        <f t="shared" si="3"/>
        <v>1932284.927</v>
      </c>
      <c r="H62" s="8">
        <f t="shared" si="4"/>
        <v>16170373.12</v>
      </c>
      <c r="J62" s="5"/>
    </row>
    <row r="63" ht="15.75" customHeight="1">
      <c r="B63" s="2"/>
      <c r="C63" s="30">
        <v>47534.0</v>
      </c>
      <c r="D63" s="8">
        <f t="shared" si="1"/>
        <v>2113311.508</v>
      </c>
      <c r="E63" s="46"/>
      <c r="F63" s="8">
        <f t="shared" si="2"/>
        <v>161703.7312</v>
      </c>
      <c r="G63" s="8">
        <f t="shared" si="3"/>
        <v>1951607.777</v>
      </c>
      <c r="H63" s="8">
        <f t="shared" si="4"/>
        <v>14218765.35</v>
      </c>
      <c r="J63" s="5"/>
    </row>
    <row r="64" ht="15.75" customHeight="1">
      <c r="B64" s="2"/>
      <c r="C64" s="30">
        <v>47562.0</v>
      </c>
      <c r="D64" s="8">
        <f t="shared" si="1"/>
        <v>2113311.508</v>
      </c>
      <c r="E64" s="46"/>
      <c r="F64" s="8">
        <f t="shared" si="2"/>
        <v>142187.6535</v>
      </c>
      <c r="G64" s="8">
        <f t="shared" si="3"/>
        <v>1971123.854</v>
      </c>
      <c r="H64" s="8">
        <f t="shared" si="4"/>
        <v>12247641.49</v>
      </c>
      <c r="J64" s="5"/>
    </row>
    <row r="65" ht="15.75" customHeight="1">
      <c r="B65" s="2"/>
      <c r="C65" s="30">
        <v>47593.0</v>
      </c>
      <c r="D65" s="8">
        <f t="shared" si="1"/>
        <v>2113311.508</v>
      </c>
      <c r="E65" s="46"/>
      <c r="F65" s="8">
        <f t="shared" si="2"/>
        <v>122476.4149</v>
      </c>
      <c r="G65" s="8">
        <f t="shared" si="3"/>
        <v>1990835.093</v>
      </c>
      <c r="H65" s="8">
        <f t="shared" si="4"/>
        <v>10256806.4</v>
      </c>
      <c r="J65" s="5"/>
    </row>
    <row r="66" ht="15.75" customHeight="1">
      <c r="B66" s="2"/>
      <c r="C66" s="30">
        <v>47623.0</v>
      </c>
      <c r="D66" s="8">
        <f t="shared" si="1"/>
        <v>2113311.508</v>
      </c>
      <c r="E66" s="46"/>
      <c r="F66" s="8">
        <f t="shared" si="2"/>
        <v>102568.064</v>
      </c>
      <c r="G66" s="8">
        <f t="shared" si="3"/>
        <v>2010743.444</v>
      </c>
      <c r="H66" s="8">
        <f t="shared" si="4"/>
        <v>8246062.955</v>
      </c>
      <c r="J66" s="5"/>
    </row>
    <row r="67" ht="15.75" customHeight="1">
      <c r="B67" s="2"/>
      <c r="C67" s="30">
        <v>47654.0</v>
      </c>
      <c r="D67" s="8">
        <f t="shared" si="1"/>
        <v>2113311.508</v>
      </c>
      <c r="E67" s="46"/>
      <c r="F67" s="8">
        <f t="shared" si="2"/>
        <v>82460.62955</v>
      </c>
      <c r="G67" s="8">
        <f t="shared" si="3"/>
        <v>2030850.878</v>
      </c>
      <c r="H67" s="8">
        <f t="shared" si="4"/>
        <v>6215212.077</v>
      </c>
      <c r="J67" s="5"/>
    </row>
    <row r="68" ht="15.75" customHeight="1">
      <c r="B68" s="2"/>
      <c r="C68" s="30">
        <v>47684.0</v>
      </c>
      <c r="D68" s="8">
        <f t="shared" si="1"/>
        <v>2113311.508</v>
      </c>
      <c r="E68" s="46"/>
      <c r="F68" s="8">
        <f t="shared" si="2"/>
        <v>62152.12077</v>
      </c>
      <c r="G68" s="8">
        <f t="shared" si="3"/>
        <v>2051159.387</v>
      </c>
      <c r="H68" s="8">
        <f t="shared" si="4"/>
        <v>4164052.69</v>
      </c>
      <c r="J68" s="5"/>
    </row>
    <row r="69" ht="15.75" customHeight="1">
      <c r="B69" s="2"/>
      <c r="C69" s="30">
        <v>47715.0</v>
      </c>
      <c r="D69" s="8">
        <f t="shared" si="1"/>
        <v>2113311.508</v>
      </c>
      <c r="E69" s="46"/>
      <c r="F69" s="8">
        <f t="shared" si="2"/>
        <v>41640.5269</v>
      </c>
      <c r="G69" s="8">
        <f t="shared" si="3"/>
        <v>2071670.981</v>
      </c>
      <c r="H69" s="8">
        <f t="shared" si="4"/>
        <v>2092381.709</v>
      </c>
      <c r="J69" s="5"/>
    </row>
    <row r="70" ht="15.75" customHeight="1">
      <c r="B70" s="2"/>
      <c r="C70" s="30">
        <v>47746.0</v>
      </c>
      <c r="D70" s="8">
        <f t="shared" si="1"/>
        <v>2113311.508</v>
      </c>
      <c r="E70" s="46"/>
      <c r="F70" s="8">
        <f t="shared" si="2"/>
        <v>20923.81709</v>
      </c>
      <c r="G70" s="8">
        <f t="shared" si="3"/>
        <v>2092387.691</v>
      </c>
      <c r="H70" s="8">
        <f t="shared" si="4"/>
        <v>-5.981649178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21.56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764</v>
      </c>
      <c r="J1" s="5"/>
    </row>
    <row r="2" ht="15.75" customHeight="1">
      <c r="B2" s="2"/>
      <c r="C2" s="1" t="s">
        <v>6</v>
      </c>
      <c r="D2" s="6">
        <f>+A5*10%</f>
        <v>12214800</v>
      </c>
      <c r="E2" s="7"/>
      <c r="J2" s="5"/>
    </row>
    <row r="3" ht="15.75" customHeight="1">
      <c r="B3" s="2"/>
      <c r="C3" s="1" t="s">
        <v>7</v>
      </c>
      <c r="D3" s="8">
        <f>+A5-D2</f>
        <v>109933200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1.22148E8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2445403.316</v>
      </c>
      <c r="E6" s="12"/>
      <c r="H6" s="5"/>
      <c r="J6" s="5"/>
    </row>
    <row r="7" ht="41.25" customHeight="1">
      <c r="B7" s="2"/>
      <c r="C7" s="1" t="s">
        <v>12</v>
      </c>
      <c r="D7" s="64" t="s">
        <v>765</v>
      </c>
      <c r="H7" s="5"/>
      <c r="J7" s="5"/>
    </row>
    <row r="8" ht="15.75" customHeight="1">
      <c r="B8" s="2"/>
      <c r="C8" s="1" t="s">
        <v>16</v>
      </c>
      <c r="D8" s="2" t="s">
        <v>766</v>
      </c>
      <c r="H8" s="5"/>
      <c r="I8" s="17"/>
      <c r="J8" s="19"/>
      <c r="K8" s="17"/>
      <c r="L8" s="21" t="s">
        <v>767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109933200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1.58938999E8</v>
      </c>
      <c r="U10" s="25"/>
    </row>
    <row r="11" ht="15.75" customHeight="1">
      <c r="A11" s="29">
        <v>45937.0</v>
      </c>
      <c r="B11" s="2" t="s">
        <v>768</v>
      </c>
      <c r="C11" s="30">
        <v>45940.0</v>
      </c>
      <c r="D11" s="8">
        <f t="shared" ref="D11:D70" si="1">$D$6</f>
        <v>2445403.316</v>
      </c>
      <c r="E11" s="15"/>
      <c r="F11" s="8">
        <f t="shared" ref="F11:F70" si="2">+H10*$D$4</f>
        <v>1099332</v>
      </c>
      <c r="G11" s="8">
        <f t="shared" ref="G11:G70" si="3">+D11+E11-F11</f>
        <v>1346071.316</v>
      </c>
      <c r="H11" s="8">
        <f t="shared" ref="H11:H70" si="4">+H10-G11</f>
        <v>108587128.7</v>
      </c>
      <c r="J11" s="5"/>
      <c r="L11" s="33">
        <v>45870.0</v>
      </c>
      <c r="M11" s="34" t="s">
        <v>44</v>
      </c>
      <c r="N11" s="35" t="s">
        <v>769</v>
      </c>
      <c r="O11" s="36"/>
      <c r="P11" s="36">
        <v>1000000.0</v>
      </c>
      <c r="Q11" s="36"/>
      <c r="R11" s="36"/>
      <c r="S11" s="36">
        <f t="shared" ref="S11:S24" si="5">SUM(O11:R11)</f>
        <v>1000000</v>
      </c>
      <c r="T11" s="36">
        <f t="shared" ref="T11:T24" si="6">T10-S11</f>
        <v>157938999</v>
      </c>
      <c r="U11" s="34"/>
    </row>
    <row r="12" ht="15.75" customHeight="1">
      <c r="A12" s="29">
        <v>45971.0</v>
      </c>
      <c r="B12" s="2" t="s">
        <v>770</v>
      </c>
      <c r="C12" s="30">
        <v>45971.0</v>
      </c>
      <c r="D12" s="8">
        <f t="shared" si="1"/>
        <v>2445403.316</v>
      </c>
      <c r="E12" s="15"/>
      <c r="F12" s="8">
        <f t="shared" si="2"/>
        <v>1085871.287</v>
      </c>
      <c r="G12" s="8">
        <f t="shared" si="3"/>
        <v>1359532.029</v>
      </c>
      <c r="H12" s="8">
        <f t="shared" si="4"/>
        <v>107227596.7</v>
      </c>
      <c r="J12" s="5"/>
      <c r="L12" s="33">
        <v>45873.0</v>
      </c>
      <c r="M12" s="34" t="s">
        <v>44</v>
      </c>
      <c r="N12" s="79" t="s">
        <v>769</v>
      </c>
      <c r="O12" s="36"/>
      <c r="P12" s="36">
        <v>1000000.0</v>
      </c>
      <c r="Q12" s="36"/>
      <c r="R12" s="36"/>
      <c r="S12" s="36">
        <f t="shared" si="5"/>
        <v>1000000</v>
      </c>
      <c r="T12" s="36">
        <f t="shared" si="6"/>
        <v>156938999</v>
      </c>
      <c r="U12" s="34" t="s">
        <v>771</v>
      </c>
    </row>
    <row r="13" ht="15.75" customHeight="1">
      <c r="A13" s="29">
        <v>46001.0</v>
      </c>
      <c r="B13" s="2" t="s">
        <v>772</v>
      </c>
      <c r="C13" s="30">
        <v>46001.0</v>
      </c>
      <c r="D13" s="8">
        <f t="shared" si="1"/>
        <v>2445403.316</v>
      </c>
      <c r="E13" s="15"/>
      <c r="F13" s="8">
        <f t="shared" si="2"/>
        <v>1072275.967</v>
      </c>
      <c r="G13" s="8">
        <f t="shared" si="3"/>
        <v>1373127.35</v>
      </c>
      <c r="H13" s="8">
        <f t="shared" si="4"/>
        <v>105854469.3</v>
      </c>
      <c r="J13" s="5" t="s">
        <v>56</v>
      </c>
      <c r="L13" s="33">
        <v>45915.0</v>
      </c>
      <c r="M13" s="34" t="s">
        <v>44</v>
      </c>
      <c r="N13" s="35" t="s">
        <v>773</v>
      </c>
      <c r="O13" s="36"/>
      <c r="P13" s="36">
        <v>1.02148E7</v>
      </c>
      <c r="Q13" s="36"/>
      <c r="R13" s="36"/>
      <c r="S13" s="36">
        <f t="shared" si="5"/>
        <v>10214800</v>
      </c>
      <c r="T13" s="36">
        <f t="shared" si="6"/>
        <v>146724199</v>
      </c>
      <c r="U13" s="34"/>
    </row>
    <row r="14" ht="15.75" customHeight="1">
      <c r="A14" s="29">
        <v>46030.0</v>
      </c>
      <c r="B14" s="2" t="s">
        <v>774</v>
      </c>
      <c r="C14" s="30">
        <v>46032.0</v>
      </c>
      <c r="D14" s="8">
        <f t="shared" si="1"/>
        <v>2445403.316</v>
      </c>
      <c r="E14" s="15"/>
      <c r="F14" s="8">
        <f t="shared" si="2"/>
        <v>1058544.693</v>
      </c>
      <c r="G14" s="8">
        <f t="shared" si="3"/>
        <v>1386858.623</v>
      </c>
      <c r="H14" s="8">
        <f t="shared" si="4"/>
        <v>104467610.7</v>
      </c>
      <c r="J14" s="8">
        <f>+H10</f>
        <v>109933200</v>
      </c>
      <c r="L14" s="33">
        <v>45937.0</v>
      </c>
      <c r="M14" s="34" t="s">
        <v>73</v>
      </c>
      <c r="N14" s="35" t="s">
        <v>768</v>
      </c>
      <c r="O14" s="36"/>
      <c r="P14" s="36">
        <v>2445400.0</v>
      </c>
      <c r="Q14" s="36"/>
      <c r="R14" s="36"/>
      <c r="S14" s="36">
        <f t="shared" si="5"/>
        <v>2445400</v>
      </c>
      <c r="T14" s="36">
        <f t="shared" si="6"/>
        <v>144278799</v>
      </c>
      <c r="U14" s="34"/>
    </row>
    <row r="15" ht="15.75" customHeight="1">
      <c r="A15" s="29">
        <v>46052.0</v>
      </c>
      <c r="B15" s="2" t="s">
        <v>775</v>
      </c>
      <c r="C15" s="30">
        <v>46063.0</v>
      </c>
      <c r="D15" s="8">
        <f t="shared" si="1"/>
        <v>2445403.316</v>
      </c>
      <c r="E15" s="15"/>
      <c r="F15" s="8">
        <f t="shared" si="2"/>
        <v>1044676.107</v>
      </c>
      <c r="G15" s="8">
        <f t="shared" si="3"/>
        <v>1400727.209</v>
      </c>
      <c r="H15" s="8">
        <f t="shared" si="4"/>
        <v>103066883.5</v>
      </c>
      <c r="J15" s="5"/>
      <c r="L15" s="33">
        <v>45971.0</v>
      </c>
      <c r="M15" s="34" t="s">
        <v>78</v>
      </c>
      <c r="N15" s="35" t="s">
        <v>770</v>
      </c>
      <c r="O15" s="36"/>
      <c r="P15" s="36">
        <v>2445400.0</v>
      </c>
      <c r="Q15" s="36"/>
      <c r="R15" s="36"/>
      <c r="S15" s="36">
        <f t="shared" si="5"/>
        <v>2445400</v>
      </c>
      <c r="T15" s="36">
        <f t="shared" si="6"/>
        <v>141833399</v>
      </c>
      <c r="U15" s="34"/>
    </row>
    <row r="16" ht="15.75" customHeight="1">
      <c r="A16" s="29">
        <v>46089.0</v>
      </c>
      <c r="B16" s="2" t="s">
        <v>776</v>
      </c>
      <c r="C16" s="30">
        <v>46091.0</v>
      </c>
      <c r="D16" s="8">
        <f t="shared" si="1"/>
        <v>2445403.316</v>
      </c>
      <c r="E16" s="15">
        <f>20319921+2446000-17-D16</f>
        <v>20320500.68</v>
      </c>
      <c r="F16" s="8">
        <f t="shared" si="2"/>
        <v>1030668.835</v>
      </c>
      <c r="G16" s="8">
        <f t="shared" si="3"/>
        <v>21735235.17</v>
      </c>
      <c r="H16" s="8">
        <f t="shared" si="4"/>
        <v>81331648.31</v>
      </c>
      <c r="J16" s="5"/>
      <c r="L16" s="33">
        <v>46001.0</v>
      </c>
      <c r="M16" s="34" t="s">
        <v>83</v>
      </c>
      <c r="N16" s="35" t="s">
        <v>772</v>
      </c>
      <c r="O16" s="36"/>
      <c r="P16" s="36">
        <v>2445400.0</v>
      </c>
      <c r="Q16" s="36"/>
      <c r="R16" s="36"/>
      <c r="S16" s="36">
        <f t="shared" si="5"/>
        <v>2445400</v>
      </c>
      <c r="T16" s="36">
        <f t="shared" si="6"/>
        <v>139387999</v>
      </c>
      <c r="U16" s="34"/>
    </row>
    <row r="17" ht="15.75" customHeight="1">
      <c r="A17" s="29">
        <v>46119.0</v>
      </c>
      <c r="B17" s="2" t="s">
        <v>777</v>
      </c>
      <c r="C17" s="30">
        <v>46122.0</v>
      </c>
      <c r="D17" s="8">
        <f t="shared" si="1"/>
        <v>2445403.316</v>
      </c>
      <c r="E17" s="15">
        <f t="shared" ref="E17:E20" si="7">2445500-D17</f>
        <v>96.68376616</v>
      </c>
      <c r="F17" s="8">
        <f t="shared" si="2"/>
        <v>813316.4831</v>
      </c>
      <c r="G17" s="8">
        <f t="shared" si="3"/>
        <v>1632183.517</v>
      </c>
      <c r="H17" s="8">
        <f t="shared" si="4"/>
        <v>79699464.79</v>
      </c>
      <c r="J17" s="5"/>
      <c r="L17" s="33">
        <v>46030.0</v>
      </c>
      <c r="M17" s="34" t="s">
        <v>85</v>
      </c>
      <c r="N17" s="35" t="s">
        <v>774</v>
      </c>
      <c r="O17" s="36"/>
      <c r="P17" s="36">
        <v>2445400.0</v>
      </c>
      <c r="Q17" s="36"/>
      <c r="R17" s="36"/>
      <c r="S17" s="36">
        <f t="shared" si="5"/>
        <v>2445400</v>
      </c>
      <c r="T17" s="36">
        <f t="shared" si="6"/>
        <v>136942599</v>
      </c>
      <c r="U17" s="34"/>
    </row>
    <row r="18" ht="15.75" customHeight="1">
      <c r="A18" s="29">
        <v>46146.0</v>
      </c>
      <c r="B18" s="2" t="s">
        <v>778</v>
      </c>
      <c r="C18" s="30">
        <v>46152.0</v>
      </c>
      <c r="D18" s="8">
        <f t="shared" si="1"/>
        <v>2445403.316</v>
      </c>
      <c r="E18" s="15">
        <f t="shared" si="7"/>
        <v>96.68376616</v>
      </c>
      <c r="F18" s="8">
        <f t="shared" si="2"/>
        <v>796994.6479</v>
      </c>
      <c r="G18" s="8">
        <f t="shared" si="3"/>
        <v>1648505.352</v>
      </c>
      <c r="H18" s="8">
        <f t="shared" si="4"/>
        <v>78050959.44</v>
      </c>
      <c r="J18" s="5"/>
      <c r="L18" s="33">
        <v>46052.0</v>
      </c>
      <c r="M18" s="34" t="s">
        <v>89</v>
      </c>
      <c r="N18" s="35" t="s">
        <v>775</v>
      </c>
      <c r="O18" s="36"/>
      <c r="P18" s="36">
        <v>2445400.0</v>
      </c>
      <c r="Q18" s="36"/>
      <c r="R18" s="36"/>
      <c r="S18" s="36">
        <f t="shared" si="5"/>
        <v>2445400</v>
      </c>
      <c r="T18" s="36">
        <f t="shared" si="6"/>
        <v>134497199</v>
      </c>
      <c r="U18" s="34"/>
    </row>
    <row r="19" ht="15.75" customHeight="1">
      <c r="A19" s="29">
        <v>46181.0</v>
      </c>
      <c r="B19" s="2" t="s">
        <v>779</v>
      </c>
      <c r="C19" s="30">
        <v>46183.0</v>
      </c>
      <c r="D19" s="8">
        <f t="shared" si="1"/>
        <v>2445403.316</v>
      </c>
      <c r="E19" s="15">
        <f t="shared" si="7"/>
        <v>96.68376616</v>
      </c>
      <c r="F19" s="8">
        <f t="shared" si="2"/>
        <v>780509.5944</v>
      </c>
      <c r="G19" s="8">
        <f t="shared" si="3"/>
        <v>1664990.406</v>
      </c>
      <c r="H19" s="8">
        <f t="shared" si="4"/>
        <v>76385969.03</v>
      </c>
      <c r="I19" s="1"/>
      <c r="J19" s="41"/>
      <c r="K19" s="1"/>
      <c r="L19" s="42">
        <v>46089.0</v>
      </c>
      <c r="M19" s="43" t="s">
        <v>780</v>
      </c>
      <c r="N19" s="44" t="s">
        <v>781</v>
      </c>
      <c r="O19" s="45"/>
      <c r="P19" s="45">
        <v>2.0319921E7</v>
      </c>
      <c r="Q19" s="45"/>
      <c r="R19" s="45"/>
      <c r="S19" s="45">
        <f t="shared" si="5"/>
        <v>20319921</v>
      </c>
      <c r="T19" s="45">
        <f t="shared" si="6"/>
        <v>114177278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46209.0</v>
      </c>
      <c r="B20" s="2" t="s">
        <v>782</v>
      </c>
      <c r="C20" s="30">
        <v>46213.0</v>
      </c>
      <c r="D20" s="8">
        <f t="shared" si="1"/>
        <v>2445403.316</v>
      </c>
      <c r="E20" s="15">
        <f t="shared" si="7"/>
        <v>96.68376616</v>
      </c>
      <c r="F20" s="8">
        <f t="shared" si="2"/>
        <v>763859.6903</v>
      </c>
      <c r="G20" s="8">
        <f t="shared" si="3"/>
        <v>1681640.31</v>
      </c>
      <c r="H20" s="8">
        <f t="shared" si="4"/>
        <v>74704328.72</v>
      </c>
      <c r="J20" s="5"/>
      <c r="L20" s="33">
        <v>46084.0</v>
      </c>
      <c r="M20" s="34" t="s">
        <v>96</v>
      </c>
      <c r="N20" s="35" t="s">
        <v>785</v>
      </c>
      <c r="O20" s="36"/>
      <c r="P20" s="36">
        <v>2446000.0</v>
      </c>
      <c r="Q20" s="36"/>
      <c r="R20" s="36"/>
      <c r="S20" s="36">
        <f t="shared" si="5"/>
        <v>2446000</v>
      </c>
      <c r="T20" s="36">
        <f t="shared" si="6"/>
        <v>111731278</v>
      </c>
      <c r="U20" s="34"/>
    </row>
    <row r="21" ht="15.75" customHeight="1">
      <c r="A21" s="29">
        <v>46239.0</v>
      </c>
      <c r="B21" s="2" t="s">
        <v>786</v>
      </c>
      <c r="C21" s="30">
        <v>46244.0</v>
      </c>
      <c r="D21" s="8">
        <f t="shared" si="1"/>
        <v>2445403.316</v>
      </c>
      <c r="E21" s="15">
        <f>7445500-D21</f>
        <v>5000096.684</v>
      </c>
      <c r="F21" s="8">
        <f t="shared" si="2"/>
        <v>747043.2872</v>
      </c>
      <c r="G21" s="8">
        <f t="shared" si="3"/>
        <v>6698456.713</v>
      </c>
      <c r="H21" s="8">
        <f t="shared" si="4"/>
        <v>68005872.01</v>
      </c>
      <c r="J21" s="5"/>
      <c r="L21" s="40">
        <v>46119.0</v>
      </c>
      <c r="M21" s="34" t="s">
        <v>192</v>
      </c>
      <c r="N21" s="35" t="s">
        <v>787</v>
      </c>
      <c r="O21" s="36"/>
      <c r="P21" s="36">
        <v>4891000.0</v>
      </c>
      <c r="Q21" s="36"/>
      <c r="R21" s="36"/>
      <c r="S21" s="36">
        <f t="shared" si="5"/>
        <v>4891000</v>
      </c>
      <c r="T21" s="36">
        <f t="shared" si="6"/>
        <v>106840278</v>
      </c>
      <c r="U21" s="34" t="s">
        <v>788</v>
      </c>
    </row>
    <row r="22" ht="15.75" customHeight="1">
      <c r="A22" s="37"/>
      <c r="B22" s="2"/>
      <c r="C22" s="30">
        <v>46275.0</v>
      </c>
      <c r="D22" s="8">
        <f t="shared" si="1"/>
        <v>2445403.316</v>
      </c>
      <c r="E22" s="15"/>
      <c r="F22" s="8">
        <f t="shared" si="2"/>
        <v>680058.7201</v>
      </c>
      <c r="G22" s="8">
        <f t="shared" si="3"/>
        <v>1765344.596</v>
      </c>
      <c r="H22" s="8">
        <f t="shared" si="4"/>
        <v>66240527.41</v>
      </c>
      <c r="J22" s="5"/>
      <c r="L22" s="33">
        <v>46181.0</v>
      </c>
      <c r="M22" s="34" t="s">
        <v>103</v>
      </c>
      <c r="N22" s="35" t="s">
        <v>779</v>
      </c>
      <c r="O22" s="36"/>
      <c r="P22" s="36">
        <v>2445500.0</v>
      </c>
      <c r="Q22" s="36"/>
      <c r="R22" s="36"/>
      <c r="S22" s="36">
        <f t="shared" si="5"/>
        <v>2445500</v>
      </c>
      <c r="T22" s="36">
        <f t="shared" si="6"/>
        <v>104394778</v>
      </c>
      <c r="U22" s="34"/>
    </row>
    <row r="23" ht="15.75" customHeight="1">
      <c r="A23" s="37"/>
      <c r="B23" s="2"/>
      <c r="C23" s="30">
        <v>46305.0</v>
      </c>
      <c r="D23" s="8">
        <f t="shared" si="1"/>
        <v>2445403.316</v>
      </c>
      <c r="E23" s="46"/>
      <c r="F23" s="8">
        <f t="shared" si="2"/>
        <v>662405.2741</v>
      </c>
      <c r="G23" s="8">
        <f t="shared" si="3"/>
        <v>1782998.042</v>
      </c>
      <c r="H23" s="8">
        <f t="shared" si="4"/>
        <v>64457529.37</v>
      </c>
      <c r="J23" s="5"/>
      <c r="L23" s="33">
        <v>46209.0</v>
      </c>
      <c r="M23" s="34" t="s">
        <v>107</v>
      </c>
      <c r="N23" s="35" t="s">
        <v>782</v>
      </c>
      <c r="O23" s="36"/>
      <c r="P23" s="36">
        <v>2445500.0</v>
      </c>
      <c r="Q23" s="36"/>
      <c r="R23" s="36"/>
      <c r="S23" s="36">
        <f t="shared" si="5"/>
        <v>2445500</v>
      </c>
      <c r="T23" s="36">
        <f t="shared" si="6"/>
        <v>101949278</v>
      </c>
      <c r="U23" s="34"/>
    </row>
    <row r="24" ht="15.75" customHeight="1">
      <c r="A24" s="37"/>
      <c r="B24" s="2"/>
      <c r="C24" s="30">
        <v>46336.0</v>
      </c>
      <c r="D24" s="8">
        <f t="shared" si="1"/>
        <v>2445403.316</v>
      </c>
      <c r="E24" s="46"/>
      <c r="F24" s="8">
        <f t="shared" si="2"/>
        <v>644575.2937</v>
      </c>
      <c r="G24" s="8">
        <f t="shared" si="3"/>
        <v>1800828.023</v>
      </c>
      <c r="H24" s="8">
        <f t="shared" si="4"/>
        <v>62656701.35</v>
      </c>
      <c r="J24" s="5"/>
      <c r="L24" s="40">
        <v>46239.0</v>
      </c>
      <c r="M24" s="34" t="s">
        <v>112</v>
      </c>
      <c r="N24" s="35" t="s">
        <v>786</v>
      </c>
      <c r="O24" s="36"/>
      <c r="P24" s="36"/>
      <c r="Q24" s="36"/>
      <c r="R24" s="36">
        <v>7445500.0</v>
      </c>
      <c r="S24" s="36">
        <f t="shared" si="5"/>
        <v>7445500</v>
      </c>
      <c r="T24" s="36">
        <f t="shared" si="6"/>
        <v>94503778</v>
      </c>
      <c r="U24" s="34" t="s">
        <v>125</v>
      </c>
    </row>
    <row r="25" ht="15.75" customHeight="1">
      <c r="B25" s="2"/>
      <c r="C25" s="30">
        <v>46366.0</v>
      </c>
      <c r="D25" s="8">
        <f t="shared" si="1"/>
        <v>2445403.316</v>
      </c>
      <c r="E25" s="46"/>
      <c r="F25" s="8">
        <f t="shared" si="2"/>
        <v>626567.0135</v>
      </c>
      <c r="G25" s="8">
        <f t="shared" si="3"/>
        <v>1818836.303</v>
      </c>
      <c r="H25" s="8">
        <f t="shared" si="4"/>
        <v>60837865.05</v>
      </c>
      <c r="J25" s="5"/>
      <c r="L25" s="25"/>
      <c r="M25" s="38" t="s">
        <v>69</v>
      </c>
      <c r="N25" s="39"/>
      <c r="O25" s="27">
        <f t="shared" ref="O25:S25" si="8">SUM(O11:O24)</f>
        <v>0</v>
      </c>
      <c r="P25" s="27">
        <f t="shared" si="8"/>
        <v>56989721</v>
      </c>
      <c r="Q25" s="27">
        <f t="shared" si="8"/>
        <v>0</v>
      </c>
      <c r="R25" s="27">
        <f t="shared" si="8"/>
        <v>7445500</v>
      </c>
      <c r="S25" s="27">
        <f t="shared" si="8"/>
        <v>64435221</v>
      </c>
      <c r="T25" s="27">
        <f>T24</f>
        <v>94503778</v>
      </c>
      <c r="U25" s="25"/>
    </row>
    <row r="26" ht="15.75" customHeight="1">
      <c r="B26" s="2"/>
      <c r="C26" s="30">
        <v>46397.0</v>
      </c>
      <c r="D26" s="8">
        <f t="shared" si="1"/>
        <v>2445403.316</v>
      </c>
      <c r="E26" s="46"/>
      <c r="F26" s="8">
        <f t="shared" si="2"/>
        <v>608378.6505</v>
      </c>
      <c r="G26" s="8">
        <f t="shared" si="3"/>
        <v>1837024.666</v>
      </c>
      <c r="H26" s="8">
        <f t="shared" si="4"/>
        <v>59000840.38</v>
      </c>
      <c r="J26" s="5"/>
    </row>
    <row r="27" ht="15.75" customHeight="1">
      <c r="B27" s="2"/>
      <c r="C27" s="30">
        <v>46428.0</v>
      </c>
      <c r="D27" s="8">
        <f t="shared" si="1"/>
        <v>2445403.316</v>
      </c>
      <c r="E27" s="46"/>
      <c r="F27" s="8">
        <f t="shared" si="2"/>
        <v>590008.4038</v>
      </c>
      <c r="G27" s="8">
        <f t="shared" si="3"/>
        <v>1855394.912</v>
      </c>
      <c r="H27" s="8">
        <f t="shared" si="4"/>
        <v>57145445.47</v>
      </c>
      <c r="J27" s="5"/>
    </row>
    <row r="28" ht="15.75" customHeight="1">
      <c r="B28" s="2"/>
      <c r="C28" s="30">
        <v>46456.0</v>
      </c>
      <c r="D28" s="8">
        <f t="shared" si="1"/>
        <v>2445403.316</v>
      </c>
      <c r="E28" s="46"/>
      <c r="F28" s="8">
        <f t="shared" si="2"/>
        <v>571454.4547</v>
      </c>
      <c r="G28" s="8">
        <f t="shared" si="3"/>
        <v>1873948.862</v>
      </c>
      <c r="H28" s="8">
        <f t="shared" si="4"/>
        <v>55271496.61</v>
      </c>
      <c r="J28" s="5"/>
    </row>
    <row r="29" ht="15.75" customHeight="1">
      <c r="B29" s="2"/>
      <c r="C29" s="30">
        <v>46487.0</v>
      </c>
      <c r="D29" s="8">
        <f t="shared" si="1"/>
        <v>2445403.316</v>
      </c>
      <c r="E29" s="46"/>
      <c r="F29" s="8">
        <f t="shared" si="2"/>
        <v>552714.9661</v>
      </c>
      <c r="G29" s="8">
        <f t="shared" si="3"/>
        <v>1892688.35</v>
      </c>
      <c r="H29" s="8">
        <f t="shared" si="4"/>
        <v>53378808.26</v>
      </c>
      <c r="J29" s="5"/>
    </row>
    <row r="30" ht="15.75" customHeight="1">
      <c r="B30" s="2"/>
      <c r="C30" s="30">
        <v>46517.0</v>
      </c>
      <c r="D30" s="8">
        <f t="shared" si="1"/>
        <v>2445403.316</v>
      </c>
      <c r="E30" s="46"/>
      <c r="F30" s="8">
        <f t="shared" si="2"/>
        <v>533788.0826</v>
      </c>
      <c r="G30" s="8">
        <f t="shared" si="3"/>
        <v>1911615.234</v>
      </c>
      <c r="H30" s="8">
        <f t="shared" si="4"/>
        <v>51467193.02</v>
      </c>
      <c r="J30" s="5"/>
    </row>
    <row r="31" ht="15.75" customHeight="1">
      <c r="B31" s="2"/>
      <c r="C31" s="30">
        <v>46548.0</v>
      </c>
      <c r="D31" s="8">
        <f t="shared" si="1"/>
        <v>2445403.316</v>
      </c>
      <c r="E31" s="46"/>
      <c r="F31" s="8">
        <f t="shared" si="2"/>
        <v>514671.9302</v>
      </c>
      <c r="G31" s="8">
        <f t="shared" si="3"/>
        <v>1930731.386</v>
      </c>
      <c r="H31" s="8">
        <f t="shared" si="4"/>
        <v>49536461.64</v>
      </c>
      <c r="J31" s="5"/>
    </row>
    <row r="32" ht="15.75" customHeight="1">
      <c r="B32" s="2"/>
      <c r="C32" s="30">
        <v>46578.0</v>
      </c>
      <c r="D32" s="8">
        <f t="shared" si="1"/>
        <v>2445403.316</v>
      </c>
      <c r="E32" s="46"/>
      <c r="F32" s="8">
        <f t="shared" si="2"/>
        <v>495364.6164</v>
      </c>
      <c r="G32" s="8">
        <f t="shared" si="3"/>
        <v>1950038.7</v>
      </c>
      <c r="H32" s="8">
        <f t="shared" si="4"/>
        <v>47586422.94</v>
      </c>
      <c r="J32" s="5"/>
    </row>
    <row r="33" ht="15.75" customHeight="1">
      <c r="B33" s="2"/>
      <c r="C33" s="30">
        <v>46609.0</v>
      </c>
      <c r="D33" s="8">
        <f t="shared" si="1"/>
        <v>2445403.316</v>
      </c>
      <c r="E33" s="46"/>
      <c r="F33" s="8">
        <f t="shared" si="2"/>
        <v>475864.2294</v>
      </c>
      <c r="G33" s="8">
        <f t="shared" si="3"/>
        <v>1969539.087</v>
      </c>
      <c r="H33" s="8">
        <f t="shared" si="4"/>
        <v>45616883.85</v>
      </c>
      <c r="J33" s="5"/>
    </row>
    <row r="34" ht="15.75" customHeight="1">
      <c r="B34" s="2"/>
      <c r="C34" s="30">
        <v>46640.0</v>
      </c>
      <c r="D34" s="8">
        <f t="shared" si="1"/>
        <v>2445403.316</v>
      </c>
      <c r="E34" s="46"/>
      <c r="F34" s="8">
        <f t="shared" si="2"/>
        <v>456168.8385</v>
      </c>
      <c r="G34" s="8">
        <f t="shared" si="3"/>
        <v>1989234.478</v>
      </c>
      <c r="H34" s="8">
        <f t="shared" si="4"/>
        <v>43627649.37</v>
      </c>
      <c r="J34" s="5"/>
    </row>
    <row r="35" ht="15.75" customHeight="1">
      <c r="B35" s="2"/>
      <c r="C35" s="30">
        <v>46670.0</v>
      </c>
      <c r="D35" s="8">
        <f t="shared" si="1"/>
        <v>2445403.316</v>
      </c>
      <c r="E35" s="46"/>
      <c r="F35" s="8">
        <f t="shared" si="2"/>
        <v>436276.4937</v>
      </c>
      <c r="G35" s="8">
        <f t="shared" si="3"/>
        <v>2009126.823</v>
      </c>
      <c r="H35" s="8">
        <f t="shared" si="4"/>
        <v>41618522.55</v>
      </c>
      <c r="J35" s="5"/>
    </row>
    <row r="36" ht="15.75" customHeight="1">
      <c r="B36" s="2"/>
      <c r="C36" s="30">
        <v>46701.0</v>
      </c>
      <c r="D36" s="8">
        <f t="shared" si="1"/>
        <v>2445403.316</v>
      </c>
      <c r="E36" s="46"/>
      <c r="F36" s="8">
        <f t="shared" si="2"/>
        <v>416185.2255</v>
      </c>
      <c r="G36" s="8">
        <f t="shared" si="3"/>
        <v>2029218.091</v>
      </c>
      <c r="H36" s="8">
        <f t="shared" si="4"/>
        <v>39589304.46</v>
      </c>
      <c r="J36" s="5"/>
    </row>
    <row r="37" ht="15.75" customHeight="1">
      <c r="B37" s="2"/>
      <c r="C37" s="30">
        <v>46731.0</v>
      </c>
      <c r="D37" s="8">
        <f t="shared" si="1"/>
        <v>2445403.316</v>
      </c>
      <c r="E37" s="46"/>
      <c r="F37" s="8">
        <f t="shared" si="2"/>
        <v>395893.0446</v>
      </c>
      <c r="G37" s="8">
        <f t="shared" si="3"/>
        <v>2049510.272</v>
      </c>
      <c r="H37" s="8">
        <f t="shared" si="4"/>
        <v>37539794.19</v>
      </c>
      <c r="J37" s="5"/>
    </row>
    <row r="38" ht="15.75" customHeight="1">
      <c r="B38" s="2"/>
      <c r="C38" s="30">
        <v>46762.0</v>
      </c>
      <c r="D38" s="8">
        <f t="shared" si="1"/>
        <v>2445403.316</v>
      </c>
      <c r="E38" s="46"/>
      <c r="F38" s="8">
        <f t="shared" si="2"/>
        <v>375397.9419</v>
      </c>
      <c r="G38" s="8">
        <f t="shared" si="3"/>
        <v>2070005.374</v>
      </c>
      <c r="H38" s="8">
        <f t="shared" si="4"/>
        <v>35469788.81</v>
      </c>
      <c r="J38" s="5"/>
    </row>
    <row r="39" ht="15.75" customHeight="1">
      <c r="B39" s="2"/>
      <c r="C39" s="30">
        <v>46793.0</v>
      </c>
      <c r="D39" s="8">
        <f t="shared" si="1"/>
        <v>2445403.316</v>
      </c>
      <c r="E39" s="46"/>
      <c r="F39" s="8">
        <f t="shared" si="2"/>
        <v>354697.8881</v>
      </c>
      <c r="G39" s="8">
        <f t="shared" si="3"/>
        <v>2090705.428</v>
      </c>
      <c r="H39" s="8">
        <f t="shared" si="4"/>
        <v>33379083.38</v>
      </c>
      <c r="J39" s="5"/>
    </row>
    <row r="40" ht="15.75" customHeight="1">
      <c r="B40" s="2"/>
      <c r="C40" s="30">
        <v>46822.0</v>
      </c>
      <c r="D40" s="8">
        <f t="shared" si="1"/>
        <v>2445403.316</v>
      </c>
      <c r="E40" s="46"/>
      <c r="F40" s="8">
        <f t="shared" si="2"/>
        <v>333790.8338</v>
      </c>
      <c r="G40" s="8">
        <f t="shared" si="3"/>
        <v>2111612.482</v>
      </c>
      <c r="H40" s="8">
        <f t="shared" si="4"/>
        <v>31267470.9</v>
      </c>
      <c r="J40" s="5"/>
    </row>
    <row r="41" ht="15.75" customHeight="1">
      <c r="B41" s="2"/>
      <c r="C41" s="30">
        <v>46853.0</v>
      </c>
      <c r="D41" s="8">
        <f t="shared" si="1"/>
        <v>2445403.316</v>
      </c>
      <c r="E41" s="46"/>
      <c r="F41" s="8">
        <f t="shared" si="2"/>
        <v>312674.709</v>
      </c>
      <c r="G41" s="8">
        <f t="shared" si="3"/>
        <v>2132728.607</v>
      </c>
      <c r="H41" s="8">
        <f t="shared" si="4"/>
        <v>29134742.3</v>
      </c>
      <c r="J41" s="5"/>
    </row>
    <row r="42" ht="15.75" customHeight="1">
      <c r="B42" s="2"/>
      <c r="C42" s="30">
        <v>46883.0</v>
      </c>
      <c r="D42" s="8">
        <f t="shared" si="1"/>
        <v>2445403.316</v>
      </c>
      <c r="E42" s="46"/>
      <c r="F42" s="8">
        <f t="shared" si="2"/>
        <v>291347.423</v>
      </c>
      <c r="G42" s="8">
        <f t="shared" si="3"/>
        <v>2154055.893</v>
      </c>
      <c r="H42" s="8">
        <f t="shared" si="4"/>
        <v>26980686.4</v>
      </c>
      <c r="J42" s="5"/>
    </row>
    <row r="43" ht="15.75" customHeight="1">
      <c r="B43" s="2"/>
      <c r="C43" s="30">
        <v>46914.0</v>
      </c>
      <c r="D43" s="8">
        <f t="shared" si="1"/>
        <v>2445403.316</v>
      </c>
      <c r="E43" s="46"/>
      <c r="F43" s="8">
        <f t="shared" si="2"/>
        <v>269806.864</v>
      </c>
      <c r="G43" s="8">
        <f t="shared" si="3"/>
        <v>2175596.452</v>
      </c>
      <c r="H43" s="8">
        <f t="shared" si="4"/>
        <v>24805089.95</v>
      </c>
      <c r="J43" s="5"/>
    </row>
    <row r="44" ht="15.75" customHeight="1">
      <c r="B44" s="2"/>
      <c r="C44" s="30">
        <v>46944.0</v>
      </c>
      <c r="D44" s="8">
        <f t="shared" si="1"/>
        <v>2445403.316</v>
      </c>
      <c r="E44" s="46"/>
      <c r="F44" s="8">
        <f t="shared" si="2"/>
        <v>248050.8995</v>
      </c>
      <c r="G44" s="8">
        <f t="shared" si="3"/>
        <v>2197352.417</v>
      </c>
      <c r="H44" s="8">
        <f t="shared" si="4"/>
        <v>22607737.53</v>
      </c>
      <c r="J44" s="5"/>
    </row>
    <row r="45" ht="15.75" customHeight="1">
      <c r="B45" s="2"/>
      <c r="C45" s="30">
        <v>46975.0</v>
      </c>
      <c r="D45" s="8">
        <f t="shared" si="1"/>
        <v>2445403.316</v>
      </c>
      <c r="E45" s="46"/>
      <c r="F45" s="8">
        <f t="shared" si="2"/>
        <v>226077.3753</v>
      </c>
      <c r="G45" s="8">
        <f t="shared" si="3"/>
        <v>2219325.941</v>
      </c>
      <c r="H45" s="8">
        <f t="shared" si="4"/>
        <v>20388411.59</v>
      </c>
      <c r="J45" s="5"/>
    </row>
    <row r="46" ht="15.75" customHeight="1">
      <c r="B46" s="2"/>
      <c r="C46" s="30">
        <v>47006.0</v>
      </c>
      <c r="D46" s="8">
        <f t="shared" si="1"/>
        <v>2445403.316</v>
      </c>
      <c r="E46" s="46"/>
      <c r="F46" s="8">
        <f t="shared" si="2"/>
        <v>203884.1159</v>
      </c>
      <c r="G46" s="8">
        <f t="shared" si="3"/>
        <v>2241519.2</v>
      </c>
      <c r="H46" s="8">
        <f t="shared" si="4"/>
        <v>18146892.39</v>
      </c>
      <c r="J46" s="5"/>
    </row>
    <row r="47" ht="15.75" customHeight="1">
      <c r="B47" s="2"/>
      <c r="C47" s="30">
        <v>47036.0</v>
      </c>
      <c r="D47" s="8">
        <f t="shared" si="1"/>
        <v>2445403.316</v>
      </c>
      <c r="E47" s="46"/>
      <c r="F47" s="8">
        <f t="shared" si="2"/>
        <v>181468.9239</v>
      </c>
      <c r="G47" s="8">
        <f t="shared" si="3"/>
        <v>2263934.392</v>
      </c>
      <c r="H47" s="8">
        <f t="shared" si="4"/>
        <v>15882958</v>
      </c>
      <c r="J47" s="5"/>
    </row>
    <row r="48" ht="15.75" customHeight="1">
      <c r="B48" s="2"/>
      <c r="C48" s="30">
        <v>47067.0</v>
      </c>
      <c r="D48" s="8">
        <f t="shared" si="1"/>
        <v>2445403.316</v>
      </c>
      <c r="E48" s="46"/>
      <c r="F48" s="8">
        <f t="shared" si="2"/>
        <v>158829.58</v>
      </c>
      <c r="G48" s="8">
        <f t="shared" si="3"/>
        <v>2286573.736</v>
      </c>
      <c r="H48" s="8">
        <f t="shared" si="4"/>
        <v>13596384.26</v>
      </c>
      <c r="J48" s="5"/>
    </row>
    <row r="49" ht="15.75" customHeight="1">
      <c r="B49" s="2"/>
      <c r="C49" s="30">
        <v>47097.0</v>
      </c>
      <c r="D49" s="8">
        <f t="shared" si="1"/>
        <v>2445403.316</v>
      </c>
      <c r="E49" s="46"/>
      <c r="F49" s="8">
        <f t="shared" si="2"/>
        <v>135963.8426</v>
      </c>
      <c r="G49" s="8">
        <f t="shared" si="3"/>
        <v>2309439.474</v>
      </c>
      <c r="H49" s="8">
        <f t="shared" si="4"/>
        <v>11286944.79</v>
      </c>
      <c r="J49" s="5"/>
    </row>
    <row r="50" ht="15.75" customHeight="1">
      <c r="B50" s="2"/>
      <c r="C50" s="30">
        <v>47128.0</v>
      </c>
      <c r="D50" s="8">
        <f t="shared" si="1"/>
        <v>2445403.316</v>
      </c>
      <c r="E50" s="46"/>
      <c r="F50" s="8">
        <f t="shared" si="2"/>
        <v>112869.4479</v>
      </c>
      <c r="G50" s="8">
        <f t="shared" si="3"/>
        <v>2332533.868</v>
      </c>
      <c r="H50" s="8">
        <f t="shared" si="4"/>
        <v>8954410.921</v>
      </c>
      <c r="J50" s="5"/>
    </row>
    <row r="51" ht="15.75" customHeight="1">
      <c r="B51" s="2"/>
      <c r="C51" s="30">
        <v>47159.0</v>
      </c>
      <c r="D51" s="8">
        <f t="shared" si="1"/>
        <v>2445403.316</v>
      </c>
      <c r="E51" s="46"/>
      <c r="F51" s="8">
        <f t="shared" si="2"/>
        <v>89544.10921</v>
      </c>
      <c r="G51" s="8">
        <f t="shared" si="3"/>
        <v>2355859.207</v>
      </c>
      <c r="H51" s="8">
        <f t="shared" si="4"/>
        <v>6598551.714</v>
      </c>
      <c r="J51" s="5"/>
    </row>
    <row r="52" ht="15.75" customHeight="1">
      <c r="B52" s="2"/>
      <c r="C52" s="30">
        <v>47187.0</v>
      </c>
      <c r="D52" s="8">
        <f t="shared" si="1"/>
        <v>2445403.316</v>
      </c>
      <c r="E52" s="46"/>
      <c r="F52" s="8">
        <f t="shared" si="2"/>
        <v>65985.51714</v>
      </c>
      <c r="G52" s="8">
        <f t="shared" si="3"/>
        <v>2379417.799</v>
      </c>
      <c r="H52" s="8">
        <f t="shared" si="4"/>
        <v>4219133.915</v>
      </c>
      <c r="J52" s="5"/>
    </row>
    <row r="53" ht="15.75" customHeight="1">
      <c r="B53" s="2"/>
      <c r="C53" s="30">
        <v>47218.0</v>
      </c>
      <c r="D53" s="8">
        <f t="shared" si="1"/>
        <v>2445403.316</v>
      </c>
      <c r="E53" s="46"/>
      <c r="F53" s="8">
        <f t="shared" si="2"/>
        <v>42191.33915</v>
      </c>
      <c r="G53" s="8">
        <f t="shared" si="3"/>
        <v>2403211.977</v>
      </c>
      <c r="H53" s="8">
        <f t="shared" si="4"/>
        <v>1815921.938</v>
      </c>
      <c r="J53" s="5"/>
    </row>
    <row r="54" ht="15.75" customHeight="1">
      <c r="B54" s="2"/>
      <c r="C54" s="30">
        <v>47248.0</v>
      </c>
      <c r="D54" s="8">
        <f t="shared" si="1"/>
        <v>2445403.316</v>
      </c>
      <c r="E54" s="46"/>
      <c r="F54" s="8">
        <f t="shared" si="2"/>
        <v>18159.21938</v>
      </c>
      <c r="G54" s="8">
        <f t="shared" si="3"/>
        <v>2427244.097</v>
      </c>
      <c r="H54" s="8">
        <f t="shared" si="4"/>
        <v>-611322.1589</v>
      </c>
      <c r="J54" s="5"/>
    </row>
    <row r="55" ht="15.75" customHeight="1">
      <c r="B55" s="2"/>
      <c r="C55" s="30">
        <v>47279.0</v>
      </c>
      <c r="D55" s="8">
        <f t="shared" si="1"/>
        <v>2445403.316</v>
      </c>
      <c r="E55" s="46"/>
      <c r="F55" s="8">
        <f t="shared" si="2"/>
        <v>-6113.221589</v>
      </c>
      <c r="G55" s="8">
        <f t="shared" si="3"/>
        <v>2451516.538</v>
      </c>
      <c r="H55" s="8">
        <f t="shared" si="4"/>
        <v>-3062838.697</v>
      </c>
      <c r="J55" s="5"/>
    </row>
    <row r="56" ht="15.75" customHeight="1">
      <c r="B56" s="2"/>
      <c r="C56" s="30">
        <v>47309.0</v>
      </c>
      <c r="D56" s="8">
        <f t="shared" si="1"/>
        <v>2445403.316</v>
      </c>
      <c r="E56" s="46"/>
      <c r="F56" s="8">
        <f t="shared" si="2"/>
        <v>-30628.38697</v>
      </c>
      <c r="G56" s="8">
        <f t="shared" si="3"/>
        <v>2476031.703</v>
      </c>
      <c r="H56" s="8">
        <f t="shared" si="4"/>
        <v>-5538870.4</v>
      </c>
      <c r="J56" s="5"/>
    </row>
    <row r="57" ht="15.75" customHeight="1">
      <c r="B57" s="2"/>
      <c r="C57" s="30">
        <v>47340.0</v>
      </c>
      <c r="D57" s="8">
        <f t="shared" si="1"/>
        <v>2445403.316</v>
      </c>
      <c r="E57" s="46"/>
      <c r="F57" s="8">
        <f t="shared" si="2"/>
        <v>-55388.704</v>
      </c>
      <c r="G57" s="8">
        <f t="shared" si="3"/>
        <v>2500792.02</v>
      </c>
      <c r="H57" s="8">
        <f t="shared" si="4"/>
        <v>-8039662.42</v>
      </c>
      <c r="J57" s="5"/>
    </row>
    <row r="58" ht="15.75" customHeight="1">
      <c r="B58" s="2"/>
      <c r="C58" s="30">
        <v>47371.0</v>
      </c>
      <c r="D58" s="8">
        <f t="shared" si="1"/>
        <v>2445403.316</v>
      </c>
      <c r="E58" s="46"/>
      <c r="F58" s="8">
        <f t="shared" si="2"/>
        <v>-80396.6242</v>
      </c>
      <c r="G58" s="8">
        <f t="shared" si="3"/>
        <v>2525799.94</v>
      </c>
      <c r="H58" s="8">
        <f t="shared" si="4"/>
        <v>-10565462.36</v>
      </c>
      <c r="J58" s="5"/>
    </row>
    <row r="59" ht="15.75" customHeight="1">
      <c r="B59" s="2"/>
      <c r="C59" s="30">
        <v>47401.0</v>
      </c>
      <c r="D59" s="8">
        <f t="shared" si="1"/>
        <v>2445403.316</v>
      </c>
      <c r="E59" s="46"/>
      <c r="F59" s="8">
        <f t="shared" si="2"/>
        <v>-105654.6236</v>
      </c>
      <c r="G59" s="8">
        <f t="shared" si="3"/>
        <v>2551057.94</v>
      </c>
      <c r="H59" s="8">
        <f t="shared" si="4"/>
        <v>-13116520.3</v>
      </c>
      <c r="J59" s="5"/>
    </row>
    <row r="60" ht="15.75" customHeight="1">
      <c r="B60" s="2"/>
      <c r="C60" s="30">
        <v>47432.0</v>
      </c>
      <c r="D60" s="8">
        <f t="shared" si="1"/>
        <v>2445403.316</v>
      </c>
      <c r="E60" s="46"/>
      <c r="F60" s="8">
        <f t="shared" si="2"/>
        <v>-131165.203</v>
      </c>
      <c r="G60" s="8">
        <f t="shared" si="3"/>
        <v>2576568.519</v>
      </c>
      <c r="H60" s="8">
        <f t="shared" si="4"/>
        <v>-15693088.82</v>
      </c>
      <c r="J60" s="5"/>
    </row>
    <row r="61" ht="15.75" customHeight="1">
      <c r="B61" s="2"/>
      <c r="C61" s="30">
        <v>47462.0</v>
      </c>
      <c r="D61" s="8">
        <f t="shared" si="1"/>
        <v>2445403.316</v>
      </c>
      <c r="E61" s="46"/>
      <c r="F61" s="8">
        <f t="shared" si="2"/>
        <v>-156930.8882</v>
      </c>
      <c r="G61" s="8">
        <f t="shared" si="3"/>
        <v>2602334.204</v>
      </c>
      <c r="H61" s="8">
        <f t="shared" si="4"/>
        <v>-18295423.02</v>
      </c>
      <c r="J61" s="5"/>
    </row>
    <row r="62" ht="15.75" customHeight="1">
      <c r="B62" s="2"/>
      <c r="C62" s="30">
        <v>47493.0</v>
      </c>
      <c r="D62" s="8">
        <f t="shared" si="1"/>
        <v>2445403.316</v>
      </c>
      <c r="E62" s="46"/>
      <c r="F62" s="8">
        <f t="shared" si="2"/>
        <v>-182954.2302</v>
      </c>
      <c r="G62" s="8">
        <f t="shared" si="3"/>
        <v>2628357.546</v>
      </c>
      <c r="H62" s="8">
        <f t="shared" si="4"/>
        <v>-20923780.57</v>
      </c>
      <c r="J62" s="5"/>
    </row>
    <row r="63" ht="15.75" customHeight="1">
      <c r="B63" s="2"/>
      <c r="C63" s="30">
        <v>47524.0</v>
      </c>
      <c r="D63" s="8">
        <f t="shared" si="1"/>
        <v>2445403.316</v>
      </c>
      <c r="E63" s="46"/>
      <c r="F63" s="8">
        <f t="shared" si="2"/>
        <v>-209237.8057</v>
      </c>
      <c r="G63" s="8">
        <f t="shared" si="3"/>
        <v>2654641.122</v>
      </c>
      <c r="H63" s="8">
        <f t="shared" si="4"/>
        <v>-23578421.69</v>
      </c>
      <c r="J63" s="5"/>
    </row>
    <row r="64" ht="15.75" customHeight="1">
      <c r="B64" s="2"/>
      <c r="C64" s="30">
        <v>47552.0</v>
      </c>
      <c r="D64" s="8">
        <f t="shared" si="1"/>
        <v>2445403.316</v>
      </c>
      <c r="E64" s="46"/>
      <c r="F64" s="8">
        <f t="shared" si="2"/>
        <v>-235784.2169</v>
      </c>
      <c r="G64" s="8">
        <f t="shared" si="3"/>
        <v>2681187.533</v>
      </c>
      <c r="H64" s="8">
        <f t="shared" si="4"/>
        <v>-26259609.23</v>
      </c>
      <c r="J64" s="5"/>
    </row>
    <row r="65" ht="15.75" customHeight="1">
      <c r="B65" s="2"/>
      <c r="C65" s="30">
        <v>47583.0</v>
      </c>
      <c r="D65" s="8">
        <f t="shared" si="1"/>
        <v>2445403.316</v>
      </c>
      <c r="E65" s="46"/>
      <c r="F65" s="8">
        <f t="shared" si="2"/>
        <v>-262596.0923</v>
      </c>
      <c r="G65" s="8">
        <f t="shared" si="3"/>
        <v>2707999.408</v>
      </c>
      <c r="H65" s="8">
        <f t="shared" si="4"/>
        <v>-28967608.63</v>
      </c>
      <c r="J65" s="5"/>
    </row>
    <row r="66" ht="15.75" customHeight="1">
      <c r="B66" s="2"/>
      <c r="C66" s="30">
        <v>47613.0</v>
      </c>
      <c r="D66" s="8">
        <f t="shared" si="1"/>
        <v>2445403.316</v>
      </c>
      <c r="E66" s="46"/>
      <c r="F66" s="8">
        <f t="shared" si="2"/>
        <v>-289676.0863</v>
      </c>
      <c r="G66" s="8">
        <f t="shared" si="3"/>
        <v>2735079.403</v>
      </c>
      <c r="H66" s="8">
        <f t="shared" si="4"/>
        <v>-31702688.04</v>
      </c>
      <c r="J66" s="5"/>
    </row>
    <row r="67" ht="15.75" customHeight="1">
      <c r="B67" s="2"/>
      <c r="C67" s="30">
        <v>47644.0</v>
      </c>
      <c r="D67" s="8">
        <f t="shared" si="1"/>
        <v>2445403.316</v>
      </c>
      <c r="E67" s="46"/>
      <c r="F67" s="8">
        <f t="shared" si="2"/>
        <v>-317026.8804</v>
      </c>
      <c r="G67" s="8">
        <f t="shared" si="3"/>
        <v>2762430.197</v>
      </c>
      <c r="H67" s="8">
        <f t="shared" si="4"/>
        <v>-34465118.23</v>
      </c>
      <c r="J67" s="5"/>
    </row>
    <row r="68" ht="15.75" customHeight="1">
      <c r="B68" s="2"/>
      <c r="C68" s="30">
        <v>47674.0</v>
      </c>
      <c r="D68" s="8">
        <f t="shared" si="1"/>
        <v>2445403.316</v>
      </c>
      <c r="E68" s="46"/>
      <c r="F68" s="8">
        <f t="shared" si="2"/>
        <v>-344651.1823</v>
      </c>
      <c r="G68" s="8">
        <f t="shared" si="3"/>
        <v>2790054.499</v>
      </c>
      <c r="H68" s="8">
        <f t="shared" si="4"/>
        <v>-37255172.73</v>
      </c>
      <c r="J68" s="5"/>
    </row>
    <row r="69" ht="15.75" customHeight="1">
      <c r="B69" s="2"/>
      <c r="C69" s="30">
        <v>47705.0</v>
      </c>
      <c r="D69" s="8">
        <f t="shared" si="1"/>
        <v>2445403.316</v>
      </c>
      <c r="E69" s="46"/>
      <c r="F69" s="8">
        <f t="shared" si="2"/>
        <v>-372551.7273</v>
      </c>
      <c r="G69" s="8">
        <f t="shared" si="3"/>
        <v>2817955.044</v>
      </c>
      <c r="H69" s="8">
        <f t="shared" si="4"/>
        <v>-40073127.78</v>
      </c>
      <c r="J69" s="5"/>
    </row>
    <row r="70" ht="15.75" customHeight="1">
      <c r="B70" s="2"/>
      <c r="C70" s="30">
        <v>47736.0</v>
      </c>
      <c r="D70" s="8">
        <f t="shared" si="1"/>
        <v>2445403.316</v>
      </c>
      <c r="E70" s="46"/>
      <c r="F70" s="8">
        <f t="shared" si="2"/>
        <v>-400731.2778</v>
      </c>
      <c r="G70" s="8">
        <f t="shared" si="3"/>
        <v>2846134.594</v>
      </c>
      <c r="H70" s="8">
        <f t="shared" si="4"/>
        <v>-42919262.37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783</v>
      </c>
    </row>
    <row r="2">
      <c r="A2" s="71" t="s">
        <v>784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1.07151E8</v>
      </c>
      <c r="J4" s="25"/>
    </row>
    <row r="5">
      <c r="A5" s="33">
        <v>45622.0</v>
      </c>
      <c r="B5" s="34" t="s">
        <v>513</v>
      </c>
      <c r="C5" s="35" t="s">
        <v>789</v>
      </c>
      <c r="D5" s="36"/>
      <c r="E5" s="36">
        <v>1.1325E7</v>
      </c>
      <c r="F5" s="36"/>
      <c r="G5" s="36"/>
      <c r="H5" s="36">
        <f t="shared" ref="H5:H6" si="1">SUM(D5:G5)</f>
        <v>11325000</v>
      </c>
      <c r="I5" s="36">
        <f t="shared" ref="I5:I6" si="2">I4-H5</f>
        <v>95826000</v>
      </c>
      <c r="J5" s="34"/>
    </row>
    <row r="6">
      <c r="A6" s="40">
        <v>45714.0</v>
      </c>
      <c r="B6" s="34" t="s">
        <v>792</v>
      </c>
      <c r="C6" s="35" t="s">
        <v>793</v>
      </c>
      <c r="D6" s="36"/>
      <c r="E6" s="36">
        <v>4.5E7</v>
      </c>
      <c r="F6" s="36"/>
      <c r="G6" s="36"/>
      <c r="H6" s="36">
        <f t="shared" si="1"/>
        <v>45000000</v>
      </c>
      <c r="I6" s="36">
        <f t="shared" si="2"/>
        <v>50826000</v>
      </c>
      <c r="J6" s="34" t="s">
        <v>794</v>
      </c>
    </row>
    <row r="7">
      <c r="A7" s="25"/>
      <c r="B7" s="38" t="s">
        <v>69</v>
      </c>
      <c r="C7" s="39"/>
      <c r="D7" s="27">
        <f t="shared" ref="D7:H7" si="3">SUM(D5:D6)</f>
        <v>0</v>
      </c>
      <c r="E7" s="27">
        <f t="shared" si="3"/>
        <v>56325000</v>
      </c>
      <c r="F7" s="27">
        <f t="shared" si="3"/>
        <v>0</v>
      </c>
      <c r="G7" s="27">
        <f t="shared" si="3"/>
        <v>0</v>
      </c>
      <c r="H7" s="27">
        <f t="shared" si="3"/>
        <v>56325000</v>
      </c>
      <c r="I7" s="27">
        <f>I6</f>
        <v>50826000</v>
      </c>
      <c r="J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790</v>
      </c>
    </row>
    <row r="2">
      <c r="A2" s="71" t="s">
        <v>791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1.124833E8</v>
      </c>
      <c r="J4" s="25"/>
    </row>
    <row r="5">
      <c r="A5" s="33">
        <v>45622.0</v>
      </c>
      <c r="B5" s="34" t="s">
        <v>513</v>
      </c>
      <c r="C5" s="35" t="s">
        <v>789</v>
      </c>
      <c r="D5" s="36"/>
      <c r="E5" s="36">
        <v>1.1325E7</v>
      </c>
      <c r="F5" s="36"/>
      <c r="G5" s="36"/>
      <c r="H5" s="36">
        <f t="shared" ref="H5:H6" si="1">SUM(D5:G5)</f>
        <v>11325000</v>
      </c>
      <c r="I5" s="36">
        <f t="shared" ref="I5:I6" si="2">I4-H5</f>
        <v>101158300</v>
      </c>
      <c r="J5" s="34"/>
    </row>
    <row r="6">
      <c r="A6" s="33">
        <v>45714.0</v>
      </c>
      <c r="B6" s="34" t="s">
        <v>513</v>
      </c>
      <c r="C6" s="35" t="s">
        <v>793</v>
      </c>
      <c r="D6" s="36"/>
      <c r="E6" s="36">
        <v>4.5E7</v>
      </c>
      <c r="F6" s="36"/>
      <c r="G6" s="36"/>
      <c r="H6" s="36">
        <f t="shared" si="1"/>
        <v>45000000</v>
      </c>
      <c r="I6" s="36">
        <f t="shared" si="2"/>
        <v>56158300</v>
      </c>
      <c r="J6" s="34"/>
    </row>
    <row r="7">
      <c r="A7" s="25"/>
      <c r="B7" s="38" t="s">
        <v>69</v>
      </c>
      <c r="C7" s="39"/>
      <c r="D7" s="27">
        <f t="shared" ref="D7:H7" si="3">SUM(D5:D6)</f>
        <v>0</v>
      </c>
      <c r="E7" s="27">
        <f t="shared" si="3"/>
        <v>56325000</v>
      </c>
      <c r="F7" s="27">
        <f t="shared" si="3"/>
        <v>0</v>
      </c>
      <c r="G7" s="27">
        <f t="shared" si="3"/>
        <v>0</v>
      </c>
      <c r="H7" s="27">
        <f t="shared" si="3"/>
        <v>56325000</v>
      </c>
      <c r="I7" s="27">
        <f>I6</f>
        <v>56158300</v>
      </c>
      <c r="J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795</v>
      </c>
      <c r="J1" s="5"/>
    </row>
    <row r="2" ht="15.75" customHeight="1">
      <c r="B2" s="2"/>
      <c r="C2" s="1" t="s">
        <v>6</v>
      </c>
      <c r="D2" s="6">
        <f>+A5*10%</f>
        <v>15557450</v>
      </c>
      <c r="E2" s="7"/>
      <c r="J2" s="5"/>
    </row>
    <row r="3" ht="15.75" customHeight="1">
      <c r="B3" s="2"/>
      <c r="C3" s="1" t="s">
        <v>7</v>
      </c>
      <c r="D3" s="8">
        <f>+A5-D2</f>
        <v>140017050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1.555745E8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3114601.944</v>
      </c>
      <c r="E6" s="12"/>
      <c r="H6" s="5"/>
      <c r="J6" s="5"/>
    </row>
    <row r="7" ht="15.75" customHeight="1">
      <c r="B7" s="2"/>
      <c r="C7" s="1" t="s">
        <v>12</v>
      </c>
      <c r="D7" s="20" t="s">
        <v>797</v>
      </c>
      <c r="H7" s="5"/>
      <c r="J7" s="5"/>
    </row>
    <row r="8" ht="15.75" customHeight="1">
      <c r="B8" s="2"/>
      <c r="C8" s="1" t="s">
        <v>16</v>
      </c>
      <c r="D8" s="2" t="s">
        <v>798</v>
      </c>
      <c r="H8" s="5"/>
      <c r="I8" s="17"/>
      <c r="J8" s="19"/>
      <c r="K8" s="17"/>
      <c r="L8" s="21" t="s">
        <v>799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140017050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2.02433567E8</v>
      </c>
      <c r="U10" s="25"/>
    </row>
    <row r="11" ht="15.75" customHeight="1">
      <c r="A11" s="29">
        <v>46255.0</v>
      </c>
      <c r="B11" s="2" t="s">
        <v>800</v>
      </c>
      <c r="C11" s="30">
        <v>46189.0</v>
      </c>
      <c r="D11" s="8">
        <f t="shared" ref="D11:D70" si="1">$D$6</f>
        <v>3114601.944</v>
      </c>
      <c r="E11" s="15">
        <f>1500000-D11</f>
        <v>-1614601.944</v>
      </c>
      <c r="F11" s="8">
        <f t="shared" ref="F11:F70" si="2">+H10*$D$4</f>
        <v>1400170.5</v>
      </c>
      <c r="G11" s="8">
        <f t="shared" ref="G11:G70" si="3">+D11+E11-F11</f>
        <v>99829.5</v>
      </c>
      <c r="H11" s="8">
        <f t="shared" ref="H11:H70" si="4">+H10-G11</f>
        <v>139917220.5</v>
      </c>
      <c r="J11" s="5"/>
      <c r="L11" s="33">
        <v>46136.0</v>
      </c>
      <c r="M11" s="34" t="s">
        <v>44</v>
      </c>
      <c r="N11" s="35" t="s">
        <v>803</v>
      </c>
      <c r="O11" s="36"/>
      <c r="P11" s="36">
        <v>3000000.0</v>
      </c>
      <c r="Q11" s="36"/>
      <c r="R11" s="36"/>
      <c r="S11" s="36">
        <f t="shared" ref="S11:S15" si="5">SUM(O11:R11)</f>
        <v>3000000</v>
      </c>
      <c r="T11" s="36">
        <f t="shared" ref="T11:T15" si="6">T10-S11</f>
        <v>199433567</v>
      </c>
      <c r="U11" s="34"/>
    </row>
    <row r="12" ht="15.75" customHeight="1">
      <c r="A12" s="37"/>
      <c r="B12" s="2"/>
      <c r="C12" s="30">
        <v>46219.0</v>
      </c>
      <c r="D12" s="8">
        <f t="shared" si="1"/>
        <v>3114601.944</v>
      </c>
      <c r="E12" s="15"/>
      <c r="F12" s="8">
        <f t="shared" si="2"/>
        <v>1399172.205</v>
      </c>
      <c r="G12" s="8">
        <f t="shared" si="3"/>
        <v>1715429.739</v>
      </c>
      <c r="H12" s="8">
        <f t="shared" si="4"/>
        <v>138201790.8</v>
      </c>
      <c r="J12" s="5"/>
      <c r="L12" s="33">
        <v>46137.0</v>
      </c>
      <c r="M12" s="34" t="s">
        <v>44</v>
      </c>
      <c r="N12" s="35" t="s">
        <v>805</v>
      </c>
      <c r="O12" s="36"/>
      <c r="P12" s="36">
        <v>2000000.0</v>
      </c>
      <c r="Q12" s="36"/>
      <c r="R12" s="36"/>
      <c r="S12" s="36">
        <f t="shared" si="5"/>
        <v>2000000</v>
      </c>
      <c r="T12" s="36">
        <f t="shared" si="6"/>
        <v>197433567</v>
      </c>
      <c r="U12" s="34"/>
    </row>
    <row r="13" ht="15.75" customHeight="1">
      <c r="A13" s="37"/>
      <c r="B13" s="2"/>
      <c r="C13" s="30">
        <v>46250.0</v>
      </c>
      <c r="D13" s="8">
        <f t="shared" si="1"/>
        <v>3114601.944</v>
      </c>
      <c r="E13" s="15"/>
      <c r="F13" s="8">
        <f t="shared" si="2"/>
        <v>1382017.908</v>
      </c>
      <c r="G13" s="8">
        <f t="shared" si="3"/>
        <v>1732584.036</v>
      </c>
      <c r="H13" s="8">
        <f t="shared" si="4"/>
        <v>136469206.7</v>
      </c>
      <c r="J13" s="5" t="s">
        <v>56</v>
      </c>
      <c r="L13" s="33">
        <v>46187.0</v>
      </c>
      <c r="M13" s="34" t="s">
        <v>44</v>
      </c>
      <c r="N13" s="35" t="s">
        <v>806</v>
      </c>
      <c r="O13" s="36"/>
      <c r="P13" s="36">
        <v>4000000.0</v>
      </c>
      <c r="Q13" s="36"/>
      <c r="R13" s="36"/>
      <c r="S13" s="36">
        <f t="shared" si="5"/>
        <v>4000000</v>
      </c>
      <c r="T13" s="36">
        <f t="shared" si="6"/>
        <v>193433567</v>
      </c>
      <c r="U13" s="34"/>
    </row>
    <row r="14" ht="15.75" customHeight="1">
      <c r="A14" s="37"/>
      <c r="B14" s="2"/>
      <c r="C14" s="30">
        <v>46281.0</v>
      </c>
      <c r="D14" s="8">
        <f t="shared" si="1"/>
        <v>3114601.944</v>
      </c>
      <c r="E14" s="15"/>
      <c r="F14" s="8">
        <f t="shared" si="2"/>
        <v>1364692.067</v>
      </c>
      <c r="G14" s="8">
        <f t="shared" si="3"/>
        <v>1749909.876</v>
      </c>
      <c r="H14" s="8">
        <f t="shared" si="4"/>
        <v>134719296.8</v>
      </c>
      <c r="J14" s="8">
        <f>+H10</f>
        <v>140017050</v>
      </c>
      <c r="L14" s="33">
        <v>46215.0</v>
      </c>
      <c r="M14" s="34" t="s">
        <v>44</v>
      </c>
      <c r="N14" s="35" t="s">
        <v>808</v>
      </c>
      <c r="O14" s="36"/>
      <c r="P14" s="36">
        <v>6557000.0</v>
      </c>
      <c r="Q14" s="36"/>
      <c r="R14" s="36"/>
      <c r="S14" s="36">
        <f t="shared" si="5"/>
        <v>6557000</v>
      </c>
      <c r="T14" s="36">
        <f t="shared" si="6"/>
        <v>186876567</v>
      </c>
      <c r="U14" s="34"/>
    </row>
    <row r="15" ht="15.75" customHeight="1">
      <c r="A15" s="37"/>
      <c r="B15" s="2"/>
      <c r="C15" s="30">
        <v>46311.0</v>
      </c>
      <c r="D15" s="8">
        <f t="shared" si="1"/>
        <v>3114601.944</v>
      </c>
      <c r="E15" s="15"/>
      <c r="F15" s="8">
        <f t="shared" si="2"/>
        <v>1347192.968</v>
      </c>
      <c r="G15" s="8">
        <f t="shared" si="3"/>
        <v>1767408.975</v>
      </c>
      <c r="H15" s="8">
        <f t="shared" si="4"/>
        <v>132951887.9</v>
      </c>
      <c r="J15" s="5"/>
      <c r="L15" s="40">
        <v>46255.0</v>
      </c>
      <c r="M15" s="34" t="s">
        <v>73</v>
      </c>
      <c r="N15" s="35" t="s">
        <v>800</v>
      </c>
      <c r="O15" s="36"/>
      <c r="P15" s="36"/>
      <c r="Q15" s="36"/>
      <c r="R15" s="36">
        <v>1500000.0</v>
      </c>
      <c r="S15" s="36">
        <f t="shared" si="5"/>
        <v>1500000</v>
      </c>
      <c r="T15" s="36">
        <f t="shared" si="6"/>
        <v>185376567</v>
      </c>
      <c r="U15" s="34" t="s">
        <v>125</v>
      </c>
    </row>
    <row r="16" ht="15.75" customHeight="1">
      <c r="A16" s="37"/>
      <c r="B16" s="2"/>
      <c r="C16" s="30">
        <v>46342.0</v>
      </c>
      <c r="D16" s="8">
        <f t="shared" si="1"/>
        <v>3114601.944</v>
      </c>
      <c r="E16" s="15"/>
      <c r="F16" s="8">
        <f t="shared" si="2"/>
        <v>1329518.879</v>
      </c>
      <c r="G16" s="8">
        <f t="shared" si="3"/>
        <v>1785083.065</v>
      </c>
      <c r="H16" s="8">
        <f t="shared" si="4"/>
        <v>131166804.8</v>
      </c>
      <c r="J16" s="5"/>
      <c r="L16" s="25"/>
      <c r="M16" s="38" t="s">
        <v>69</v>
      </c>
      <c r="N16" s="39"/>
      <c r="O16" s="27">
        <f t="shared" ref="O16:S16" si="7">SUM(O11:O15)</f>
        <v>0</v>
      </c>
      <c r="P16" s="27">
        <f t="shared" si="7"/>
        <v>15557000</v>
      </c>
      <c r="Q16" s="27">
        <f t="shared" si="7"/>
        <v>0</v>
      </c>
      <c r="R16" s="27">
        <f t="shared" si="7"/>
        <v>1500000</v>
      </c>
      <c r="S16" s="27">
        <f t="shared" si="7"/>
        <v>17057000</v>
      </c>
      <c r="T16" s="27">
        <f>T15</f>
        <v>185376567</v>
      </c>
      <c r="U16" s="25"/>
    </row>
    <row r="17" ht="15.75" customHeight="1">
      <c r="A17" s="37"/>
      <c r="B17" s="2"/>
      <c r="C17" s="30">
        <v>46372.0</v>
      </c>
      <c r="D17" s="8">
        <f t="shared" si="1"/>
        <v>3114601.944</v>
      </c>
      <c r="E17" s="15"/>
      <c r="F17" s="8">
        <f t="shared" si="2"/>
        <v>1311668.048</v>
      </c>
      <c r="G17" s="8">
        <f t="shared" si="3"/>
        <v>1802933.896</v>
      </c>
      <c r="H17" s="8">
        <f t="shared" si="4"/>
        <v>129363870.9</v>
      </c>
      <c r="J17" s="5"/>
    </row>
    <row r="18" ht="15.75" customHeight="1">
      <c r="A18" s="37"/>
      <c r="B18" s="2"/>
      <c r="C18" s="30">
        <v>46403.0</v>
      </c>
      <c r="D18" s="8">
        <f t="shared" si="1"/>
        <v>3114601.944</v>
      </c>
      <c r="E18" s="15"/>
      <c r="F18" s="8">
        <f t="shared" si="2"/>
        <v>1293638.709</v>
      </c>
      <c r="G18" s="8">
        <f t="shared" si="3"/>
        <v>1820963.235</v>
      </c>
      <c r="H18" s="8">
        <f t="shared" si="4"/>
        <v>127542907.7</v>
      </c>
      <c r="J18" s="5"/>
    </row>
    <row r="19" ht="15.75" customHeight="1">
      <c r="A19" s="37"/>
      <c r="B19" s="2"/>
      <c r="C19" s="30">
        <v>46434.0</v>
      </c>
      <c r="D19" s="8">
        <f t="shared" si="1"/>
        <v>3114601.944</v>
      </c>
      <c r="E19" s="15"/>
      <c r="F19" s="8">
        <f t="shared" si="2"/>
        <v>1275429.077</v>
      </c>
      <c r="G19" s="8">
        <f t="shared" si="3"/>
        <v>1839172.867</v>
      </c>
      <c r="H19" s="8">
        <f t="shared" si="4"/>
        <v>125703734.8</v>
      </c>
      <c r="I19" s="1"/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46462.0</v>
      </c>
      <c r="D20" s="8">
        <f t="shared" si="1"/>
        <v>3114601.944</v>
      </c>
      <c r="E20" s="15"/>
      <c r="F20" s="8">
        <f t="shared" si="2"/>
        <v>1257037.348</v>
      </c>
      <c r="G20" s="8">
        <f t="shared" si="3"/>
        <v>1857564.596</v>
      </c>
      <c r="H20" s="8">
        <f t="shared" si="4"/>
        <v>123846170.2</v>
      </c>
      <c r="J20" s="5"/>
    </row>
    <row r="21" ht="15.75" customHeight="1">
      <c r="A21" s="37"/>
      <c r="B21" s="2"/>
      <c r="C21" s="30">
        <v>46493.0</v>
      </c>
      <c r="D21" s="8">
        <f t="shared" si="1"/>
        <v>3114601.944</v>
      </c>
      <c r="E21" s="15"/>
      <c r="F21" s="8">
        <f t="shared" si="2"/>
        <v>1238461.702</v>
      </c>
      <c r="G21" s="8">
        <f t="shared" si="3"/>
        <v>1876140.242</v>
      </c>
      <c r="H21" s="8">
        <f t="shared" si="4"/>
        <v>121970030</v>
      </c>
      <c r="J21" s="5"/>
    </row>
    <row r="22" ht="15.75" customHeight="1">
      <c r="A22" s="37"/>
      <c r="B22" s="2"/>
      <c r="C22" s="30">
        <v>46523.0</v>
      </c>
      <c r="D22" s="8">
        <f t="shared" si="1"/>
        <v>3114601.944</v>
      </c>
      <c r="E22" s="15"/>
      <c r="F22" s="8">
        <f t="shared" si="2"/>
        <v>1219700.3</v>
      </c>
      <c r="G22" s="8">
        <f t="shared" si="3"/>
        <v>1894901.644</v>
      </c>
      <c r="H22" s="8">
        <f t="shared" si="4"/>
        <v>120075128.3</v>
      </c>
      <c r="J22" s="5"/>
    </row>
    <row r="23" ht="15.75" customHeight="1">
      <c r="A23" s="37"/>
      <c r="B23" s="2"/>
      <c r="C23" s="30">
        <v>46554.0</v>
      </c>
      <c r="D23" s="8">
        <f t="shared" si="1"/>
        <v>3114601.944</v>
      </c>
      <c r="E23" s="46"/>
      <c r="F23" s="8">
        <f t="shared" si="2"/>
        <v>1200751.283</v>
      </c>
      <c r="G23" s="8">
        <f t="shared" si="3"/>
        <v>1913850.66</v>
      </c>
      <c r="H23" s="8">
        <f t="shared" si="4"/>
        <v>118161277.7</v>
      </c>
      <c r="J23" s="5"/>
    </row>
    <row r="24" ht="15.75" customHeight="1">
      <c r="A24" s="37"/>
      <c r="B24" s="2"/>
      <c r="C24" s="30">
        <v>46584.0</v>
      </c>
      <c r="D24" s="8">
        <f t="shared" si="1"/>
        <v>3114601.944</v>
      </c>
      <c r="E24" s="46"/>
      <c r="F24" s="8">
        <f t="shared" si="2"/>
        <v>1181612.777</v>
      </c>
      <c r="G24" s="8">
        <f t="shared" si="3"/>
        <v>1932989.167</v>
      </c>
      <c r="H24" s="8">
        <f t="shared" si="4"/>
        <v>116228288.5</v>
      </c>
      <c r="J24" s="5"/>
    </row>
    <row r="25" ht="15.75" customHeight="1">
      <c r="B25" s="2"/>
      <c r="C25" s="30">
        <v>46615.0</v>
      </c>
      <c r="D25" s="8">
        <f t="shared" si="1"/>
        <v>3114601.944</v>
      </c>
      <c r="E25" s="46"/>
      <c r="F25" s="8">
        <f t="shared" si="2"/>
        <v>1162282.885</v>
      </c>
      <c r="G25" s="8">
        <f t="shared" si="3"/>
        <v>1952319.059</v>
      </c>
      <c r="H25" s="8">
        <f t="shared" si="4"/>
        <v>114275969.4</v>
      </c>
      <c r="J25" s="5"/>
    </row>
    <row r="26" ht="15.75" customHeight="1">
      <c r="B26" s="2"/>
      <c r="C26" s="30">
        <v>46646.0</v>
      </c>
      <c r="D26" s="8">
        <f t="shared" si="1"/>
        <v>3114601.944</v>
      </c>
      <c r="E26" s="46"/>
      <c r="F26" s="8">
        <f t="shared" si="2"/>
        <v>1142759.694</v>
      </c>
      <c r="G26" s="8">
        <f t="shared" si="3"/>
        <v>1971842.249</v>
      </c>
      <c r="H26" s="8">
        <f t="shared" si="4"/>
        <v>112304127.2</v>
      </c>
      <c r="J26" s="5"/>
    </row>
    <row r="27" ht="15.75" customHeight="1">
      <c r="B27" s="2"/>
      <c r="C27" s="30">
        <v>46676.0</v>
      </c>
      <c r="D27" s="8">
        <f t="shared" si="1"/>
        <v>3114601.944</v>
      </c>
      <c r="E27" s="46"/>
      <c r="F27" s="8">
        <f t="shared" si="2"/>
        <v>1123041.272</v>
      </c>
      <c r="G27" s="8">
        <f t="shared" si="3"/>
        <v>1991560.672</v>
      </c>
      <c r="H27" s="8">
        <f t="shared" si="4"/>
        <v>110312566.5</v>
      </c>
      <c r="J27" s="5"/>
    </row>
    <row r="28" ht="15.75" customHeight="1">
      <c r="B28" s="2"/>
      <c r="C28" s="30">
        <v>46707.0</v>
      </c>
      <c r="D28" s="8">
        <f t="shared" si="1"/>
        <v>3114601.944</v>
      </c>
      <c r="E28" s="46"/>
      <c r="F28" s="8">
        <f t="shared" si="2"/>
        <v>1103125.665</v>
      </c>
      <c r="G28" s="8">
        <f t="shared" si="3"/>
        <v>2011476.278</v>
      </c>
      <c r="H28" s="8">
        <f t="shared" si="4"/>
        <v>108301090.2</v>
      </c>
      <c r="J28" s="5"/>
    </row>
    <row r="29" ht="15.75" customHeight="1">
      <c r="B29" s="2"/>
      <c r="C29" s="30">
        <v>46737.0</v>
      </c>
      <c r="D29" s="8">
        <f t="shared" si="1"/>
        <v>3114601.944</v>
      </c>
      <c r="E29" s="46"/>
      <c r="F29" s="8">
        <f t="shared" si="2"/>
        <v>1083010.902</v>
      </c>
      <c r="G29" s="8">
        <f t="shared" si="3"/>
        <v>2031591.041</v>
      </c>
      <c r="H29" s="8">
        <f t="shared" si="4"/>
        <v>106269499.2</v>
      </c>
      <c r="J29" s="5"/>
    </row>
    <row r="30" ht="15.75" customHeight="1">
      <c r="B30" s="2"/>
      <c r="C30" s="30">
        <v>46768.0</v>
      </c>
      <c r="D30" s="8">
        <f t="shared" si="1"/>
        <v>3114601.944</v>
      </c>
      <c r="E30" s="46"/>
      <c r="F30" s="8">
        <f t="shared" si="2"/>
        <v>1062694.992</v>
      </c>
      <c r="G30" s="8">
        <f t="shared" si="3"/>
        <v>2051906.952</v>
      </c>
      <c r="H30" s="8">
        <f t="shared" si="4"/>
        <v>104217592.3</v>
      </c>
      <c r="J30" s="5"/>
    </row>
    <row r="31" ht="15.75" customHeight="1">
      <c r="B31" s="2"/>
      <c r="C31" s="30">
        <v>46799.0</v>
      </c>
      <c r="D31" s="8">
        <f t="shared" si="1"/>
        <v>3114601.944</v>
      </c>
      <c r="E31" s="46"/>
      <c r="F31" s="8">
        <f t="shared" si="2"/>
        <v>1042175.923</v>
      </c>
      <c r="G31" s="8">
        <f t="shared" si="3"/>
        <v>2072426.021</v>
      </c>
      <c r="H31" s="8">
        <f t="shared" si="4"/>
        <v>102145166.2</v>
      </c>
      <c r="J31" s="5"/>
    </row>
    <row r="32" ht="15.75" customHeight="1">
      <c r="B32" s="2"/>
      <c r="C32" s="30">
        <v>46828.0</v>
      </c>
      <c r="D32" s="8">
        <f t="shared" si="1"/>
        <v>3114601.944</v>
      </c>
      <c r="E32" s="46"/>
      <c r="F32" s="8">
        <f t="shared" si="2"/>
        <v>1021451.662</v>
      </c>
      <c r="G32" s="8">
        <f t="shared" si="3"/>
        <v>2093150.281</v>
      </c>
      <c r="H32" s="8">
        <f t="shared" si="4"/>
        <v>100052015.9</v>
      </c>
      <c r="J32" s="5"/>
    </row>
    <row r="33" ht="15.75" customHeight="1">
      <c r="B33" s="2"/>
      <c r="C33" s="30">
        <v>46859.0</v>
      </c>
      <c r="D33" s="8">
        <f t="shared" si="1"/>
        <v>3114601.944</v>
      </c>
      <c r="E33" s="46"/>
      <c r="F33" s="8">
        <f t="shared" si="2"/>
        <v>1000520.159</v>
      </c>
      <c r="G33" s="8">
        <f t="shared" si="3"/>
        <v>2114081.784</v>
      </c>
      <c r="H33" s="8">
        <f t="shared" si="4"/>
        <v>97937934.16</v>
      </c>
      <c r="J33" s="5"/>
    </row>
    <row r="34" ht="15.75" customHeight="1">
      <c r="B34" s="2"/>
      <c r="C34" s="30">
        <v>46889.0</v>
      </c>
      <c r="D34" s="8">
        <f t="shared" si="1"/>
        <v>3114601.944</v>
      </c>
      <c r="E34" s="46"/>
      <c r="F34" s="8">
        <f t="shared" si="2"/>
        <v>979379.3416</v>
      </c>
      <c r="G34" s="8">
        <f t="shared" si="3"/>
        <v>2135222.602</v>
      </c>
      <c r="H34" s="8">
        <f t="shared" si="4"/>
        <v>95802711.56</v>
      </c>
      <c r="J34" s="5"/>
    </row>
    <row r="35" ht="15.75" customHeight="1">
      <c r="B35" s="2"/>
      <c r="C35" s="30">
        <v>46920.0</v>
      </c>
      <c r="D35" s="8">
        <f t="shared" si="1"/>
        <v>3114601.944</v>
      </c>
      <c r="E35" s="46"/>
      <c r="F35" s="8">
        <f t="shared" si="2"/>
        <v>958027.1156</v>
      </c>
      <c r="G35" s="8">
        <f t="shared" si="3"/>
        <v>2156574.828</v>
      </c>
      <c r="H35" s="8">
        <f t="shared" si="4"/>
        <v>93646136.73</v>
      </c>
      <c r="J35" s="5"/>
    </row>
    <row r="36" ht="15.75" customHeight="1">
      <c r="B36" s="2"/>
      <c r="C36" s="30">
        <v>46950.0</v>
      </c>
      <c r="D36" s="8">
        <f t="shared" si="1"/>
        <v>3114601.944</v>
      </c>
      <c r="E36" s="46"/>
      <c r="F36" s="8">
        <f t="shared" si="2"/>
        <v>936461.3673</v>
      </c>
      <c r="G36" s="8">
        <f t="shared" si="3"/>
        <v>2178140.576</v>
      </c>
      <c r="H36" s="8">
        <f t="shared" si="4"/>
        <v>91467996.16</v>
      </c>
      <c r="J36" s="5"/>
    </row>
    <row r="37" ht="15.75" customHeight="1">
      <c r="B37" s="2"/>
      <c r="C37" s="30">
        <v>46981.0</v>
      </c>
      <c r="D37" s="8">
        <f t="shared" si="1"/>
        <v>3114601.944</v>
      </c>
      <c r="E37" s="46"/>
      <c r="F37" s="8">
        <f t="shared" si="2"/>
        <v>914679.9616</v>
      </c>
      <c r="G37" s="8">
        <f t="shared" si="3"/>
        <v>2199921.982</v>
      </c>
      <c r="H37" s="8">
        <f t="shared" si="4"/>
        <v>89268074.18</v>
      </c>
      <c r="J37" s="5"/>
    </row>
    <row r="38" ht="15.75" customHeight="1">
      <c r="B38" s="2"/>
      <c r="C38" s="30">
        <v>47012.0</v>
      </c>
      <c r="D38" s="8">
        <f t="shared" si="1"/>
        <v>3114601.944</v>
      </c>
      <c r="E38" s="46"/>
      <c r="F38" s="8">
        <f t="shared" si="2"/>
        <v>892680.7418</v>
      </c>
      <c r="G38" s="8">
        <f t="shared" si="3"/>
        <v>2221921.202</v>
      </c>
      <c r="H38" s="8">
        <f t="shared" si="4"/>
        <v>87046152.97</v>
      </c>
      <c r="J38" s="5"/>
    </row>
    <row r="39" ht="15.75" customHeight="1">
      <c r="B39" s="2"/>
      <c r="C39" s="30">
        <v>47042.0</v>
      </c>
      <c r="D39" s="8">
        <f t="shared" si="1"/>
        <v>3114601.944</v>
      </c>
      <c r="E39" s="46"/>
      <c r="F39" s="8">
        <f t="shared" si="2"/>
        <v>870461.5297</v>
      </c>
      <c r="G39" s="8">
        <f t="shared" si="3"/>
        <v>2244140.414</v>
      </c>
      <c r="H39" s="8">
        <f t="shared" si="4"/>
        <v>84802012.56</v>
      </c>
      <c r="J39" s="5"/>
    </row>
    <row r="40" ht="15.75" customHeight="1">
      <c r="B40" s="2"/>
      <c r="C40" s="30">
        <v>47073.0</v>
      </c>
      <c r="D40" s="8">
        <f t="shared" si="1"/>
        <v>3114601.944</v>
      </c>
      <c r="E40" s="46"/>
      <c r="F40" s="8">
        <f t="shared" si="2"/>
        <v>848020.1256</v>
      </c>
      <c r="G40" s="8">
        <f t="shared" si="3"/>
        <v>2266581.818</v>
      </c>
      <c r="H40" s="8">
        <f t="shared" si="4"/>
        <v>82535430.74</v>
      </c>
      <c r="J40" s="5"/>
    </row>
    <row r="41" ht="15.75" customHeight="1">
      <c r="B41" s="2"/>
      <c r="C41" s="30">
        <v>47103.0</v>
      </c>
      <c r="D41" s="8">
        <f t="shared" si="1"/>
        <v>3114601.944</v>
      </c>
      <c r="E41" s="46"/>
      <c r="F41" s="8">
        <f t="shared" si="2"/>
        <v>825354.3074</v>
      </c>
      <c r="G41" s="8">
        <f t="shared" si="3"/>
        <v>2289247.636</v>
      </c>
      <c r="H41" s="8">
        <f t="shared" si="4"/>
        <v>80246183.11</v>
      </c>
      <c r="J41" s="5"/>
    </row>
    <row r="42" ht="15.75" customHeight="1">
      <c r="B42" s="2"/>
      <c r="C42" s="30">
        <v>47134.0</v>
      </c>
      <c r="D42" s="8">
        <f t="shared" si="1"/>
        <v>3114601.944</v>
      </c>
      <c r="E42" s="46"/>
      <c r="F42" s="8">
        <f t="shared" si="2"/>
        <v>802461.8311</v>
      </c>
      <c r="G42" s="8">
        <f t="shared" si="3"/>
        <v>2312140.113</v>
      </c>
      <c r="H42" s="8">
        <f t="shared" si="4"/>
        <v>77934042.99</v>
      </c>
      <c r="J42" s="5"/>
    </row>
    <row r="43" ht="15.75" customHeight="1">
      <c r="B43" s="2"/>
      <c r="C43" s="30">
        <v>47165.0</v>
      </c>
      <c r="D43" s="8">
        <f t="shared" si="1"/>
        <v>3114601.944</v>
      </c>
      <c r="E43" s="46"/>
      <c r="F43" s="8">
        <f t="shared" si="2"/>
        <v>779340.4299</v>
      </c>
      <c r="G43" s="8">
        <f t="shared" si="3"/>
        <v>2335261.514</v>
      </c>
      <c r="H43" s="8">
        <f t="shared" si="4"/>
        <v>75598781.48</v>
      </c>
      <c r="J43" s="5"/>
    </row>
    <row r="44" ht="15.75" customHeight="1">
      <c r="B44" s="2"/>
      <c r="C44" s="30">
        <v>47193.0</v>
      </c>
      <c r="D44" s="8">
        <f t="shared" si="1"/>
        <v>3114601.944</v>
      </c>
      <c r="E44" s="46"/>
      <c r="F44" s="8">
        <f t="shared" si="2"/>
        <v>755987.8148</v>
      </c>
      <c r="G44" s="8">
        <f t="shared" si="3"/>
        <v>2358614.129</v>
      </c>
      <c r="H44" s="8">
        <f t="shared" si="4"/>
        <v>73240167.35</v>
      </c>
      <c r="J44" s="5"/>
    </row>
    <row r="45" ht="15.75" customHeight="1">
      <c r="B45" s="2"/>
      <c r="C45" s="30">
        <v>47224.0</v>
      </c>
      <c r="D45" s="8">
        <f t="shared" si="1"/>
        <v>3114601.944</v>
      </c>
      <c r="E45" s="46"/>
      <c r="F45" s="8">
        <f t="shared" si="2"/>
        <v>732401.6735</v>
      </c>
      <c r="G45" s="8">
        <f t="shared" si="3"/>
        <v>2382200.27</v>
      </c>
      <c r="H45" s="8">
        <f t="shared" si="4"/>
        <v>70857967.08</v>
      </c>
      <c r="J45" s="5"/>
    </row>
    <row r="46" ht="15.75" customHeight="1">
      <c r="B46" s="2"/>
      <c r="C46" s="30">
        <v>47254.0</v>
      </c>
      <c r="D46" s="8">
        <f t="shared" si="1"/>
        <v>3114601.944</v>
      </c>
      <c r="E46" s="46"/>
      <c r="F46" s="8">
        <f t="shared" si="2"/>
        <v>708579.6708</v>
      </c>
      <c r="G46" s="8">
        <f t="shared" si="3"/>
        <v>2406022.273</v>
      </c>
      <c r="H46" s="8">
        <f t="shared" si="4"/>
        <v>68451944.81</v>
      </c>
      <c r="J46" s="5"/>
    </row>
    <row r="47" ht="15.75" customHeight="1">
      <c r="B47" s="2"/>
      <c r="C47" s="30">
        <v>47285.0</v>
      </c>
      <c r="D47" s="8">
        <f t="shared" si="1"/>
        <v>3114601.944</v>
      </c>
      <c r="E47" s="46"/>
      <c r="F47" s="8">
        <f t="shared" si="2"/>
        <v>684519.4481</v>
      </c>
      <c r="G47" s="8">
        <f t="shared" si="3"/>
        <v>2430082.496</v>
      </c>
      <c r="H47" s="8">
        <f t="shared" si="4"/>
        <v>66021862.31</v>
      </c>
      <c r="J47" s="5"/>
    </row>
    <row r="48" ht="15.75" customHeight="1">
      <c r="B48" s="2"/>
      <c r="C48" s="30">
        <v>47315.0</v>
      </c>
      <c r="D48" s="8">
        <f t="shared" si="1"/>
        <v>3114601.944</v>
      </c>
      <c r="E48" s="46"/>
      <c r="F48" s="8">
        <f t="shared" si="2"/>
        <v>660218.6231</v>
      </c>
      <c r="G48" s="8">
        <f t="shared" si="3"/>
        <v>2454383.321</v>
      </c>
      <c r="H48" s="8">
        <f t="shared" si="4"/>
        <v>63567478.99</v>
      </c>
      <c r="J48" s="5"/>
    </row>
    <row r="49" ht="15.75" customHeight="1">
      <c r="B49" s="2"/>
      <c r="C49" s="30">
        <v>47346.0</v>
      </c>
      <c r="D49" s="8">
        <f t="shared" si="1"/>
        <v>3114601.944</v>
      </c>
      <c r="E49" s="46"/>
      <c r="F49" s="8">
        <f t="shared" si="2"/>
        <v>635674.7899</v>
      </c>
      <c r="G49" s="8">
        <f t="shared" si="3"/>
        <v>2478927.154</v>
      </c>
      <c r="H49" s="8">
        <f t="shared" si="4"/>
        <v>61088551.84</v>
      </c>
      <c r="J49" s="5"/>
    </row>
    <row r="50" ht="15.75" customHeight="1">
      <c r="B50" s="2"/>
      <c r="C50" s="30">
        <v>47377.0</v>
      </c>
      <c r="D50" s="8">
        <f t="shared" si="1"/>
        <v>3114601.944</v>
      </c>
      <c r="E50" s="46"/>
      <c r="F50" s="8">
        <f t="shared" si="2"/>
        <v>610885.5184</v>
      </c>
      <c r="G50" s="8">
        <f t="shared" si="3"/>
        <v>2503716.425</v>
      </c>
      <c r="H50" s="8">
        <f t="shared" si="4"/>
        <v>58584835.41</v>
      </c>
      <c r="J50" s="5"/>
    </row>
    <row r="51" ht="15.75" customHeight="1">
      <c r="B51" s="2"/>
      <c r="C51" s="30">
        <v>47407.0</v>
      </c>
      <c r="D51" s="8">
        <f t="shared" si="1"/>
        <v>3114601.944</v>
      </c>
      <c r="E51" s="46"/>
      <c r="F51" s="8">
        <f t="shared" si="2"/>
        <v>585848.3541</v>
      </c>
      <c r="G51" s="8">
        <f t="shared" si="3"/>
        <v>2528753.59</v>
      </c>
      <c r="H51" s="8">
        <f t="shared" si="4"/>
        <v>56056081.82</v>
      </c>
      <c r="J51" s="5"/>
    </row>
    <row r="52" ht="15.75" customHeight="1">
      <c r="B52" s="2"/>
      <c r="C52" s="30">
        <v>47438.0</v>
      </c>
      <c r="D52" s="8">
        <f t="shared" si="1"/>
        <v>3114601.944</v>
      </c>
      <c r="E52" s="46"/>
      <c r="F52" s="8">
        <f t="shared" si="2"/>
        <v>560560.8182</v>
      </c>
      <c r="G52" s="8">
        <f t="shared" si="3"/>
        <v>2554041.125</v>
      </c>
      <c r="H52" s="8">
        <f t="shared" si="4"/>
        <v>53502040.7</v>
      </c>
      <c r="J52" s="5"/>
    </row>
    <row r="53" ht="15.75" customHeight="1">
      <c r="B53" s="2"/>
      <c r="C53" s="30">
        <v>47468.0</v>
      </c>
      <c r="D53" s="8">
        <f t="shared" si="1"/>
        <v>3114601.944</v>
      </c>
      <c r="E53" s="46"/>
      <c r="F53" s="8">
        <f t="shared" si="2"/>
        <v>535020.407</v>
      </c>
      <c r="G53" s="8">
        <f t="shared" si="3"/>
        <v>2579581.537</v>
      </c>
      <c r="H53" s="8">
        <f t="shared" si="4"/>
        <v>50922459.16</v>
      </c>
      <c r="J53" s="5"/>
    </row>
    <row r="54" ht="15.75" customHeight="1">
      <c r="B54" s="2"/>
      <c r="C54" s="30">
        <v>47499.0</v>
      </c>
      <c r="D54" s="8">
        <f t="shared" si="1"/>
        <v>3114601.944</v>
      </c>
      <c r="E54" s="46"/>
      <c r="F54" s="8">
        <f t="shared" si="2"/>
        <v>509224.5916</v>
      </c>
      <c r="G54" s="8">
        <f t="shared" si="3"/>
        <v>2605377.352</v>
      </c>
      <c r="H54" s="8">
        <f t="shared" si="4"/>
        <v>48317081.81</v>
      </c>
      <c r="J54" s="5"/>
    </row>
    <row r="55" ht="15.75" customHeight="1">
      <c r="B55" s="2"/>
      <c r="C55" s="30">
        <v>47530.0</v>
      </c>
      <c r="D55" s="8">
        <f t="shared" si="1"/>
        <v>3114601.944</v>
      </c>
      <c r="E55" s="46"/>
      <c r="F55" s="8">
        <f t="shared" si="2"/>
        <v>483170.8181</v>
      </c>
      <c r="G55" s="8">
        <f t="shared" si="3"/>
        <v>2631431.126</v>
      </c>
      <c r="H55" s="8">
        <f t="shared" si="4"/>
        <v>45685650.68</v>
      </c>
      <c r="J55" s="5"/>
    </row>
    <row r="56" ht="15.75" customHeight="1">
      <c r="B56" s="2"/>
      <c r="C56" s="30">
        <v>47558.0</v>
      </c>
      <c r="D56" s="8">
        <f t="shared" si="1"/>
        <v>3114601.944</v>
      </c>
      <c r="E56" s="46"/>
      <c r="F56" s="8">
        <f t="shared" si="2"/>
        <v>456856.5068</v>
      </c>
      <c r="G56" s="8">
        <f t="shared" si="3"/>
        <v>2657745.437</v>
      </c>
      <c r="H56" s="8">
        <f t="shared" si="4"/>
        <v>43027905.25</v>
      </c>
      <c r="J56" s="5"/>
    </row>
    <row r="57" ht="15.75" customHeight="1">
      <c r="B57" s="2"/>
      <c r="C57" s="30">
        <v>47589.0</v>
      </c>
      <c r="D57" s="8">
        <f t="shared" si="1"/>
        <v>3114601.944</v>
      </c>
      <c r="E57" s="46"/>
      <c r="F57" s="8">
        <f t="shared" si="2"/>
        <v>430279.0525</v>
      </c>
      <c r="G57" s="8">
        <f t="shared" si="3"/>
        <v>2684322.891</v>
      </c>
      <c r="H57" s="8">
        <f t="shared" si="4"/>
        <v>40343582.35</v>
      </c>
      <c r="J57" s="5"/>
    </row>
    <row r="58" ht="15.75" customHeight="1">
      <c r="B58" s="2"/>
      <c r="C58" s="30">
        <v>47619.0</v>
      </c>
      <c r="D58" s="8">
        <f t="shared" si="1"/>
        <v>3114601.944</v>
      </c>
      <c r="E58" s="46"/>
      <c r="F58" s="8">
        <f t="shared" si="2"/>
        <v>403435.8235</v>
      </c>
      <c r="G58" s="8">
        <f t="shared" si="3"/>
        <v>2711166.12</v>
      </c>
      <c r="H58" s="8">
        <f t="shared" si="4"/>
        <v>37632416.23</v>
      </c>
      <c r="J58" s="5"/>
    </row>
    <row r="59" ht="15.75" customHeight="1">
      <c r="B59" s="2"/>
      <c r="C59" s="30">
        <v>47650.0</v>
      </c>
      <c r="D59" s="8">
        <f t="shared" si="1"/>
        <v>3114601.944</v>
      </c>
      <c r="E59" s="46"/>
      <c r="F59" s="8">
        <f t="shared" si="2"/>
        <v>376324.1623</v>
      </c>
      <c r="G59" s="8">
        <f t="shared" si="3"/>
        <v>2738277.781</v>
      </c>
      <c r="H59" s="8">
        <f t="shared" si="4"/>
        <v>34894138.45</v>
      </c>
      <c r="J59" s="5"/>
    </row>
    <row r="60" ht="15.75" customHeight="1">
      <c r="B60" s="2"/>
      <c r="C60" s="30">
        <v>47680.0</v>
      </c>
      <c r="D60" s="8">
        <f t="shared" si="1"/>
        <v>3114601.944</v>
      </c>
      <c r="E60" s="46"/>
      <c r="F60" s="8">
        <f t="shared" si="2"/>
        <v>348941.3845</v>
      </c>
      <c r="G60" s="8">
        <f t="shared" si="3"/>
        <v>2765660.559</v>
      </c>
      <c r="H60" s="8">
        <f t="shared" si="4"/>
        <v>32128477.89</v>
      </c>
      <c r="J60" s="5"/>
    </row>
    <row r="61" ht="15.75" customHeight="1">
      <c r="B61" s="2"/>
      <c r="C61" s="30">
        <v>47711.0</v>
      </c>
      <c r="D61" s="8">
        <f t="shared" si="1"/>
        <v>3114601.944</v>
      </c>
      <c r="E61" s="46"/>
      <c r="F61" s="8">
        <f t="shared" si="2"/>
        <v>321284.7789</v>
      </c>
      <c r="G61" s="8">
        <f t="shared" si="3"/>
        <v>2793317.165</v>
      </c>
      <c r="H61" s="8">
        <f t="shared" si="4"/>
        <v>29335160.73</v>
      </c>
      <c r="J61" s="5"/>
    </row>
    <row r="62" ht="15.75" customHeight="1">
      <c r="B62" s="2"/>
      <c r="C62" s="30">
        <v>47742.0</v>
      </c>
      <c r="D62" s="8">
        <f t="shared" si="1"/>
        <v>3114601.944</v>
      </c>
      <c r="E62" s="46"/>
      <c r="F62" s="8">
        <f t="shared" si="2"/>
        <v>293351.6073</v>
      </c>
      <c r="G62" s="8">
        <f t="shared" si="3"/>
        <v>2821250.336</v>
      </c>
      <c r="H62" s="8">
        <f t="shared" si="4"/>
        <v>26513910.39</v>
      </c>
      <c r="J62" s="5"/>
    </row>
    <row r="63" ht="15.75" customHeight="1">
      <c r="B63" s="2"/>
      <c r="C63" s="30">
        <v>47772.0</v>
      </c>
      <c r="D63" s="8">
        <f t="shared" si="1"/>
        <v>3114601.944</v>
      </c>
      <c r="E63" s="46"/>
      <c r="F63" s="8">
        <f t="shared" si="2"/>
        <v>265139.1039</v>
      </c>
      <c r="G63" s="8">
        <f t="shared" si="3"/>
        <v>2849462.84</v>
      </c>
      <c r="H63" s="8">
        <f t="shared" si="4"/>
        <v>23664447.55</v>
      </c>
      <c r="J63" s="5"/>
    </row>
    <row r="64" ht="15.75" customHeight="1">
      <c r="B64" s="2"/>
      <c r="C64" s="30">
        <v>47803.0</v>
      </c>
      <c r="D64" s="8">
        <f t="shared" si="1"/>
        <v>3114601.944</v>
      </c>
      <c r="E64" s="46"/>
      <c r="F64" s="8">
        <f t="shared" si="2"/>
        <v>236644.4755</v>
      </c>
      <c r="G64" s="8">
        <f t="shared" si="3"/>
        <v>2877957.468</v>
      </c>
      <c r="H64" s="8">
        <f t="shared" si="4"/>
        <v>20786490.08</v>
      </c>
      <c r="J64" s="5"/>
    </row>
    <row r="65" ht="15.75" customHeight="1">
      <c r="B65" s="2"/>
      <c r="C65" s="30">
        <v>47833.0</v>
      </c>
      <c r="D65" s="8">
        <f t="shared" si="1"/>
        <v>3114601.944</v>
      </c>
      <c r="E65" s="46"/>
      <c r="F65" s="8">
        <f t="shared" si="2"/>
        <v>207864.9008</v>
      </c>
      <c r="G65" s="8">
        <f t="shared" si="3"/>
        <v>2906737.043</v>
      </c>
      <c r="H65" s="8">
        <f t="shared" si="4"/>
        <v>17879753.04</v>
      </c>
      <c r="J65" s="5"/>
    </row>
    <row r="66" ht="15.75" customHeight="1">
      <c r="B66" s="2"/>
      <c r="C66" s="30">
        <v>47864.0</v>
      </c>
      <c r="D66" s="8">
        <f t="shared" si="1"/>
        <v>3114601.944</v>
      </c>
      <c r="E66" s="46"/>
      <c r="F66" s="8">
        <f t="shared" si="2"/>
        <v>178797.5304</v>
      </c>
      <c r="G66" s="8">
        <f t="shared" si="3"/>
        <v>2935804.413</v>
      </c>
      <c r="H66" s="8">
        <f t="shared" si="4"/>
        <v>14943948.63</v>
      </c>
      <c r="J66" s="5"/>
    </row>
    <row r="67" ht="15.75" customHeight="1">
      <c r="B67" s="2"/>
      <c r="C67" s="30">
        <v>47895.0</v>
      </c>
      <c r="D67" s="8">
        <f t="shared" si="1"/>
        <v>3114601.944</v>
      </c>
      <c r="E67" s="46"/>
      <c r="F67" s="8">
        <f t="shared" si="2"/>
        <v>149439.4863</v>
      </c>
      <c r="G67" s="8">
        <f t="shared" si="3"/>
        <v>2965162.457</v>
      </c>
      <c r="H67" s="8">
        <f t="shared" si="4"/>
        <v>11978786.17</v>
      </c>
      <c r="J67" s="5"/>
    </row>
    <row r="68" ht="15.75" customHeight="1">
      <c r="B68" s="2"/>
      <c r="C68" s="30">
        <v>47923.0</v>
      </c>
      <c r="D68" s="8">
        <f t="shared" si="1"/>
        <v>3114601.944</v>
      </c>
      <c r="E68" s="46"/>
      <c r="F68" s="8">
        <f t="shared" si="2"/>
        <v>119787.8617</v>
      </c>
      <c r="G68" s="8">
        <f t="shared" si="3"/>
        <v>2994814.082</v>
      </c>
      <c r="H68" s="8">
        <f t="shared" si="4"/>
        <v>8983972.088</v>
      </c>
      <c r="J68" s="5"/>
    </row>
    <row r="69" ht="15.75" customHeight="1">
      <c r="B69" s="2"/>
      <c r="C69" s="30">
        <v>47954.0</v>
      </c>
      <c r="D69" s="8">
        <f t="shared" si="1"/>
        <v>3114601.944</v>
      </c>
      <c r="E69" s="46"/>
      <c r="F69" s="8">
        <f t="shared" si="2"/>
        <v>89839.72088</v>
      </c>
      <c r="G69" s="8">
        <f t="shared" si="3"/>
        <v>3024762.223</v>
      </c>
      <c r="H69" s="8">
        <f t="shared" si="4"/>
        <v>5959209.866</v>
      </c>
      <c r="J69" s="5"/>
    </row>
    <row r="70" ht="15.75" customHeight="1">
      <c r="B70" s="2"/>
      <c r="C70" s="30">
        <v>47984.0</v>
      </c>
      <c r="D70" s="8">
        <f t="shared" si="1"/>
        <v>3114601.944</v>
      </c>
      <c r="E70" s="46"/>
      <c r="F70" s="8">
        <f t="shared" si="2"/>
        <v>59592.09866</v>
      </c>
      <c r="G70" s="8">
        <f t="shared" si="3"/>
        <v>3055009.845</v>
      </c>
      <c r="H70" s="8">
        <f t="shared" si="4"/>
        <v>2904200.02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796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801</v>
      </c>
      <c r="H7" s="5"/>
      <c r="J7" s="5"/>
    </row>
    <row r="8" ht="15.75" customHeight="1">
      <c r="B8" s="2"/>
      <c r="C8" s="1" t="s">
        <v>16</v>
      </c>
      <c r="D8" s="2">
        <v>1.144095729E9</v>
      </c>
      <c r="H8" s="5"/>
      <c r="I8" s="17"/>
      <c r="J8" s="19"/>
      <c r="K8" s="17"/>
      <c r="L8" s="21" t="s">
        <v>802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45741.0</v>
      </c>
      <c r="B11" s="2" t="s">
        <v>804</v>
      </c>
      <c r="C11" s="30">
        <v>45736.0</v>
      </c>
      <c r="D11" s="8">
        <f t="shared" ref="D11:D70" si="1">$D$6</f>
        <v>1951950.284</v>
      </c>
      <c r="E11" s="15"/>
      <c r="F11" s="8">
        <f t="shared" ref="F11:F70" si="2">+H10*$D$4</f>
        <v>877500</v>
      </c>
      <c r="G11" s="8">
        <f t="shared" ref="G11:G70" si="3">+D11+E11-F11</f>
        <v>1074450.284</v>
      </c>
      <c r="H11" s="8">
        <f t="shared" ref="H11:H70" si="4">+H10-G11</f>
        <v>86675549.72</v>
      </c>
      <c r="J11" s="5"/>
      <c r="L11" s="33">
        <v>45691.0</v>
      </c>
      <c r="M11" s="34" t="s">
        <v>44</v>
      </c>
      <c r="N11" s="35" t="s">
        <v>807</v>
      </c>
      <c r="O11" s="36"/>
      <c r="P11" s="36">
        <v>9750000.0</v>
      </c>
      <c r="Q11" s="36"/>
      <c r="R11" s="36"/>
      <c r="S11" s="36">
        <f t="shared" ref="S11:S20" si="5">SUM(O11:R11)</f>
        <v>9750000</v>
      </c>
      <c r="T11" s="36">
        <f t="shared" ref="T11:T20" si="6">T10-S11</f>
        <v>117117017</v>
      </c>
      <c r="U11" s="34"/>
    </row>
    <row r="12" ht="15.75" customHeight="1">
      <c r="A12" s="29">
        <v>45775.0</v>
      </c>
      <c r="B12" s="2" t="s">
        <v>809</v>
      </c>
      <c r="C12" s="30">
        <v>45767.0</v>
      </c>
      <c r="D12" s="8">
        <f t="shared" si="1"/>
        <v>1951950.284</v>
      </c>
      <c r="E12" s="15"/>
      <c r="F12" s="8">
        <f t="shared" si="2"/>
        <v>866755.4972</v>
      </c>
      <c r="G12" s="8">
        <f t="shared" si="3"/>
        <v>1085194.787</v>
      </c>
      <c r="H12" s="8">
        <f t="shared" si="4"/>
        <v>85590354.93</v>
      </c>
      <c r="J12" s="5"/>
      <c r="L12" s="33">
        <v>45741.0</v>
      </c>
      <c r="M12" s="34" t="s">
        <v>73</v>
      </c>
      <c r="N12" s="35" t="s">
        <v>804</v>
      </c>
      <c r="O12" s="36"/>
      <c r="P12" s="36">
        <v>1951950.0</v>
      </c>
      <c r="Q12" s="36"/>
      <c r="R12" s="36"/>
      <c r="S12" s="36">
        <f t="shared" si="5"/>
        <v>1951950</v>
      </c>
      <c r="T12" s="36">
        <f t="shared" si="6"/>
        <v>115165067</v>
      </c>
      <c r="U12" s="34"/>
    </row>
    <row r="13" ht="15.75" customHeight="1">
      <c r="A13" s="29">
        <v>45820.0</v>
      </c>
      <c r="B13" s="2" t="s">
        <v>810</v>
      </c>
      <c r="C13" s="30">
        <v>45797.0</v>
      </c>
      <c r="D13" s="8">
        <f t="shared" si="1"/>
        <v>1951950.284</v>
      </c>
      <c r="E13" s="15"/>
      <c r="F13" s="8">
        <f t="shared" si="2"/>
        <v>855903.5493</v>
      </c>
      <c r="G13" s="8">
        <f t="shared" si="3"/>
        <v>1096046.735</v>
      </c>
      <c r="H13" s="8">
        <f t="shared" si="4"/>
        <v>84494308.19</v>
      </c>
      <c r="J13" s="5" t="s">
        <v>56</v>
      </c>
      <c r="L13" s="33">
        <v>45775.0</v>
      </c>
      <c r="M13" s="34" t="s">
        <v>78</v>
      </c>
      <c r="N13" s="35" t="s">
        <v>809</v>
      </c>
      <c r="O13" s="36"/>
      <c r="P13" s="36">
        <v>1951950.0</v>
      </c>
      <c r="Q13" s="36"/>
      <c r="R13" s="36"/>
      <c r="S13" s="36">
        <f t="shared" si="5"/>
        <v>1951950</v>
      </c>
      <c r="T13" s="36">
        <f t="shared" si="6"/>
        <v>113213117</v>
      </c>
      <c r="U13" s="34"/>
    </row>
    <row r="14" ht="15.75" customHeight="1">
      <c r="A14" s="29">
        <v>45855.0</v>
      </c>
      <c r="B14" s="2" t="s">
        <v>811</v>
      </c>
      <c r="C14" s="30">
        <v>45828.0</v>
      </c>
      <c r="D14" s="8">
        <f t="shared" si="1"/>
        <v>1951950.284</v>
      </c>
      <c r="E14" s="15"/>
      <c r="F14" s="8">
        <f t="shared" si="2"/>
        <v>844943.0819</v>
      </c>
      <c r="G14" s="8">
        <f t="shared" si="3"/>
        <v>1107007.202</v>
      </c>
      <c r="H14" s="8">
        <f t="shared" si="4"/>
        <v>83387300.99</v>
      </c>
      <c r="J14" s="8">
        <f>+H10</f>
        <v>87750000</v>
      </c>
      <c r="L14" s="33">
        <v>45820.0</v>
      </c>
      <c r="M14" s="34" t="s">
        <v>83</v>
      </c>
      <c r="N14" s="35" t="s">
        <v>810</v>
      </c>
      <c r="O14" s="36"/>
      <c r="P14" s="36">
        <v>1951950.0</v>
      </c>
      <c r="Q14" s="36"/>
      <c r="R14" s="36"/>
      <c r="S14" s="36">
        <f t="shared" si="5"/>
        <v>1951950</v>
      </c>
      <c r="T14" s="36">
        <f t="shared" si="6"/>
        <v>111261167</v>
      </c>
      <c r="U14" s="34"/>
    </row>
    <row r="15" ht="15.75" customHeight="1">
      <c r="A15" s="29">
        <v>45959.0</v>
      </c>
      <c r="B15" s="2" t="s">
        <v>812</v>
      </c>
      <c r="C15" s="30">
        <v>45858.0</v>
      </c>
      <c r="D15" s="8">
        <f t="shared" si="1"/>
        <v>1951950.284</v>
      </c>
      <c r="E15" s="15"/>
      <c r="F15" s="8">
        <f t="shared" si="2"/>
        <v>833873.0099</v>
      </c>
      <c r="G15" s="8">
        <f t="shared" si="3"/>
        <v>1118077.274</v>
      </c>
      <c r="H15" s="8">
        <f t="shared" si="4"/>
        <v>82269223.72</v>
      </c>
      <c r="J15" s="5"/>
      <c r="L15" s="33">
        <v>45855.0</v>
      </c>
      <c r="M15" s="34" t="s">
        <v>85</v>
      </c>
      <c r="N15" s="35" t="s">
        <v>811</v>
      </c>
      <c r="O15" s="36"/>
      <c r="P15" s="36">
        <v>1951950.0</v>
      </c>
      <c r="Q15" s="36"/>
      <c r="R15" s="36"/>
      <c r="S15" s="36">
        <f t="shared" si="5"/>
        <v>1951950</v>
      </c>
      <c r="T15" s="36">
        <f t="shared" si="6"/>
        <v>109309217</v>
      </c>
      <c r="U15" s="34"/>
    </row>
    <row r="16" ht="15.75" customHeight="1">
      <c r="A16" s="29">
        <v>45959.0</v>
      </c>
      <c r="B16" s="2" t="s">
        <v>812</v>
      </c>
      <c r="C16" s="30">
        <v>45889.0</v>
      </c>
      <c r="D16" s="8">
        <f t="shared" si="1"/>
        <v>1951950.284</v>
      </c>
      <c r="E16" s="15"/>
      <c r="F16" s="8">
        <f t="shared" si="2"/>
        <v>822692.2372</v>
      </c>
      <c r="G16" s="8">
        <f t="shared" si="3"/>
        <v>1129258.047</v>
      </c>
      <c r="H16" s="8">
        <f t="shared" si="4"/>
        <v>81139965.67</v>
      </c>
      <c r="J16" s="5"/>
      <c r="L16" s="33">
        <v>45959.0</v>
      </c>
      <c r="M16" s="34" t="s">
        <v>813</v>
      </c>
      <c r="N16" s="35" t="s">
        <v>812</v>
      </c>
      <c r="O16" s="36"/>
      <c r="P16" s="36">
        <v>5855850.0</v>
      </c>
      <c r="Q16" s="36"/>
      <c r="R16" s="36"/>
      <c r="S16" s="36">
        <f t="shared" si="5"/>
        <v>5855850</v>
      </c>
      <c r="T16" s="36">
        <f t="shared" si="6"/>
        <v>103453367</v>
      </c>
      <c r="U16" s="34"/>
    </row>
    <row r="17" ht="15.75" customHeight="1">
      <c r="A17" s="29">
        <v>45959.0</v>
      </c>
      <c r="B17" s="2" t="s">
        <v>812</v>
      </c>
      <c r="C17" s="30">
        <v>45920.0</v>
      </c>
      <c r="D17" s="8">
        <f t="shared" si="1"/>
        <v>1951950.284</v>
      </c>
      <c r="E17" s="15">
        <f>5855850-D15-D16-D17</f>
        <v>-0.8530503889</v>
      </c>
      <c r="F17" s="8">
        <f t="shared" si="2"/>
        <v>811399.6567</v>
      </c>
      <c r="G17" s="8">
        <f t="shared" si="3"/>
        <v>1140549.775</v>
      </c>
      <c r="H17" s="8">
        <f t="shared" si="4"/>
        <v>79999415.89</v>
      </c>
      <c r="J17" s="5"/>
      <c r="L17" s="33">
        <v>45989.0</v>
      </c>
      <c r="M17" s="34" t="s">
        <v>100</v>
      </c>
      <c r="N17" s="35" t="s">
        <v>814</v>
      </c>
      <c r="O17" s="36"/>
      <c r="P17" s="36">
        <v>1951950.0</v>
      </c>
      <c r="Q17" s="36"/>
      <c r="R17" s="36"/>
      <c r="S17" s="36">
        <f t="shared" si="5"/>
        <v>1951950</v>
      </c>
      <c r="T17" s="36">
        <f t="shared" si="6"/>
        <v>101501417</v>
      </c>
      <c r="U17" s="34"/>
    </row>
    <row r="18" ht="15.75" customHeight="1">
      <c r="A18" s="29">
        <v>45989.0</v>
      </c>
      <c r="B18" s="2" t="s">
        <v>814</v>
      </c>
      <c r="C18" s="30">
        <v>45950.0</v>
      </c>
      <c r="D18" s="8">
        <f t="shared" si="1"/>
        <v>1951950.284</v>
      </c>
      <c r="E18" s="15"/>
      <c r="F18" s="8">
        <f t="shared" si="2"/>
        <v>799994.1589</v>
      </c>
      <c r="G18" s="8">
        <f t="shared" si="3"/>
        <v>1151956.125</v>
      </c>
      <c r="H18" s="8">
        <f t="shared" si="4"/>
        <v>78847459.77</v>
      </c>
      <c r="J18" s="5"/>
      <c r="L18" s="33">
        <v>46035.0</v>
      </c>
      <c r="M18" s="34" t="s">
        <v>103</v>
      </c>
      <c r="N18" s="35" t="s">
        <v>815</v>
      </c>
      <c r="O18" s="36"/>
      <c r="P18" s="36">
        <v>1951950.0</v>
      </c>
      <c r="Q18" s="36"/>
      <c r="R18" s="36"/>
      <c r="S18" s="36">
        <f t="shared" si="5"/>
        <v>1951950</v>
      </c>
      <c r="T18" s="36">
        <f t="shared" si="6"/>
        <v>99549467</v>
      </c>
      <c r="U18" s="34"/>
    </row>
    <row r="19" ht="15.75" customHeight="1">
      <c r="A19" s="29">
        <v>46035.0</v>
      </c>
      <c r="B19" s="2" t="s">
        <v>815</v>
      </c>
      <c r="C19" s="30">
        <v>45981.0</v>
      </c>
      <c r="D19" s="8">
        <f t="shared" si="1"/>
        <v>1951950.284</v>
      </c>
      <c r="E19" s="15"/>
      <c r="F19" s="8">
        <f t="shared" si="2"/>
        <v>788474.5977</v>
      </c>
      <c r="G19" s="8">
        <f t="shared" si="3"/>
        <v>1163475.687</v>
      </c>
      <c r="H19" s="8">
        <f t="shared" si="4"/>
        <v>77683984.08</v>
      </c>
      <c r="I19" s="1"/>
      <c r="J19" s="41"/>
      <c r="K19" s="1"/>
      <c r="L19" s="42">
        <v>46073.0</v>
      </c>
      <c r="M19" s="43" t="s">
        <v>107</v>
      </c>
      <c r="N19" s="44" t="s">
        <v>816</v>
      </c>
      <c r="O19" s="45"/>
      <c r="P19" s="45">
        <v>1951950.0</v>
      </c>
      <c r="Q19" s="45"/>
      <c r="R19" s="45"/>
      <c r="S19" s="45">
        <f t="shared" si="5"/>
        <v>1951950</v>
      </c>
      <c r="T19" s="45">
        <f t="shared" si="6"/>
        <v>97597517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46073.0</v>
      </c>
      <c r="B20" s="2" t="s">
        <v>816</v>
      </c>
      <c r="C20" s="30">
        <v>46011.0</v>
      </c>
      <c r="D20" s="8">
        <f t="shared" si="1"/>
        <v>1951950.284</v>
      </c>
      <c r="E20" s="15"/>
      <c r="F20" s="8">
        <f t="shared" si="2"/>
        <v>776839.8408</v>
      </c>
      <c r="G20" s="8">
        <f t="shared" si="3"/>
        <v>1175110.444</v>
      </c>
      <c r="H20" s="8">
        <f t="shared" si="4"/>
        <v>76508873.64</v>
      </c>
      <c r="J20" s="5"/>
      <c r="L20" s="33">
        <v>46097.0</v>
      </c>
      <c r="M20" s="34" t="s">
        <v>112</v>
      </c>
      <c r="N20" s="35" t="s">
        <v>817</v>
      </c>
      <c r="O20" s="36"/>
      <c r="P20" s="36">
        <v>1951950.0</v>
      </c>
      <c r="Q20" s="36"/>
      <c r="R20" s="36"/>
      <c r="S20" s="36">
        <f t="shared" si="5"/>
        <v>1951950</v>
      </c>
      <c r="T20" s="36">
        <f t="shared" si="6"/>
        <v>95645567</v>
      </c>
      <c r="U20" s="34"/>
    </row>
    <row r="21" ht="15.75" customHeight="1">
      <c r="A21" s="29">
        <v>46097.0</v>
      </c>
      <c r="B21" s="2" t="s">
        <v>817</v>
      </c>
      <c r="C21" s="30">
        <v>46042.0</v>
      </c>
      <c r="D21" s="8">
        <f t="shared" si="1"/>
        <v>1951950.284</v>
      </c>
      <c r="E21" s="15"/>
      <c r="F21" s="8">
        <f t="shared" si="2"/>
        <v>765088.7364</v>
      </c>
      <c r="G21" s="8">
        <f t="shared" si="3"/>
        <v>1186861.548</v>
      </c>
      <c r="H21" s="8">
        <f t="shared" si="4"/>
        <v>75322012.09</v>
      </c>
      <c r="J21" s="5"/>
      <c r="L21" s="25"/>
      <c r="M21" s="38" t="s">
        <v>69</v>
      </c>
      <c r="N21" s="39"/>
      <c r="O21" s="27">
        <f t="shared" ref="O21:S21" si="7">SUM(O11:O20)</f>
        <v>0</v>
      </c>
      <c r="P21" s="27">
        <f t="shared" si="7"/>
        <v>31221450</v>
      </c>
      <c r="Q21" s="27">
        <f t="shared" si="7"/>
        <v>0</v>
      </c>
      <c r="R21" s="27">
        <f t="shared" si="7"/>
        <v>0</v>
      </c>
      <c r="S21" s="27">
        <f t="shared" si="7"/>
        <v>31221450</v>
      </c>
      <c r="T21" s="27">
        <f>T20</f>
        <v>95645567</v>
      </c>
      <c r="U21" s="25"/>
    </row>
    <row r="22" ht="15.75" customHeight="1">
      <c r="A22" s="37"/>
      <c r="B22" s="2"/>
      <c r="C22" s="30">
        <v>46073.0</v>
      </c>
      <c r="D22" s="8">
        <f t="shared" si="1"/>
        <v>1951950.284</v>
      </c>
      <c r="E22" s="15"/>
      <c r="F22" s="8">
        <f t="shared" si="2"/>
        <v>753220.1209</v>
      </c>
      <c r="G22" s="8">
        <f t="shared" si="3"/>
        <v>1198730.163</v>
      </c>
      <c r="H22" s="8">
        <f t="shared" si="4"/>
        <v>74123281.93</v>
      </c>
      <c r="J22" s="5"/>
    </row>
    <row r="23" ht="15.75" customHeight="1">
      <c r="A23" s="37"/>
      <c r="B23" s="2"/>
      <c r="C23" s="30">
        <v>46101.0</v>
      </c>
      <c r="D23" s="8">
        <f t="shared" si="1"/>
        <v>1951950.284</v>
      </c>
      <c r="E23" s="46"/>
      <c r="F23" s="8">
        <f t="shared" si="2"/>
        <v>741232.8193</v>
      </c>
      <c r="G23" s="8">
        <f t="shared" si="3"/>
        <v>1210717.465</v>
      </c>
      <c r="H23" s="8">
        <f t="shared" si="4"/>
        <v>72912564.46</v>
      </c>
      <c r="J23" s="5"/>
    </row>
    <row r="24" ht="15.75" customHeight="1">
      <c r="A24" s="37"/>
      <c r="B24" s="2"/>
      <c r="C24" s="30">
        <v>46132.0</v>
      </c>
      <c r="D24" s="8">
        <f t="shared" si="1"/>
        <v>1951950.284</v>
      </c>
      <c r="E24" s="46"/>
      <c r="F24" s="8">
        <f t="shared" si="2"/>
        <v>729125.6446</v>
      </c>
      <c r="G24" s="8">
        <f t="shared" si="3"/>
        <v>1222824.64</v>
      </c>
      <c r="H24" s="8">
        <f t="shared" si="4"/>
        <v>71689739.82</v>
      </c>
      <c r="J24" s="5"/>
    </row>
    <row r="25" ht="15.75" customHeight="1">
      <c r="B25" s="2"/>
      <c r="C25" s="30">
        <v>46162.0</v>
      </c>
      <c r="D25" s="8">
        <f t="shared" si="1"/>
        <v>1951950.284</v>
      </c>
      <c r="E25" s="46"/>
      <c r="F25" s="8">
        <f t="shared" si="2"/>
        <v>716897.3982</v>
      </c>
      <c r="G25" s="8">
        <f t="shared" si="3"/>
        <v>1235052.886</v>
      </c>
      <c r="H25" s="8">
        <f t="shared" si="4"/>
        <v>70454686.94</v>
      </c>
      <c r="J25" s="5"/>
    </row>
    <row r="26" ht="15.75" customHeight="1">
      <c r="B26" s="2"/>
      <c r="C26" s="30">
        <v>46193.0</v>
      </c>
      <c r="D26" s="8">
        <f t="shared" si="1"/>
        <v>1951950.284</v>
      </c>
      <c r="E26" s="46"/>
      <c r="F26" s="8">
        <f t="shared" si="2"/>
        <v>704546.8694</v>
      </c>
      <c r="G26" s="8">
        <f t="shared" si="3"/>
        <v>1247403.415</v>
      </c>
      <c r="H26" s="8">
        <f t="shared" si="4"/>
        <v>69207283.52</v>
      </c>
      <c r="J26" s="5"/>
    </row>
    <row r="27" ht="15.75" customHeight="1">
      <c r="B27" s="2"/>
      <c r="C27" s="30">
        <v>46223.0</v>
      </c>
      <c r="D27" s="8">
        <f t="shared" si="1"/>
        <v>1951950.284</v>
      </c>
      <c r="E27" s="46"/>
      <c r="F27" s="8">
        <f t="shared" si="2"/>
        <v>692072.8352</v>
      </c>
      <c r="G27" s="8">
        <f t="shared" si="3"/>
        <v>1259877.449</v>
      </c>
      <c r="H27" s="8">
        <f t="shared" si="4"/>
        <v>67947406.07</v>
      </c>
      <c r="J27" s="5"/>
    </row>
    <row r="28" ht="15.75" customHeight="1">
      <c r="B28" s="2"/>
      <c r="C28" s="30">
        <v>46254.0</v>
      </c>
      <c r="D28" s="8">
        <f t="shared" si="1"/>
        <v>1951950.284</v>
      </c>
      <c r="E28" s="46"/>
      <c r="F28" s="8">
        <f t="shared" si="2"/>
        <v>679474.0607</v>
      </c>
      <c r="G28" s="8">
        <f t="shared" si="3"/>
        <v>1272476.224</v>
      </c>
      <c r="H28" s="8">
        <f t="shared" si="4"/>
        <v>66674929.85</v>
      </c>
      <c r="J28" s="5"/>
    </row>
    <row r="29" ht="15.75" customHeight="1">
      <c r="B29" s="2"/>
      <c r="C29" s="30">
        <v>46285.0</v>
      </c>
      <c r="D29" s="8">
        <f t="shared" si="1"/>
        <v>1951950.284</v>
      </c>
      <c r="E29" s="46"/>
      <c r="F29" s="8">
        <f t="shared" si="2"/>
        <v>666749.2985</v>
      </c>
      <c r="G29" s="8">
        <f t="shared" si="3"/>
        <v>1285200.986</v>
      </c>
      <c r="H29" s="8">
        <f t="shared" si="4"/>
        <v>65389728.86</v>
      </c>
      <c r="J29" s="5"/>
    </row>
    <row r="30" ht="15.75" customHeight="1">
      <c r="B30" s="2"/>
      <c r="C30" s="30">
        <v>46315.0</v>
      </c>
      <c r="D30" s="8">
        <f t="shared" si="1"/>
        <v>1951950.284</v>
      </c>
      <c r="E30" s="46"/>
      <c r="F30" s="8">
        <f t="shared" si="2"/>
        <v>653897.2886</v>
      </c>
      <c r="G30" s="8">
        <f t="shared" si="3"/>
        <v>1298052.996</v>
      </c>
      <c r="H30" s="8">
        <f t="shared" si="4"/>
        <v>64091675.87</v>
      </c>
      <c r="J30" s="5"/>
    </row>
    <row r="31" ht="15.75" customHeight="1">
      <c r="B31" s="2"/>
      <c r="C31" s="30">
        <v>46346.0</v>
      </c>
      <c r="D31" s="8">
        <f t="shared" si="1"/>
        <v>1951950.284</v>
      </c>
      <c r="E31" s="46"/>
      <c r="F31" s="8">
        <f t="shared" si="2"/>
        <v>640916.7587</v>
      </c>
      <c r="G31" s="8">
        <f t="shared" si="3"/>
        <v>1311033.526</v>
      </c>
      <c r="H31" s="8">
        <f t="shared" si="4"/>
        <v>62780642.34</v>
      </c>
      <c r="J31" s="5"/>
    </row>
    <row r="32" ht="15.75" customHeight="1">
      <c r="B32" s="2"/>
      <c r="C32" s="30">
        <v>46376.0</v>
      </c>
      <c r="D32" s="8">
        <f t="shared" si="1"/>
        <v>1951950.284</v>
      </c>
      <c r="E32" s="46"/>
      <c r="F32" s="8">
        <f t="shared" si="2"/>
        <v>627806.4234</v>
      </c>
      <c r="G32" s="8">
        <f t="shared" si="3"/>
        <v>1324143.861</v>
      </c>
      <c r="H32" s="8">
        <f t="shared" si="4"/>
        <v>61456498.48</v>
      </c>
      <c r="J32" s="5"/>
    </row>
    <row r="33" ht="15.75" customHeight="1">
      <c r="B33" s="2"/>
      <c r="C33" s="30">
        <v>46407.0</v>
      </c>
      <c r="D33" s="8">
        <f t="shared" si="1"/>
        <v>1951950.284</v>
      </c>
      <c r="E33" s="46"/>
      <c r="F33" s="8">
        <f t="shared" si="2"/>
        <v>614564.9848</v>
      </c>
      <c r="G33" s="8">
        <f t="shared" si="3"/>
        <v>1337385.3</v>
      </c>
      <c r="H33" s="8">
        <f t="shared" si="4"/>
        <v>60119113.18</v>
      </c>
      <c r="J33" s="5"/>
    </row>
    <row r="34" ht="15.75" customHeight="1">
      <c r="B34" s="2"/>
      <c r="C34" s="30">
        <v>46438.0</v>
      </c>
      <c r="D34" s="8">
        <f t="shared" si="1"/>
        <v>1951950.284</v>
      </c>
      <c r="E34" s="46"/>
      <c r="F34" s="8">
        <f t="shared" si="2"/>
        <v>601191.1318</v>
      </c>
      <c r="G34" s="8">
        <f t="shared" si="3"/>
        <v>1350759.153</v>
      </c>
      <c r="H34" s="8">
        <f t="shared" si="4"/>
        <v>58768354.03</v>
      </c>
      <c r="J34" s="5"/>
    </row>
    <row r="35" ht="15.75" customHeight="1">
      <c r="B35" s="2"/>
      <c r="C35" s="30">
        <v>46466.0</v>
      </c>
      <c r="D35" s="8">
        <f t="shared" si="1"/>
        <v>1951950.284</v>
      </c>
      <c r="E35" s="46"/>
      <c r="F35" s="8">
        <f t="shared" si="2"/>
        <v>587683.5403</v>
      </c>
      <c r="G35" s="8">
        <f t="shared" si="3"/>
        <v>1364266.744</v>
      </c>
      <c r="H35" s="8">
        <f t="shared" si="4"/>
        <v>57404087.28</v>
      </c>
      <c r="J35" s="5"/>
    </row>
    <row r="36" ht="15.75" customHeight="1">
      <c r="B36" s="2"/>
      <c r="C36" s="30">
        <v>46497.0</v>
      </c>
      <c r="D36" s="8">
        <f t="shared" si="1"/>
        <v>1951950.284</v>
      </c>
      <c r="E36" s="46"/>
      <c r="F36" s="8">
        <f t="shared" si="2"/>
        <v>574040.8728</v>
      </c>
      <c r="G36" s="8">
        <f t="shared" si="3"/>
        <v>1377909.412</v>
      </c>
      <c r="H36" s="8">
        <f t="shared" si="4"/>
        <v>56026177.87</v>
      </c>
      <c r="J36" s="5"/>
    </row>
    <row r="37" ht="15.75" customHeight="1">
      <c r="B37" s="2"/>
      <c r="C37" s="30">
        <v>46527.0</v>
      </c>
      <c r="D37" s="8">
        <f t="shared" si="1"/>
        <v>1951950.284</v>
      </c>
      <c r="E37" s="46"/>
      <c r="F37" s="8">
        <f t="shared" si="2"/>
        <v>560261.7787</v>
      </c>
      <c r="G37" s="8">
        <f t="shared" si="3"/>
        <v>1391688.506</v>
      </c>
      <c r="H37" s="8">
        <f t="shared" si="4"/>
        <v>54634489.37</v>
      </c>
      <c r="J37" s="5"/>
    </row>
    <row r="38" ht="15.75" customHeight="1">
      <c r="B38" s="2"/>
      <c r="C38" s="30">
        <v>46558.0</v>
      </c>
      <c r="D38" s="8">
        <f t="shared" si="1"/>
        <v>1951950.284</v>
      </c>
      <c r="E38" s="46"/>
      <c r="F38" s="8">
        <f t="shared" si="2"/>
        <v>546344.8937</v>
      </c>
      <c r="G38" s="8">
        <f t="shared" si="3"/>
        <v>1405605.391</v>
      </c>
      <c r="H38" s="8">
        <f t="shared" si="4"/>
        <v>53228883.98</v>
      </c>
      <c r="J38" s="5"/>
    </row>
    <row r="39" ht="15.75" customHeight="1">
      <c r="B39" s="2"/>
      <c r="C39" s="30">
        <v>46588.0</v>
      </c>
      <c r="D39" s="8">
        <f t="shared" si="1"/>
        <v>1951950.284</v>
      </c>
      <c r="E39" s="46"/>
      <c r="F39" s="8">
        <f t="shared" si="2"/>
        <v>532288.8398</v>
      </c>
      <c r="G39" s="8">
        <f t="shared" si="3"/>
        <v>1419661.445</v>
      </c>
      <c r="H39" s="8">
        <f t="shared" si="4"/>
        <v>51809222.53</v>
      </c>
      <c r="J39" s="5"/>
    </row>
    <row r="40" ht="15.75" customHeight="1">
      <c r="B40" s="2"/>
      <c r="C40" s="30">
        <v>46619.0</v>
      </c>
      <c r="D40" s="8">
        <f t="shared" si="1"/>
        <v>1951950.284</v>
      </c>
      <c r="E40" s="46"/>
      <c r="F40" s="8">
        <f t="shared" si="2"/>
        <v>518092.2253</v>
      </c>
      <c r="G40" s="8">
        <f t="shared" si="3"/>
        <v>1433858.059</v>
      </c>
      <c r="H40" s="8">
        <f t="shared" si="4"/>
        <v>50375364.47</v>
      </c>
      <c r="J40" s="5"/>
    </row>
    <row r="41" ht="15.75" customHeight="1">
      <c r="B41" s="2"/>
      <c r="C41" s="30">
        <v>46650.0</v>
      </c>
      <c r="D41" s="8">
        <f t="shared" si="1"/>
        <v>1951950.284</v>
      </c>
      <c r="E41" s="46"/>
      <c r="F41" s="8">
        <f t="shared" si="2"/>
        <v>503753.6447</v>
      </c>
      <c r="G41" s="8">
        <f t="shared" si="3"/>
        <v>1448196.64</v>
      </c>
      <c r="H41" s="8">
        <f t="shared" si="4"/>
        <v>48927167.83</v>
      </c>
      <c r="J41" s="5"/>
    </row>
    <row r="42" ht="15.75" customHeight="1">
      <c r="B42" s="2"/>
      <c r="C42" s="30">
        <v>46680.0</v>
      </c>
      <c r="D42" s="8">
        <f t="shared" si="1"/>
        <v>1951950.284</v>
      </c>
      <c r="E42" s="46"/>
      <c r="F42" s="8">
        <f t="shared" si="2"/>
        <v>489271.6783</v>
      </c>
      <c r="G42" s="8">
        <f t="shared" si="3"/>
        <v>1462678.606</v>
      </c>
      <c r="H42" s="8">
        <f t="shared" si="4"/>
        <v>47464489.23</v>
      </c>
      <c r="J42" s="5"/>
    </row>
    <row r="43" ht="15.75" customHeight="1">
      <c r="B43" s="2"/>
      <c r="C43" s="30">
        <v>46711.0</v>
      </c>
      <c r="D43" s="8">
        <f t="shared" si="1"/>
        <v>1951950.284</v>
      </c>
      <c r="E43" s="46"/>
      <c r="F43" s="8">
        <f t="shared" si="2"/>
        <v>474644.8923</v>
      </c>
      <c r="G43" s="8">
        <f t="shared" si="3"/>
        <v>1477305.392</v>
      </c>
      <c r="H43" s="8">
        <f t="shared" si="4"/>
        <v>45987183.84</v>
      </c>
      <c r="J43" s="5"/>
    </row>
    <row r="44" ht="15.75" customHeight="1">
      <c r="B44" s="2"/>
      <c r="C44" s="30">
        <v>46741.0</v>
      </c>
      <c r="D44" s="8">
        <f t="shared" si="1"/>
        <v>1951950.284</v>
      </c>
      <c r="E44" s="46"/>
      <c r="F44" s="8">
        <f t="shared" si="2"/>
        <v>459871.8384</v>
      </c>
      <c r="G44" s="8">
        <f t="shared" si="3"/>
        <v>1492078.446</v>
      </c>
      <c r="H44" s="8">
        <f t="shared" si="4"/>
        <v>44495105.39</v>
      </c>
      <c r="J44" s="5"/>
    </row>
    <row r="45" ht="15.75" customHeight="1">
      <c r="B45" s="2"/>
      <c r="C45" s="30">
        <v>46772.0</v>
      </c>
      <c r="D45" s="8">
        <f t="shared" si="1"/>
        <v>1951950.284</v>
      </c>
      <c r="E45" s="46"/>
      <c r="F45" s="8">
        <f t="shared" si="2"/>
        <v>444951.0539</v>
      </c>
      <c r="G45" s="8">
        <f t="shared" si="3"/>
        <v>1506999.23</v>
      </c>
      <c r="H45" s="8">
        <f t="shared" si="4"/>
        <v>42988106.16</v>
      </c>
      <c r="J45" s="5"/>
    </row>
    <row r="46" ht="15.75" customHeight="1">
      <c r="B46" s="2"/>
      <c r="C46" s="30">
        <v>46803.0</v>
      </c>
      <c r="D46" s="8">
        <f t="shared" si="1"/>
        <v>1951950.284</v>
      </c>
      <c r="E46" s="46"/>
      <c r="F46" s="8">
        <f t="shared" si="2"/>
        <v>429881.0616</v>
      </c>
      <c r="G46" s="8">
        <f t="shared" si="3"/>
        <v>1522069.223</v>
      </c>
      <c r="H46" s="8">
        <f t="shared" si="4"/>
        <v>41466036.94</v>
      </c>
      <c r="J46" s="5"/>
    </row>
    <row r="47" ht="15.75" customHeight="1">
      <c r="B47" s="2"/>
      <c r="C47" s="30">
        <v>46832.0</v>
      </c>
      <c r="D47" s="8">
        <f t="shared" si="1"/>
        <v>1951950.284</v>
      </c>
      <c r="E47" s="46"/>
      <c r="F47" s="8">
        <f t="shared" si="2"/>
        <v>414660.3694</v>
      </c>
      <c r="G47" s="8">
        <f t="shared" si="3"/>
        <v>1537289.915</v>
      </c>
      <c r="H47" s="8">
        <f t="shared" si="4"/>
        <v>39928747.02</v>
      </c>
      <c r="J47" s="5"/>
    </row>
    <row r="48" ht="15.75" customHeight="1">
      <c r="B48" s="2"/>
      <c r="C48" s="30">
        <v>46863.0</v>
      </c>
      <c r="D48" s="8">
        <f t="shared" si="1"/>
        <v>1951950.284</v>
      </c>
      <c r="E48" s="46"/>
      <c r="F48" s="8">
        <f t="shared" si="2"/>
        <v>399287.4702</v>
      </c>
      <c r="G48" s="8">
        <f t="shared" si="3"/>
        <v>1552662.814</v>
      </c>
      <c r="H48" s="8">
        <f t="shared" si="4"/>
        <v>38376084.21</v>
      </c>
      <c r="J48" s="5"/>
    </row>
    <row r="49" ht="15.75" customHeight="1">
      <c r="B49" s="2"/>
      <c r="C49" s="30">
        <v>46893.0</v>
      </c>
      <c r="D49" s="8">
        <f t="shared" si="1"/>
        <v>1951950.284</v>
      </c>
      <c r="E49" s="46"/>
      <c r="F49" s="8">
        <f t="shared" si="2"/>
        <v>383760.8421</v>
      </c>
      <c r="G49" s="8">
        <f t="shared" si="3"/>
        <v>1568189.442</v>
      </c>
      <c r="H49" s="8">
        <f t="shared" si="4"/>
        <v>36807894.77</v>
      </c>
      <c r="J49" s="5"/>
    </row>
    <row r="50" ht="15.75" customHeight="1">
      <c r="B50" s="2"/>
      <c r="C50" s="30">
        <v>46924.0</v>
      </c>
      <c r="D50" s="8">
        <f t="shared" si="1"/>
        <v>1951950.284</v>
      </c>
      <c r="E50" s="46"/>
      <c r="F50" s="8">
        <f t="shared" si="2"/>
        <v>368078.9477</v>
      </c>
      <c r="G50" s="8">
        <f t="shared" si="3"/>
        <v>1583871.337</v>
      </c>
      <c r="H50" s="8">
        <f t="shared" si="4"/>
        <v>35224023.43</v>
      </c>
      <c r="J50" s="5"/>
    </row>
    <row r="51" ht="15.75" customHeight="1">
      <c r="B51" s="2"/>
      <c r="C51" s="30">
        <v>46954.0</v>
      </c>
      <c r="D51" s="8">
        <f t="shared" si="1"/>
        <v>1951950.284</v>
      </c>
      <c r="E51" s="46"/>
      <c r="F51" s="8">
        <f t="shared" si="2"/>
        <v>352240.2343</v>
      </c>
      <c r="G51" s="8">
        <f t="shared" si="3"/>
        <v>1599710.05</v>
      </c>
      <c r="H51" s="8">
        <f t="shared" si="4"/>
        <v>33624313.38</v>
      </c>
      <c r="J51" s="5"/>
    </row>
    <row r="52" ht="15.75" customHeight="1">
      <c r="B52" s="2"/>
      <c r="C52" s="30">
        <v>46985.0</v>
      </c>
      <c r="D52" s="8">
        <f t="shared" si="1"/>
        <v>1951950.284</v>
      </c>
      <c r="E52" s="46"/>
      <c r="F52" s="8">
        <f t="shared" si="2"/>
        <v>336243.1338</v>
      </c>
      <c r="G52" s="8">
        <f t="shared" si="3"/>
        <v>1615707.151</v>
      </c>
      <c r="H52" s="8">
        <f t="shared" si="4"/>
        <v>32008606.23</v>
      </c>
      <c r="J52" s="5"/>
    </row>
    <row r="53" ht="15.75" customHeight="1">
      <c r="B53" s="2"/>
      <c r="C53" s="30">
        <v>47016.0</v>
      </c>
      <c r="D53" s="8">
        <f t="shared" si="1"/>
        <v>1951950.284</v>
      </c>
      <c r="E53" s="46"/>
      <c r="F53" s="8">
        <f t="shared" si="2"/>
        <v>320086.0623</v>
      </c>
      <c r="G53" s="8">
        <f t="shared" si="3"/>
        <v>1631864.222</v>
      </c>
      <c r="H53" s="8">
        <f t="shared" si="4"/>
        <v>30376742.01</v>
      </c>
      <c r="J53" s="5"/>
    </row>
    <row r="54" ht="15.75" customHeight="1">
      <c r="B54" s="2"/>
      <c r="C54" s="30">
        <v>47046.0</v>
      </c>
      <c r="D54" s="8">
        <f t="shared" si="1"/>
        <v>1951950.284</v>
      </c>
      <c r="E54" s="46"/>
      <c r="F54" s="8">
        <f t="shared" si="2"/>
        <v>303767.4201</v>
      </c>
      <c r="G54" s="8">
        <f t="shared" si="3"/>
        <v>1648182.864</v>
      </c>
      <c r="H54" s="8">
        <f t="shared" si="4"/>
        <v>28728559.14</v>
      </c>
      <c r="J54" s="5"/>
    </row>
    <row r="55" ht="15.75" customHeight="1">
      <c r="B55" s="2"/>
      <c r="C55" s="30">
        <v>47077.0</v>
      </c>
      <c r="D55" s="8">
        <f t="shared" si="1"/>
        <v>1951950.284</v>
      </c>
      <c r="E55" s="46"/>
      <c r="F55" s="8">
        <f t="shared" si="2"/>
        <v>287285.5914</v>
      </c>
      <c r="G55" s="8">
        <f t="shared" si="3"/>
        <v>1664664.693</v>
      </c>
      <c r="H55" s="8">
        <f t="shared" si="4"/>
        <v>27063894.45</v>
      </c>
      <c r="J55" s="5"/>
    </row>
    <row r="56" ht="15.75" customHeight="1">
      <c r="B56" s="2"/>
      <c r="C56" s="30">
        <v>47107.0</v>
      </c>
      <c r="D56" s="8">
        <f t="shared" si="1"/>
        <v>1951950.284</v>
      </c>
      <c r="E56" s="46"/>
      <c r="F56" s="8">
        <f t="shared" si="2"/>
        <v>270638.9445</v>
      </c>
      <c r="G56" s="8">
        <f t="shared" si="3"/>
        <v>1681311.34</v>
      </c>
      <c r="H56" s="8">
        <f t="shared" si="4"/>
        <v>25382583.11</v>
      </c>
      <c r="J56" s="5"/>
    </row>
    <row r="57" ht="15.75" customHeight="1">
      <c r="B57" s="2"/>
      <c r="C57" s="30">
        <v>47138.0</v>
      </c>
      <c r="D57" s="8">
        <f t="shared" si="1"/>
        <v>1951950.284</v>
      </c>
      <c r="E57" s="46"/>
      <c r="F57" s="8">
        <f t="shared" si="2"/>
        <v>253825.8311</v>
      </c>
      <c r="G57" s="8">
        <f t="shared" si="3"/>
        <v>1698124.453</v>
      </c>
      <c r="H57" s="8">
        <f t="shared" si="4"/>
        <v>23684458.66</v>
      </c>
      <c r="J57" s="5"/>
    </row>
    <row r="58" ht="15.75" customHeight="1">
      <c r="B58" s="2"/>
      <c r="C58" s="30">
        <v>47169.0</v>
      </c>
      <c r="D58" s="8">
        <f t="shared" si="1"/>
        <v>1951950.284</v>
      </c>
      <c r="E58" s="46"/>
      <c r="F58" s="8">
        <f t="shared" si="2"/>
        <v>236844.5866</v>
      </c>
      <c r="G58" s="8">
        <f t="shared" si="3"/>
        <v>1715105.698</v>
      </c>
      <c r="H58" s="8">
        <f t="shared" si="4"/>
        <v>21969352.96</v>
      </c>
      <c r="J58" s="5"/>
    </row>
    <row r="59" ht="15.75" customHeight="1">
      <c r="B59" s="2"/>
      <c r="C59" s="30">
        <v>47197.0</v>
      </c>
      <c r="D59" s="8">
        <f t="shared" si="1"/>
        <v>1951950.284</v>
      </c>
      <c r="E59" s="46"/>
      <c r="F59" s="8">
        <f t="shared" si="2"/>
        <v>219693.5296</v>
      </c>
      <c r="G59" s="8">
        <f t="shared" si="3"/>
        <v>1732256.755</v>
      </c>
      <c r="H59" s="8">
        <f t="shared" si="4"/>
        <v>20237096.2</v>
      </c>
      <c r="J59" s="5"/>
    </row>
    <row r="60" ht="15.75" customHeight="1">
      <c r="B60" s="2"/>
      <c r="C60" s="30">
        <v>47228.0</v>
      </c>
      <c r="D60" s="8">
        <f t="shared" si="1"/>
        <v>1951950.284</v>
      </c>
      <c r="E60" s="46"/>
      <c r="F60" s="8">
        <f t="shared" si="2"/>
        <v>202370.962</v>
      </c>
      <c r="G60" s="8">
        <f t="shared" si="3"/>
        <v>1749579.322</v>
      </c>
      <c r="H60" s="8">
        <f t="shared" si="4"/>
        <v>18487516.88</v>
      </c>
      <c r="J60" s="5"/>
    </row>
    <row r="61" ht="15.75" customHeight="1">
      <c r="B61" s="2"/>
      <c r="C61" s="30">
        <v>47258.0</v>
      </c>
      <c r="D61" s="8">
        <f t="shared" si="1"/>
        <v>1951950.284</v>
      </c>
      <c r="E61" s="46"/>
      <c r="F61" s="8">
        <f t="shared" si="2"/>
        <v>184875.1688</v>
      </c>
      <c r="G61" s="8">
        <f t="shared" si="3"/>
        <v>1767075.116</v>
      </c>
      <c r="H61" s="8">
        <f t="shared" si="4"/>
        <v>16720441.76</v>
      </c>
      <c r="J61" s="5"/>
    </row>
    <row r="62" ht="15.75" customHeight="1">
      <c r="B62" s="2"/>
      <c r="C62" s="30">
        <v>47289.0</v>
      </c>
      <c r="D62" s="8">
        <f t="shared" si="1"/>
        <v>1951950.284</v>
      </c>
      <c r="E62" s="46"/>
      <c r="F62" s="8">
        <f t="shared" si="2"/>
        <v>167204.4176</v>
      </c>
      <c r="G62" s="8">
        <f t="shared" si="3"/>
        <v>1784745.867</v>
      </c>
      <c r="H62" s="8">
        <f t="shared" si="4"/>
        <v>14935695.9</v>
      </c>
      <c r="J62" s="5"/>
    </row>
    <row r="63" ht="15.75" customHeight="1">
      <c r="B63" s="2"/>
      <c r="C63" s="30">
        <v>47319.0</v>
      </c>
      <c r="D63" s="8">
        <f t="shared" si="1"/>
        <v>1951950.284</v>
      </c>
      <c r="E63" s="46"/>
      <c r="F63" s="8">
        <f t="shared" si="2"/>
        <v>149356.959</v>
      </c>
      <c r="G63" s="8">
        <f t="shared" si="3"/>
        <v>1802593.325</v>
      </c>
      <c r="H63" s="8">
        <f t="shared" si="4"/>
        <v>13133102.57</v>
      </c>
      <c r="J63" s="5"/>
    </row>
    <row r="64" ht="15.75" customHeight="1">
      <c r="B64" s="2"/>
      <c r="C64" s="30">
        <v>47350.0</v>
      </c>
      <c r="D64" s="8">
        <f t="shared" si="1"/>
        <v>1951950.284</v>
      </c>
      <c r="E64" s="46"/>
      <c r="F64" s="8">
        <f t="shared" si="2"/>
        <v>131331.0257</v>
      </c>
      <c r="G64" s="8">
        <f t="shared" si="3"/>
        <v>1820619.259</v>
      </c>
      <c r="H64" s="8">
        <f t="shared" si="4"/>
        <v>11312483.31</v>
      </c>
      <c r="J64" s="5"/>
    </row>
    <row r="65" ht="15.75" customHeight="1">
      <c r="B65" s="2"/>
      <c r="C65" s="30">
        <v>47381.0</v>
      </c>
      <c r="D65" s="8">
        <f t="shared" si="1"/>
        <v>1951950.284</v>
      </c>
      <c r="E65" s="46"/>
      <c r="F65" s="8">
        <f t="shared" si="2"/>
        <v>113124.8331</v>
      </c>
      <c r="G65" s="8">
        <f t="shared" si="3"/>
        <v>1838825.451</v>
      </c>
      <c r="H65" s="8">
        <f t="shared" si="4"/>
        <v>9473657.863</v>
      </c>
      <c r="J65" s="5"/>
    </row>
    <row r="66" ht="15.75" customHeight="1">
      <c r="B66" s="2"/>
      <c r="C66" s="30">
        <v>47411.0</v>
      </c>
      <c r="D66" s="8">
        <f t="shared" si="1"/>
        <v>1951950.284</v>
      </c>
      <c r="E66" s="46"/>
      <c r="F66" s="8">
        <f t="shared" si="2"/>
        <v>94736.57863</v>
      </c>
      <c r="G66" s="8">
        <f t="shared" si="3"/>
        <v>1857213.706</v>
      </c>
      <c r="H66" s="8">
        <f t="shared" si="4"/>
        <v>7616444.157</v>
      </c>
      <c r="J66" s="5"/>
    </row>
    <row r="67" ht="15.75" customHeight="1">
      <c r="B67" s="2"/>
      <c r="C67" s="30">
        <v>47442.0</v>
      </c>
      <c r="D67" s="8">
        <f t="shared" si="1"/>
        <v>1951950.284</v>
      </c>
      <c r="E67" s="46"/>
      <c r="F67" s="8">
        <f t="shared" si="2"/>
        <v>76164.44157</v>
      </c>
      <c r="G67" s="8">
        <f t="shared" si="3"/>
        <v>1875785.843</v>
      </c>
      <c r="H67" s="8">
        <f t="shared" si="4"/>
        <v>5740658.314</v>
      </c>
      <c r="J67" s="5"/>
    </row>
    <row r="68" ht="15.75" customHeight="1">
      <c r="B68" s="2"/>
      <c r="C68" s="30">
        <v>47472.0</v>
      </c>
      <c r="D68" s="8">
        <f t="shared" si="1"/>
        <v>1951950.284</v>
      </c>
      <c r="E68" s="46"/>
      <c r="F68" s="8">
        <f t="shared" si="2"/>
        <v>57406.58314</v>
      </c>
      <c r="G68" s="8">
        <f t="shared" si="3"/>
        <v>1894543.701</v>
      </c>
      <c r="H68" s="8">
        <f t="shared" si="4"/>
        <v>3846114.613</v>
      </c>
      <c r="J68" s="5"/>
    </row>
    <row r="69" ht="15.75" customHeight="1">
      <c r="B69" s="2"/>
      <c r="C69" s="30">
        <v>47503.0</v>
      </c>
      <c r="D69" s="8">
        <f t="shared" si="1"/>
        <v>1951950.284</v>
      </c>
      <c r="E69" s="46"/>
      <c r="F69" s="8">
        <f t="shared" si="2"/>
        <v>38461.14613</v>
      </c>
      <c r="G69" s="8">
        <f t="shared" si="3"/>
        <v>1913489.138</v>
      </c>
      <c r="H69" s="8">
        <f t="shared" si="4"/>
        <v>1932625.475</v>
      </c>
      <c r="J69" s="5"/>
    </row>
    <row r="70" ht="15.75" customHeight="1">
      <c r="B70" s="2"/>
      <c r="C70" s="30">
        <v>47534.0</v>
      </c>
      <c r="D70" s="8">
        <f t="shared" si="1"/>
        <v>1951950.284</v>
      </c>
      <c r="E70" s="46"/>
      <c r="F70" s="8">
        <f t="shared" si="2"/>
        <v>19326.25475</v>
      </c>
      <c r="G70" s="8">
        <f t="shared" si="3"/>
        <v>1932624.03</v>
      </c>
      <c r="H70" s="8">
        <f t="shared" si="4"/>
        <v>1.445464871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818</v>
      </c>
      <c r="J1" s="5"/>
    </row>
    <row r="2" ht="15.75" customHeight="1">
      <c r="B2" s="2"/>
      <c r="C2" s="1" t="s">
        <v>6</v>
      </c>
      <c r="D2" s="6">
        <f>+A5*10%</f>
        <v>9000000</v>
      </c>
      <c r="E2" s="7"/>
      <c r="J2" s="5"/>
    </row>
    <row r="3" ht="15.75" customHeight="1">
      <c r="B3" s="2"/>
      <c r="C3" s="1" t="s">
        <v>7</v>
      </c>
      <c r="D3" s="8">
        <f>+A5-D2</f>
        <v>81000000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9.0E7</v>
      </c>
      <c r="B5" s="2"/>
      <c r="C5" s="1" t="s">
        <v>10</v>
      </c>
      <c r="D5" s="13">
        <v>36.0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2690359.095</v>
      </c>
      <c r="E6" s="12"/>
      <c r="H6" s="5"/>
      <c r="J6" s="5"/>
    </row>
    <row r="7" ht="15.75" customHeight="1">
      <c r="B7" s="2"/>
      <c r="C7" s="1" t="s">
        <v>12</v>
      </c>
      <c r="D7" s="20" t="s">
        <v>819</v>
      </c>
      <c r="H7" s="5"/>
      <c r="J7" s="5"/>
    </row>
    <row r="8" ht="15.75" customHeight="1">
      <c r="B8" s="2"/>
      <c r="C8" s="1" t="s">
        <v>16</v>
      </c>
      <c r="D8" s="2">
        <v>9.4370702E7</v>
      </c>
      <c r="H8" s="5"/>
      <c r="I8" s="17"/>
      <c r="J8" s="19"/>
      <c r="K8" s="17"/>
      <c r="L8" s="21" t="s">
        <v>820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81000000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1.05852927E8</v>
      </c>
      <c r="U10" s="25"/>
    </row>
    <row r="11" ht="15.75" customHeight="1">
      <c r="A11" s="29">
        <v>45762.0</v>
      </c>
      <c r="B11" s="2" t="s">
        <v>821</v>
      </c>
      <c r="C11" s="30">
        <v>45762.0</v>
      </c>
      <c r="D11" s="8">
        <f t="shared" ref="D11:D46" si="1">$D$6</f>
        <v>2690359.095</v>
      </c>
      <c r="E11" s="15"/>
      <c r="F11" s="8">
        <f t="shared" ref="F11:F46" si="2">+H10*$D$4</f>
        <v>810000</v>
      </c>
      <c r="G11" s="8">
        <f t="shared" ref="G11:G46" si="3">+D11+E11-F11</f>
        <v>1880359.095</v>
      </c>
      <c r="H11" s="8">
        <f t="shared" ref="H11:H46" si="4">+H10-G11</f>
        <v>79119640.91</v>
      </c>
      <c r="J11" s="5"/>
      <c r="L11" s="40">
        <v>45641.0</v>
      </c>
      <c r="M11" s="34" t="s">
        <v>44</v>
      </c>
      <c r="N11" s="35" t="s">
        <v>822</v>
      </c>
      <c r="O11" s="36"/>
      <c r="P11" s="36">
        <v>1000000.0</v>
      </c>
      <c r="Q11" s="36"/>
      <c r="R11" s="36"/>
      <c r="S11" s="36">
        <f t="shared" ref="S11:S29" si="5">SUM(O11:R11)</f>
        <v>1000000</v>
      </c>
      <c r="T11" s="36">
        <f t="shared" ref="T11:T29" si="6">T10-S11</f>
        <v>104852927</v>
      </c>
      <c r="U11" s="34" t="s">
        <v>823</v>
      </c>
    </row>
    <row r="12" ht="15.75" customHeight="1">
      <c r="A12" s="29">
        <v>45792.0</v>
      </c>
      <c r="B12" s="2" t="s">
        <v>824</v>
      </c>
      <c r="C12" s="30">
        <v>45792.0</v>
      </c>
      <c r="D12" s="8">
        <f t="shared" si="1"/>
        <v>2690359.095</v>
      </c>
      <c r="E12" s="15"/>
      <c r="F12" s="8">
        <f t="shared" si="2"/>
        <v>791196.4091</v>
      </c>
      <c r="G12" s="8">
        <f t="shared" si="3"/>
        <v>1899162.686</v>
      </c>
      <c r="H12" s="8">
        <f t="shared" si="4"/>
        <v>77220478.22</v>
      </c>
      <c r="J12" s="5"/>
      <c r="L12" s="33">
        <v>45679.0</v>
      </c>
      <c r="M12" s="34" t="s">
        <v>44</v>
      </c>
      <c r="N12" s="35" t="s">
        <v>825</v>
      </c>
      <c r="O12" s="36"/>
      <c r="P12" s="36">
        <v>2666666.0</v>
      </c>
      <c r="Q12" s="36"/>
      <c r="R12" s="36"/>
      <c r="S12" s="36">
        <f t="shared" si="5"/>
        <v>2666666</v>
      </c>
      <c r="T12" s="36">
        <f t="shared" si="6"/>
        <v>102186261</v>
      </c>
      <c r="U12" s="34"/>
    </row>
    <row r="13" ht="15.75" customHeight="1">
      <c r="A13" s="29">
        <v>45823.0</v>
      </c>
      <c r="B13" s="2" t="s">
        <v>826</v>
      </c>
      <c r="C13" s="30">
        <v>45823.0</v>
      </c>
      <c r="D13" s="8">
        <f t="shared" si="1"/>
        <v>2690359.095</v>
      </c>
      <c r="E13" s="15">
        <f>2666667-D13</f>
        <v>-23692.09484</v>
      </c>
      <c r="F13" s="8">
        <f t="shared" si="2"/>
        <v>772204.7822</v>
      </c>
      <c r="G13" s="8">
        <f t="shared" si="3"/>
        <v>1894462.218</v>
      </c>
      <c r="H13" s="8">
        <f t="shared" si="4"/>
        <v>75326016</v>
      </c>
      <c r="J13" s="5" t="s">
        <v>56</v>
      </c>
      <c r="L13" s="33">
        <v>45703.0</v>
      </c>
      <c r="M13" s="34" t="s">
        <v>44</v>
      </c>
      <c r="N13" s="35" t="s">
        <v>827</v>
      </c>
      <c r="O13" s="36"/>
      <c r="P13" s="36">
        <v>2666667.0</v>
      </c>
      <c r="Q13" s="36"/>
      <c r="R13" s="36"/>
      <c r="S13" s="36">
        <f t="shared" si="5"/>
        <v>2666667</v>
      </c>
      <c r="T13" s="36">
        <f t="shared" si="6"/>
        <v>99519594</v>
      </c>
      <c r="U13" s="34"/>
    </row>
    <row r="14" ht="15.75" customHeight="1">
      <c r="A14" s="29">
        <v>45853.0</v>
      </c>
      <c r="B14" s="2" t="s">
        <v>828</v>
      </c>
      <c r="C14" s="30">
        <v>45853.0</v>
      </c>
      <c r="D14" s="8">
        <f t="shared" si="1"/>
        <v>2690359.095</v>
      </c>
      <c r="E14" s="15">
        <f t="shared" ref="E14:E15" si="7">2690400-D14</f>
        <v>40.90515906</v>
      </c>
      <c r="F14" s="8">
        <f t="shared" si="2"/>
        <v>753260.16</v>
      </c>
      <c r="G14" s="8">
        <f t="shared" si="3"/>
        <v>1937139.84</v>
      </c>
      <c r="H14" s="8">
        <f t="shared" si="4"/>
        <v>73388876.16</v>
      </c>
      <c r="J14" s="8">
        <f>+H10</f>
        <v>81000000</v>
      </c>
      <c r="L14" s="33">
        <v>45730.0</v>
      </c>
      <c r="M14" s="34" t="s">
        <v>44</v>
      </c>
      <c r="N14" s="35" t="s">
        <v>829</v>
      </c>
      <c r="O14" s="36"/>
      <c r="P14" s="36">
        <v>2666667.0</v>
      </c>
      <c r="Q14" s="36"/>
      <c r="R14" s="36"/>
      <c r="S14" s="36">
        <f t="shared" si="5"/>
        <v>2666667</v>
      </c>
      <c r="T14" s="36">
        <f t="shared" si="6"/>
        <v>96852927</v>
      </c>
      <c r="U14" s="34"/>
    </row>
    <row r="15" ht="15.75" customHeight="1">
      <c r="A15" s="29">
        <v>45884.0</v>
      </c>
      <c r="B15" s="2" t="s">
        <v>830</v>
      </c>
      <c r="C15" s="30">
        <v>45884.0</v>
      </c>
      <c r="D15" s="8">
        <f t="shared" si="1"/>
        <v>2690359.095</v>
      </c>
      <c r="E15" s="15">
        <f t="shared" si="7"/>
        <v>40.90515906</v>
      </c>
      <c r="F15" s="8">
        <f t="shared" si="2"/>
        <v>733888.7616</v>
      </c>
      <c r="G15" s="8">
        <f t="shared" si="3"/>
        <v>1956511.238</v>
      </c>
      <c r="H15" s="8">
        <f t="shared" si="4"/>
        <v>71432364.92</v>
      </c>
      <c r="J15" s="5"/>
      <c r="L15" s="33">
        <v>45762.0</v>
      </c>
      <c r="M15" s="34" t="s">
        <v>73</v>
      </c>
      <c r="N15" s="35" t="s">
        <v>821</v>
      </c>
      <c r="O15" s="36"/>
      <c r="P15" s="36">
        <v>2690359.0</v>
      </c>
      <c r="Q15" s="36"/>
      <c r="R15" s="36"/>
      <c r="S15" s="36">
        <f t="shared" si="5"/>
        <v>2690359</v>
      </c>
      <c r="T15" s="36">
        <f t="shared" si="6"/>
        <v>94162568</v>
      </c>
      <c r="U15" s="34"/>
    </row>
    <row r="16" ht="15.75" customHeight="1">
      <c r="A16" s="29">
        <v>45945.0</v>
      </c>
      <c r="B16" s="2" t="s">
        <v>831</v>
      </c>
      <c r="C16" s="30">
        <v>45915.0</v>
      </c>
      <c r="D16" s="8">
        <f t="shared" si="1"/>
        <v>2690359.095</v>
      </c>
      <c r="E16" s="15"/>
      <c r="F16" s="8">
        <f t="shared" si="2"/>
        <v>714323.6492</v>
      </c>
      <c r="G16" s="8">
        <f t="shared" si="3"/>
        <v>1976035.446</v>
      </c>
      <c r="H16" s="8">
        <f t="shared" si="4"/>
        <v>69456329.48</v>
      </c>
      <c r="J16" s="5"/>
      <c r="L16" s="33">
        <v>45792.0</v>
      </c>
      <c r="M16" s="34" t="s">
        <v>78</v>
      </c>
      <c r="N16" s="35" t="s">
        <v>824</v>
      </c>
      <c r="O16" s="36"/>
      <c r="P16" s="36">
        <v>2690359.0</v>
      </c>
      <c r="Q16" s="36"/>
      <c r="R16" s="36"/>
      <c r="S16" s="36">
        <f t="shared" si="5"/>
        <v>2690359</v>
      </c>
      <c r="T16" s="36">
        <f t="shared" si="6"/>
        <v>91472209</v>
      </c>
      <c r="U16" s="34"/>
    </row>
    <row r="17" ht="15.75" customHeight="1">
      <c r="A17" s="29">
        <v>45976.0</v>
      </c>
      <c r="B17" s="2" t="s">
        <v>832</v>
      </c>
      <c r="C17" s="30">
        <v>45945.0</v>
      </c>
      <c r="D17" s="8">
        <f t="shared" si="1"/>
        <v>2690359.095</v>
      </c>
      <c r="E17" s="15"/>
      <c r="F17" s="8">
        <f t="shared" si="2"/>
        <v>694563.2948</v>
      </c>
      <c r="G17" s="8">
        <f t="shared" si="3"/>
        <v>1995795.8</v>
      </c>
      <c r="H17" s="8">
        <f t="shared" si="4"/>
        <v>67460533.68</v>
      </c>
      <c r="J17" s="5"/>
      <c r="L17" s="33">
        <v>45823.0</v>
      </c>
      <c r="M17" s="34" t="s">
        <v>83</v>
      </c>
      <c r="N17" s="35" t="s">
        <v>826</v>
      </c>
      <c r="O17" s="36"/>
      <c r="P17" s="36">
        <v>2666667.0</v>
      </c>
      <c r="Q17" s="36"/>
      <c r="R17" s="36"/>
      <c r="S17" s="36">
        <f t="shared" si="5"/>
        <v>2666667</v>
      </c>
      <c r="T17" s="36">
        <f t="shared" si="6"/>
        <v>88805542</v>
      </c>
      <c r="U17" s="34"/>
    </row>
    <row r="18" ht="15.75" customHeight="1">
      <c r="A18" s="29">
        <v>45976.0</v>
      </c>
      <c r="B18" s="2" t="s">
        <v>832</v>
      </c>
      <c r="C18" s="30">
        <v>45976.0</v>
      </c>
      <c r="D18" s="8">
        <f t="shared" si="1"/>
        <v>2690359.095</v>
      </c>
      <c r="E18" s="15"/>
      <c r="F18" s="8">
        <f t="shared" si="2"/>
        <v>674605.3368</v>
      </c>
      <c r="G18" s="8">
        <f t="shared" si="3"/>
        <v>2015753.758</v>
      </c>
      <c r="H18" s="8">
        <f t="shared" si="4"/>
        <v>65444779.92</v>
      </c>
      <c r="J18" s="5"/>
      <c r="L18" s="33">
        <v>45853.0</v>
      </c>
      <c r="M18" s="34" t="s">
        <v>85</v>
      </c>
      <c r="N18" s="35" t="s">
        <v>828</v>
      </c>
      <c r="O18" s="36"/>
      <c r="P18" s="36">
        <v>2690400.0</v>
      </c>
      <c r="Q18" s="36"/>
      <c r="R18" s="36"/>
      <c r="S18" s="36">
        <f t="shared" si="5"/>
        <v>2690400</v>
      </c>
      <c r="T18" s="36">
        <f t="shared" si="6"/>
        <v>86115142</v>
      </c>
      <c r="U18" s="34"/>
    </row>
    <row r="19" ht="15.75" customHeight="1">
      <c r="A19" s="29">
        <v>46006.0</v>
      </c>
      <c r="B19" s="2" t="s">
        <v>833</v>
      </c>
      <c r="C19" s="30">
        <v>46006.0</v>
      </c>
      <c r="D19" s="8">
        <f t="shared" si="1"/>
        <v>2690359.095</v>
      </c>
      <c r="E19" s="15">
        <f>2690359-D19-613242</f>
        <v>-613242.0948</v>
      </c>
      <c r="F19" s="8">
        <f t="shared" si="2"/>
        <v>654447.7992</v>
      </c>
      <c r="G19" s="8">
        <f t="shared" si="3"/>
        <v>1422669.201</v>
      </c>
      <c r="H19" s="8">
        <f t="shared" si="4"/>
        <v>64022110.72</v>
      </c>
      <c r="I19" s="1"/>
      <c r="J19" s="41"/>
      <c r="K19" s="1"/>
      <c r="L19" s="42">
        <v>45884.0</v>
      </c>
      <c r="M19" s="43" t="s">
        <v>89</v>
      </c>
      <c r="N19" s="44" t="s">
        <v>830</v>
      </c>
      <c r="O19" s="45"/>
      <c r="P19" s="45">
        <v>2690400.0</v>
      </c>
      <c r="Q19" s="45"/>
      <c r="R19" s="45"/>
      <c r="S19" s="45">
        <f t="shared" si="5"/>
        <v>2690400</v>
      </c>
      <c r="T19" s="45">
        <f t="shared" si="6"/>
        <v>83424742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46037.0</v>
      </c>
      <c r="B20" s="2" t="s">
        <v>834</v>
      </c>
      <c r="C20" s="30">
        <v>46037.0</v>
      </c>
      <c r="D20" s="8">
        <f t="shared" si="1"/>
        <v>2690359.095</v>
      </c>
      <c r="E20" s="15"/>
      <c r="F20" s="8">
        <f t="shared" si="2"/>
        <v>640221.1072</v>
      </c>
      <c r="G20" s="8">
        <f t="shared" si="3"/>
        <v>2050137.988</v>
      </c>
      <c r="H20" s="8">
        <f t="shared" si="4"/>
        <v>61971972.73</v>
      </c>
      <c r="J20" s="5"/>
      <c r="L20" s="33">
        <v>45945.0</v>
      </c>
      <c r="M20" s="34" t="s">
        <v>93</v>
      </c>
      <c r="N20" s="35" t="s">
        <v>831</v>
      </c>
      <c r="O20" s="36"/>
      <c r="P20" s="36">
        <v>2690359.0</v>
      </c>
      <c r="Q20" s="36"/>
      <c r="R20" s="36"/>
      <c r="S20" s="36">
        <f t="shared" si="5"/>
        <v>2690359</v>
      </c>
      <c r="T20" s="36">
        <f t="shared" si="6"/>
        <v>80734383</v>
      </c>
      <c r="U20" s="34"/>
    </row>
    <row r="21" ht="15.75" customHeight="1">
      <c r="A21" s="29">
        <v>46078.0</v>
      </c>
      <c r="B21" s="2" t="s">
        <v>835</v>
      </c>
      <c r="C21" s="30">
        <v>46068.0</v>
      </c>
      <c r="D21" s="8">
        <f t="shared" si="1"/>
        <v>2690359.095</v>
      </c>
      <c r="E21" s="15"/>
      <c r="F21" s="8">
        <f t="shared" si="2"/>
        <v>619719.7273</v>
      </c>
      <c r="G21" s="8">
        <f t="shared" si="3"/>
        <v>2070639.368</v>
      </c>
      <c r="H21" s="8">
        <f t="shared" si="4"/>
        <v>59901333.36</v>
      </c>
      <c r="J21" s="5"/>
      <c r="L21" s="33">
        <v>45976.0</v>
      </c>
      <c r="M21" s="34" t="s">
        <v>257</v>
      </c>
      <c r="N21" s="35" t="s">
        <v>832</v>
      </c>
      <c r="O21" s="36"/>
      <c r="P21" s="36">
        <v>2990359.0</v>
      </c>
      <c r="Q21" s="36"/>
      <c r="R21" s="36"/>
      <c r="S21" s="36">
        <f t="shared" si="5"/>
        <v>2990359</v>
      </c>
      <c r="T21" s="36">
        <f t="shared" si="6"/>
        <v>77744024</v>
      </c>
      <c r="U21" s="34"/>
    </row>
    <row r="22" ht="15.75" customHeight="1">
      <c r="A22" s="29">
        <v>46096.0</v>
      </c>
      <c r="B22" s="2" t="s">
        <v>836</v>
      </c>
      <c r="C22" s="30">
        <v>46096.0</v>
      </c>
      <c r="D22" s="8">
        <f t="shared" si="1"/>
        <v>2690359.095</v>
      </c>
      <c r="E22" s="15">
        <f>2690400-D22</f>
        <v>40.90515906</v>
      </c>
      <c r="F22" s="8">
        <f t="shared" si="2"/>
        <v>599013.3336</v>
      </c>
      <c r="G22" s="8">
        <f t="shared" si="3"/>
        <v>2091386.666</v>
      </c>
      <c r="H22" s="8">
        <f t="shared" si="4"/>
        <v>57809946.7</v>
      </c>
      <c r="J22" s="5"/>
      <c r="L22" s="33">
        <v>46006.0</v>
      </c>
      <c r="M22" s="34" t="s">
        <v>103</v>
      </c>
      <c r="N22" s="35" t="s">
        <v>833</v>
      </c>
      <c r="O22" s="36"/>
      <c r="P22" s="36">
        <v>2690359.0</v>
      </c>
      <c r="Q22" s="36"/>
      <c r="R22" s="36"/>
      <c r="S22" s="36">
        <f t="shared" si="5"/>
        <v>2690359</v>
      </c>
      <c r="T22" s="36">
        <f t="shared" si="6"/>
        <v>75053665</v>
      </c>
      <c r="U22" s="34"/>
    </row>
    <row r="23" ht="15.75" customHeight="1">
      <c r="A23" s="29">
        <v>46127.0</v>
      </c>
      <c r="B23" s="2" t="s">
        <v>837</v>
      </c>
      <c r="C23" s="30">
        <v>46127.0</v>
      </c>
      <c r="D23" s="8">
        <f t="shared" si="1"/>
        <v>2690359.095</v>
      </c>
      <c r="E23" s="8"/>
      <c r="F23" s="8">
        <f t="shared" si="2"/>
        <v>578099.467</v>
      </c>
      <c r="G23" s="8">
        <f t="shared" si="3"/>
        <v>2112259.628</v>
      </c>
      <c r="H23" s="8">
        <f t="shared" si="4"/>
        <v>55697687.07</v>
      </c>
      <c r="J23" s="5"/>
      <c r="L23" s="33">
        <v>46037.0</v>
      </c>
      <c r="M23" s="34" t="s">
        <v>107</v>
      </c>
      <c r="N23" s="35" t="s">
        <v>834</v>
      </c>
      <c r="O23" s="36"/>
      <c r="P23" s="36">
        <v>2690359.0</v>
      </c>
      <c r="Q23" s="36"/>
      <c r="R23" s="36"/>
      <c r="S23" s="36">
        <f t="shared" si="5"/>
        <v>2690359</v>
      </c>
      <c r="T23" s="36">
        <f t="shared" si="6"/>
        <v>72363306</v>
      </c>
      <c r="U23" s="34"/>
    </row>
    <row r="24" ht="15.75" customHeight="1">
      <c r="A24" s="29">
        <v>46157.0</v>
      </c>
      <c r="B24" s="2" t="s">
        <v>838</v>
      </c>
      <c r="C24" s="30">
        <v>46157.0</v>
      </c>
      <c r="D24" s="8">
        <f t="shared" si="1"/>
        <v>2690359.095</v>
      </c>
      <c r="E24" s="46"/>
      <c r="F24" s="8">
        <f t="shared" si="2"/>
        <v>556976.8707</v>
      </c>
      <c r="G24" s="8">
        <f t="shared" si="3"/>
        <v>2133382.224</v>
      </c>
      <c r="H24" s="8">
        <f t="shared" si="4"/>
        <v>53564304.85</v>
      </c>
      <c r="J24" s="5"/>
      <c r="L24" s="33">
        <v>46078.0</v>
      </c>
      <c r="M24" s="34" t="s">
        <v>112</v>
      </c>
      <c r="N24" s="35" t="s">
        <v>835</v>
      </c>
      <c r="O24" s="36"/>
      <c r="P24" s="36">
        <v>2690359.0</v>
      </c>
      <c r="Q24" s="36"/>
      <c r="R24" s="36"/>
      <c r="S24" s="36">
        <f t="shared" si="5"/>
        <v>2690359</v>
      </c>
      <c r="T24" s="36">
        <f t="shared" si="6"/>
        <v>69672947</v>
      </c>
      <c r="U24" s="34"/>
    </row>
    <row r="25" ht="15.75" customHeight="1">
      <c r="A25" s="29">
        <v>46187.0</v>
      </c>
      <c r="B25" s="2" t="s">
        <v>839</v>
      </c>
      <c r="C25" s="30">
        <v>46188.0</v>
      </c>
      <c r="D25" s="8">
        <f t="shared" si="1"/>
        <v>2690359.095</v>
      </c>
      <c r="E25" s="46"/>
      <c r="F25" s="8">
        <f t="shared" si="2"/>
        <v>535643.0485</v>
      </c>
      <c r="G25" s="8">
        <f t="shared" si="3"/>
        <v>2154716.046</v>
      </c>
      <c r="H25" s="8">
        <f t="shared" si="4"/>
        <v>51409588.8</v>
      </c>
      <c r="J25" s="5"/>
      <c r="L25" s="33">
        <v>46096.0</v>
      </c>
      <c r="M25" s="34" t="s">
        <v>115</v>
      </c>
      <c r="N25" s="35" t="s">
        <v>836</v>
      </c>
      <c r="O25" s="36"/>
      <c r="P25" s="36">
        <v>2690400.0</v>
      </c>
      <c r="Q25" s="36"/>
      <c r="R25" s="36"/>
      <c r="S25" s="36">
        <f t="shared" si="5"/>
        <v>2690400</v>
      </c>
      <c r="T25" s="36">
        <f t="shared" si="6"/>
        <v>66982547</v>
      </c>
      <c r="U25" s="34"/>
    </row>
    <row r="26" ht="15.75" customHeight="1">
      <c r="A26" s="29">
        <v>46218.0</v>
      </c>
      <c r="B26" s="2" t="s">
        <v>840</v>
      </c>
      <c r="C26" s="30">
        <v>46218.0</v>
      </c>
      <c r="D26" s="8">
        <f t="shared" si="1"/>
        <v>2690359.095</v>
      </c>
      <c r="E26" s="46"/>
      <c r="F26" s="8">
        <f t="shared" si="2"/>
        <v>514095.888</v>
      </c>
      <c r="G26" s="8">
        <f t="shared" si="3"/>
        <v>2176263.207</v>
      </c>
      <c r="H26" s="8">
        <f t="shared" si="4"/>
        <v>49233325.59</v>
      </c>
      <c r="J26" s="5"/>
      <c r="L26" s="33">
        <v>46127.0</v>
      </c>
      <c r="M26" s="34" t="s">
        <v>116</v>
      </c>
      <c r="N26" s="35" t="s">
        <v>837</v>
      </c>
      <c r="O26" s="36"/>
      <c r="P26" s="36">
        <v>2690359.0</v>
      </c>
      <c r="Q26" s="36"/>
      <c r="R26" s="36"/>
      <c r="S26" s="36">
        <f t="shared" si="5"/>
        <v>2690359</v>
      </c>
      <c r="T26" s="36">
        <f t="shared" si="6"/>
        <v>64292188</v>
      </c>
      <c r="U26" s="34"/>
    </row>
    <row r="27" ht="15.75" customHeight="1">
      <c r="B27" s="2"/>
      <c r="C27" s="30">
        <v>46249.0</v>
      </c>
      <c r="D27" s="8">
        <f t="shared" si="1"/>
        <v>2690359.095</v>
      </c>
      <c r="E27" s="46"/>
      <c r="F27" s="8">
        <f t="shared" si="2"/>
        <v>492333.2559</v>
      </c>
      <c r="G27" s="8">
        <f t="shared" si="3"/>
        <v>2198025.839</v>
      </c>
      <c r="H27" s="8">
        <f t="shared" si="4"/>
        <v>47035299.75</v>
      </c>
      <c r="J27" s="5"/>
      <c r="L27" s="33">
        <v>46157.0</v>
      </c>
      <c r="M27" s="34" t="s">
        <v>118</v>
      </c>
      <c r="N27" s="35" t="s">
        <v>838</v>
      </c>
      <c r="O27" s="36"/>
      <c r="P27" s="36">
        <v>2690359.0</v>
      </c>
      <c r="Q27" s="36"/>
      <c r="R27" s="36"/>
      <c r="S27" s="36">
        <f t="shared" si="5"/>
        <v>2690359</v>
      </c>
      <c r="T27" s="36">
        <f t="shared" si="6"/>
        <v>61601829</v>
      </c>
      <c r="U27" s="34"/>
    </row>
    <row r="28" ht="15.75" customHeight="1">
      <c r="B28" s="2"/>
      <c r="C28" s="30">
        <v>46280.0</v>
      </c>
      <c r="D28" s="8">
        <f t="shared" si="1"/>
        <v>2690359.095</v>
      </c>
      <c r="E28" s="46"/>
      <c r="F28" s="8">
        <f t="shared" si="2"/>
        <v>470352.9975</v>
      </c>
      <c r="G28" s="8">
        <f t="shared" si="3"/>
        <v>2220006.097</v>
      </c>
      <c r="H28" s="8">
        <f t="shared" si="4"/>
        <v>44815293.66</v>
      </c>
      <c r="J28" s="5"/>
      <c r="L28" s="33">
        <v>46187.0</v>
      </c>
      <c r="M28" s="34" t="s">
        <v>120</v>
      </c>
      <c r="N28" s="35" t="s">
        <v>839</v>
      </c>
      <c r="O28" s="36"/>
      <c r="P28" s="36">
        <v>2690359.0</v>
      </c>
      <c r="Q28" s="36"/>
      <c r="R28" s="36"/>
      <c r="S28" s="36">
        <f t="shared" si="5"/>
        <v>2690359</v>
      </c>
      <c r="T28" s="36">
        <f t="shared" si="6"/>
        <v>58911470</v>
      </c>
      <c r="U28" s="34"/>
    </row>
    <row r="29" ht="15.75" customHeight="1">
      <c r="B29" s="2"/>
      <c r="C29" s="30">
        <v>46310.0</v>
      </c>
      <c r="D29" s="8">
        <f t="shared" si="1"/>
        <v>2690359.095</v>
      </c>
      <c r="E29" s="46"/>
      <c r="F29" s="8">
        <f t="shared" si="2"/>
        <v>448152.9366</v>
      </c>
      <c r="G29" s="8">
        <f t="shared" si="3"/>
        <v>2242206.158</v>
      </c>
      <c r="H29" s="8">
        <f t="shared" si="4"/>
        <v>42573087.5</v>
      </c>
      <c r="J29" s="5"/>
      <c r="L29" s="33">
        <v>46218.0</v>
      </c>
      <c r="M29" s="34" t="s">
        <v>122</v>
      </c>
      <c r="N29" s="35" t="s">
        <v>840</v>
      </c>
      <c r="O29" s="36"/>
      <c r="P29" s="36">
        <v>2690359.0</v>
      </c>
      <c r="Q29" s="36"/>
      <c r="R29" s="36"/>
      <c r="S29" s="36">
        <f t="shared" si="5"/>
        <v>2690359</v>
      </c>
      <c r="T29" s="36">
        <f t="shared" si="6"/>
        <v>56221111</v>
      </c>
      <c r="U29" s="34"/>
    </row>
    <row r="30" ht="15.75" customHeight="1">
      <c r="B30" s="2"/>
      <c r="C30" s="30">
        <v>46341.0</v>
      </c>
      <c r="D30" s="8">
        <f t="shared" si="1"/>
        <v>2690359.095</v>
      </c>
      <c r="E30" s="46"/>
      <c r="F30" s="8">
        <f t="shared" si="2"/>
        <v>425730.875</v>
      </c>
      <c r="G30" s="8">
        <f t="shared" si="3"/>
        <v>2264628.22</v>
      </c>
      <c r="H30" s="8">
        <f t="shared" si="4"/>
        <v>40308459.28</v>
      </c>
      <c r="J30" s="5"/>
      <c r="L30" s="25"/>
      <c r="M30" s="38" t="s">
        <v>69</v>
      </c>
      <c r="N30" s="39"/>
      <c r="O30" s="27">
        <f t="shared" ref="O30:S30" si="8">SUM(O11:O29)</f>
        <v>0</v>
      </c>
      <c r="P30" s="27">
        <f t="shared" si="8"/>
        <v>49631816</v>
      </c>
      <c r="Q30" s="27">
        <f t="shared" si="8"/>
        <v>0</v>
      </c>
      <c r="R30" s="27">
        <f t="shared" si="8"/>
        <v>0</v>
      </c>
      <c r="S30" s="27">
        <f t="shared" si="8"/>
        <v>49631816</v>
      </c>
      <c r="T30" s="27">
        <f>T29</f>
        <v>56221111</v>
      </c>
      <c r="U30" s="25"/>
    </row>
    <row r="31" ht="15.75" customHeight="1">
      <c r="B31" s="2"/>
      <c r="C31" s="30">
        <v>46371.0</v>
      </c>
      <c r="D31" s="8">
        <f t="shared" si="1"/>
        <v>2690359.095</v>
      </c>
      <c r="E31" s="46"/>
      <c r="F31" s="8">
        <f t="shared" si="2"/>
        <v>403084.5928</v>
      </c>
      <c r="G31" s="8">
        <f t="shared" si="3"/>
        <v>2287274.502</v>
      </c>
      <c r="H31" s="8">
        <f t="shared" si="4"/>
        <v>38021184.78</v>
      </c>
      <c r="J31" s="5"/>
    </row>
    <row r="32" ht="15.75" customHeight="1">
      <c r="B32" s="2"/>
      <c r="C32" s="30">
        <v>46402.0</v>
      </c>
      <c r="D32" s="8">
        <f t="shared" si="1"/>
        <v>2690359.095</v>
      </c>
      <c r="E32" s="46"/>
      <c r="F32" s="8">
        <f t="shared" si="2"/>
        <v>380211.8478</v>
      </c>
      <c r="G32" s="8">
        <f t="shared" si="3"/>
        <v>2310147.247</v>
      </c>
      <c r="H32" s="8">
        <f t="shared" si="4"/>
        <v>35711037.53</v>
      </c>
      <c r="J32" s="5"/>
    </row>
    <row r="33" ht="15.75" customHeight="1">
      <c r="B33" s="2"/>
      <c r="C33" s="30">
        <v>46433.0</v>
      </c>
      <c r="D33" s="8">
        <f t="shared" si="1"/>
        <v>2690359.095</v>
      </c>
      <c r="E33" s="46"/>
      <c r="F33" s="8">
        <f t="shared" si="2"/>
        <v>357110.3753</v>
      </c>
      <c r="G33" s="8">
        <f t="shared" si="3"/>
        <v>2333248.72</v>
      </c>
      <c r="H33" s="8">
        <f t="shared" si="4"/>
        <v>33377788.81</v>
      </c>
      <c r="J33" s="5"/>
    </row>
    <row r="34" ht="15.75" customHeight="1">
      <c r="B34" s="2"/>
      <c r="C34" s="30">
        <v>46461.0</v>
      </c>
      <c r="D34" s="8">
        <f t="shared" si="1"/>
        <v>2690359.095</v>
      </c>
      <c r="E34" s="46"/>
      <c r="F34" s="8">
        <f t="shared" si="2"/>
        <v>333777.8881</v>
      </c>
      <c r="G34" s="8">
        <f t="shared" si="3"/>
        <v>2356581.207</v>
      </c>
      <c r="H34" s="8">
        <f t="shared" si="4"/>
        <v>31021207.6</v>
      </c>
      <c r="J34" s="5"/>
    </row>
    <row r="35" ht="15.75" customHeight="1">
      <c r="B35" s="2"/>
      <c r="C35" s="30">
        <v>46492.0</v>
      </c>
      <c r="D35" s="8">
        <f t="shared" si="1"/>
        <v>2690359.095</v>
      </c>
      <c r="E35" s="46"/>
      <c r="F35" s="8">
        <f t="shared" si="2"/>
        <v>310212.076</v>
      </c>
      <c r="G35" s="8">
        <f t="shared" si="3"/>
        <v>2380147.019</v>
      </c>
      <c r="H35" s="8">
        <f t="shared" si="4"/>
        <v>28641060.58</v>
      </c>
      <c r="J35" s="5"/>
    </row>
    <row r="36" ht="15.75" customHeight="1">
      <c r="B36" s="2"/>
      <c r="C36" s="30">
        <v>46522.0</v>
      </c>
      <c r="D36" s="8">
        <f t="shared" si="1"/>
        <v>2690359.095</v>
      </c>
      <c r="E36" s="46"/>
      <c r="F36" s="8">
        <f t="shared" si="2"/>
        <v>286410.6058</v>
      </c>
      <c r="G36" s="8">
        <f t="shared" si="3"/>
        <v>2403948.489</v>
      </c>
      <c r="H36" s="8">
        <f t="shared" si="4"/>
        <v>26237112.09</v>
      </c>
      <c r="J36" s="5"/>
    </row>
    <row r="37" ht="15.75" customHeight="1">
      <c r="B37" s="2"/>
      <c r="C37" s="30">
        <v>46553.0</v>
      </c>
      <c r="D37" s="8">
        <f t="shared" si="1"/>
        <v>2690359.095</v>
      </c>
      <c r="E37" s="46"/>
      <c r="F37" s="8">
        <f t="shared" si="2"/>
        <v>262371.1209</v>
      </c>
      <c r="G37" s="8">
        <f t="shared" si="3"/>
        <v>2427987.974</v>
      </c>
      <c r="H37" s="8">
        <f t="shared" si="4"/>
        <v>23809124.12</v>
      </c>
      <c r="J37" s="5"/>
    </row>
    <row r="38" ht="15.75" customHeight="1">
      <c r="B38" s="2"/>
      <c r="C38" s="30">
        <v>46583.0</v>
      </c>
      <c r="D38" s="8">
        <f t="shared" si="1"/>
        <v>2690359.095</v>
      </c>
      <c r="E38" s="46"/>
      <c r="F38" s="8">
        <f t="shared" si="2"/>
        <v>238091.2412</v>
      </c>
      <c r="G38" s="8">
        <f t="shared" si="3"/>
        <v>2452267.854</v>
      </c>
      <c r="H38" s="8">
        <f t="shared" si="4"/>
        <v>21356856.27</v>
      </c>
      <c r="J38" s="5"/>
    </row>
    <row r="39" ht="15.75" customHeight="1">
      <c r="B39" s="2"/>
      <c r="C39" s="30">
        <v>46614.0</v>
      </c>
      <c r="D39" s="8">
        <f t="shared" si="1"/>
        <v>2690359.095</v>
      </c>
      <c r="E39" s="46"/>
      <c r="F39" s="8">
        <f t="shared" si="2"/>
        <v>213568.5627</v>
      </c>
      <c r="G39" s="8">
        <f t="shared" si="3"/>
        <v>2476790.532</v>
      </c>
      <c r="H39" s="8">
        <f t="shared" si="4"/>
        <v>18880065.73</v>
      </c>
      <c r="J39" s="5"/>
    </row>
    <row r="40" ht="15.75" customHeight="1">
      <c r="B40" s="2"/>
      <c r="C40" s="30">
        <v>46645.0</v>
      </c>
      <c r="D40" s="8">
        <f t="shared" si="1"/>
        <v>2690359.095</v>
      </c>
      <c r="E40" s="46"/>
      <c r="F40" s="8">
        <f t="shared" si="2"/>
        <v>188800.6573</v>
      </c>
      <c r="G40" s="8">
        <f t="shared" si="3"/>
        <v>2501558.437</v>
      </c>
      <c r="H40" s="8">
        <f t="shared" si="4"/>
        <v>16378507.3</v>
      </c>
      <c r="J40" s="5"/>
    </row>
    <row r="41" ht="15.75" customHeight="1">
      <c r="B41" s="2"/>
      <c r="C41" s="30">
        <v>46675.0</v>
      </c>
      <c r="D41" s="8">
        <f t="shared" si="1"/>
        <v>2690359.095</v>
      </c>
      <c r="E41" s="46"/>
      <c r="F41" s="8">
        <f t="shared" si="2"/>
        <v>163785.073</v>
      </c>
      <c r="G41" s="8">
        <f t="shared" si="3"/>
        <v>2526574.022</v>
      </c>
      <c r="H41" s="8">
        <f t="shared" si="4"/>
        <v>13851933.28</v>
      </c>
      <c r="J41" s="5"/>
    </row>
    <row r="42" ht="15.75" customHeight="1">
      <c r="B42" s="2"/>
      <c r="C42" s="30">
        <v>46706.0</v>
      </c>
      <c r="D42" s="8">
        <f t="shared" si="1"/>
        <v>2690359.095</v>
      </c>
      <c r="E42" s="46"/>
      <c r="F42" s="8">
        <f t="shared" si="2"/>
        <v>138519.3328</v>
      </c>
      <c r="G42" s="8">
        <f t="shared" si="3"/>
        <v>2551839.762</v>
      </c>
      <c r="H42" s="8">
        <f t="shared" si="4"/>
        <v>11300093.51</v>
      </c>
      <c r="J42" s="5"/>
    </row>
    <row r="43" ht="15.75" customHeight="1">
      <c r="B43" s="2"/>
      <c r="C43" s="30">
        <v>46736.0</v>
      </c>
      <c r="D43" s="8">
        <f t="shared" si="1"/>
        <v>2690359.095</v>
      </c>
      <c r="E43" s="46"/>
      <c r="F43" s="8">
        <f t="shared" si="2"/>
        <v>113000.9351</v>
      </c>
      <c r="G43" s="8">
        <f t="shared" si="3"/>
        <v>2577358.16</v>
      </c>
      <c r="H43" s="8">
        <f t="shared" si="4"/>
        <v>8722735.353</v>
      </c>
      <c r="J43" s="5"/>
    </row>
    <row r="44" ht="15.75" customHeight="1">
      <c r="B44" s="2"/>
      <c r="C44" s="30">
        <v>46767.0</v>
      </c>
      <c r="D44" s="8">
        <f t="shared" si="1"/>
        <v>2690359.095</v>
      </c>
      <c r="E44" s="46"/>
      <c r="F44" s="8">
        <f t="shared" si="2"/>
        <v>87227.35353</v>
      </c>
      <c r="G44" s="8">
        <f t="shared" si="3"/>
        <v>2603131.741</v>
      </c>
      <c r="H44" s="8">
        <f t="shared" si="4"/>
        <v>6119603.612</v>
      </c>
      <c r="J44" s="5"/>
    </row>
    <row r="45" ht="15.75" customHeight="1">
      <c r="B45" s="2"/>
      <c r="C45" s="30">
        <v>46798.0</v>
      </c>
      <c r="D45" s="8">
        <f t="shared" si="1"/>
        <v>2690359.095</v>
      </c>
      <c r="E45" s="46"/>
      <c r="F45" s="8">
        <f t="shared" si="2"/>
        <v>61196.03612</v>
      </c>
      <c r="G45" s="8">
        <f t="shared" si="3"/>
        <v>2629163.059</v>
      </c>
      <c r="H45" s="8">
        <f t="shared" si="4"/>
        <v>3490440.553</v>
      </c>
      <c r="J45" s="5"/>
    </row>
    <row r="46" ht="15.75" customHeight="1">
      <c r="B46" s="2"/>
      <c r="C46" s="30">
        <v>46827.0</v>
      </c>
      <c r="D46" s="8">
        <f t="shared" si="1"/>
        <v>2690359.095</v>
      </c>
      <c r="E46" s="46"/>
      <c r="F46" s="8">
        <f t="shared" si="2"/>
        <v>34904.40553</v>
      </c>
      <c r="G46" s="8">
        <f t="shared" si="3"/>
        <v>2655454.689</v>
      </c>
      <c r="H46" s="8">
        <f t="shared" si="4"/>
        <v>834985.8639</v>
      </c>
      <c r="J46" s="5"/>
    </row>
    <row r="47" ht="15.75" customHeight="1">
      <c r="B47" s="2"/>
      <c r="C47" s="13"/>
      <c r="E47" s="9"/>
      <c r="J47" s="5"/>
    </row>
    <row r="48" ht="15.75" customHeight="1">
      <c r="B48" s="2"/>
      <c r="C48" s="13"/>
      <c r="E48" s="9"/>
      <c r="J48" s="5"/>
    </row>
    <row r="49" ht="15.75" customHeight="1">
      <c r="B49" s="2"/>
      <c r="C49" s="13"/>
      <c r="E49" s="9"/>
      <c r="J49" s="5"/>
    </row>
    <row r="50" ht="15.75" customHeight="1">
      <c r="B50" s="2"/>
      <c r="C50" s="13"/>
      <c r="E50" s="9"/>
      <c r="J50" s="5"/>
    </row>
    <row r="51" ht="15.75" customHeight="1">
      <c r="B51" s="2"/>
      <c r="C51" s="13"/>
      <c r="E51" s="9"/>
      <c r="J51" s="5"/>
    </row>
    <row r="52" ht="15.75" customHeight="1">
      <c r="B52" s="2"/>
      <c r="C52" s="13"/>
      <c r="E52" s="9"/>
      <c r="J52" s="5"/>
    </row>
    <row r="53" ht="15.75" customHeight="1">
      <c r="B53" s="2"/>
      <c r="E53" s="9"/>
      <c r="J53" s="5"/>
    </row>
    <row r="54" ht="15.75" customHeight="1">
      <c r="B54" s="2"/>
      <c r="E54" s="9"/>
      <c r="J54" s="5"/>
    </row>
    <row r="55" ht="15.75" customHeight="1">
      <c r="B55" s="2"/>
      <c r="E55" s="9"/>
      <c r="J55" s="5"/>
    </row>
    <row r="56" ht="15.75" customHeight="1">
      <c r="B56" s="2"/>
      <c r="E56" s="9"/>
      <c r="J56" s="5"/>
    </row>
    <row r="57" ht="15.75" customHeight="1">
      <c r="B57" s="2"/>
      <c r="E57" s="9"/>
      <c r="J57" s="5"/>
    </row>
    <row r="58" ht="15.75" customHeight="1">
      <c r="B58" s="2"/>
      <c r="E58" s="9"/>
      <c r="J58" s="5"/>
    </row>
    <row r="59" ht="15.75" customHeight="1">
      <c r="B59" s="2"/>
      <c r="E59" s="9"/>
      <c r="J59" s="5"/>
    </row>
    <row r="60" ht="15.75" customHeight="1">
      <c r="B60" s="2"/>
      <c r="E60" s="9"/>
      <c r="J60" s="5"/>
    </row>
    <row r="61" ht="15.75" customHeight="1">
      <c r="B61" s="2"/>
      <c r="E61" s="9"/>
      <c r="J61" s="5"/>
    </row>
    <row r="62" ht="15.75" customHeight="1">
      <c r="B62" s="2"/>
      <c r="E62" s="9"/>
      <c r="J62" s="5"/>
    </row>
    <row r="63" ht="15.75" customHeight="1">
      <c r="B63" s="2"/>
      <c r="E63" s="9"/>
      <c r="J63" s="5"/>
    </row>
    <row r="64" ht="15.75" customHeight="1">
      <c r="B64" s="2"/>
      <c r="E64" s="9"/>
      <c r="J64" s="5"/>
    </row>
    <row r="65" ht="15.75" customHeight="1">
      <c r="B65" s="2"/>
      <c r="E65" s="9"/>
      <c r="J65" s="5"/>
    </row>
    <row r="66" ht="15.75" customHeight="1">
      <c r="B66" s="2"/>
      <c r="E66" s="9"/>
      <c r="J66" s="5"/>
    </row>
    <row r="67" ht="15.75" customHeight="1">
      <c r="B67" s="2"/>
      <c r="E67" s="9"/>
      <c r="J67" s="5"/>
    </row>
    <row r="68" ht="15.75" customHeight="1">
      <c r="B68" s="2"/>
      <c r="E68" s="9"/>
      <c r="J68" s="5"/>
    </row>
    <row r="69" ht="15.75" customHeight="1">
      <c r="B69" s="2"/>
      <c r="E69" s="9"/>
      <c r="J69" s="5"/>
    </row>
    <row r="70" ht="15.75" customHeight="1">
      <c r="B70" s="2"/>
      <c r="E70" s="9"/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7.22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841</v>
      </c>
      <c r="J1" s="5"/>
    </row>
    <row r="2" ht="15.75" customHeight="1">
      <c r="B2" s="2"/>
      <c r="C2" s="1" t="s">
        <v>6</v>
      </c>
      <c r="D2" s="6">
        <f>+A5*10%</f>
        <v>9000000</v>
      </c>
      <c r="E2" s="7"/>
      <c r="J2" s="5"/>
    </row>
    <row r="3" ht="15.75" customHeight="1">
      <c r="B3" s="2"/>
      <c r="C3" s="1" t="s">
        <v>7</v>
      </c>
      <c r="D3" s="8">
        <f>+A5-D2</f>
        <v>81000000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9.0E7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1801800.262</v>
      </c>
      <c r="E6" s="12"/>
      <c r="H6" s="5"/>
      <c r="J6" s="5"/>
    </row>
    <row r="7" ht="15.75" customHeight="1">
      <c r="B7" s="2"/>
      <c r="C7" s="1" t="s">
        <v>12</v>
      </c>
      <c r="D7" s="20" t="s">
        <v>842</v>
      </c>
      <c r="H7" s="5"/>
      <c r="J7" s="5"/>
    </row>
    <row r="8" ht="15.75" customHeight="1">
      <c r="B8" s="2"/>
      <c r="C8" s="1" t="s">
        <v>16</v>
      </c>
      <c r="D8" s="2">
        <v>6.7003049E7</v>
      </c>
      <c r="H8" s="5"/>
      <c r="I8" s="17"/>
      <c r="J8" s="19"/>
      <c r="K8" s="17"/>
      <c r="L8" s="21" t="s">
        <v>843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81000000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1.17108016E8</v>
      </c>
      <c r="U10" s="25"/>
    </row>
    <row r="11" ht="15.75" customHeight="1">
      <c r="A11" s="29">
        <v>45761.0</v>
      </c>
      <c r="B11" s="2" t="s">
        <v>844</v>
      </c>
      <c r="C11" s="30">
        <v>45762.0</v>
      </c>
      <c r="D11" s="8">
        <f t="shared" ref="D11:D70" si="1">$D$6</f>
        <v>1801800.262</v>
      </c>
      <c r="E11" s="15">
        <f>2266667-D11</f>
        <v>464866.7375</v>
      </c>
      <c r="F11" s="8">
        <f t="shared" ref="F11:F70" si="2">+H10*$D$4</f>
        <v>810000</v>
      </c>
      <c r="G11" s="8">
        <f t="shared" ref="G11:G70" si="3">+D11+E11-F11</f>
        <v>1456667</v>
      </c>
      <c r="H11" s="8">
        <f t="shared" ref="H11:H70" si="4">+H10-G11</f>
        <v>79543333</v>
      </c>
      <c r="J11" s="5"/>
      <c r="L11" s="40">
        <v>45641.0</v>
      </c>
      <c r="M11" s="34" t="s">
        <v>44</v>
      </c>
      <c r="N11" s="35" t="s">
        <v>845</v>
      </c>
      <c r="O11" s="36"/>
      <c r="P11" s="36">
        <v>1000000.0</v>
      </c>
      <c r="Q11" s="36"/>
      <c r="R11" s="36"/>
      <c r="S11" s="36">
        <f t="shared" ref="S11:S31" si="5">SUM(O11:R11)</f>
        <v>1000000</v>
      </c>
      <c r="T11" s="36">
        <f t="shared" ref="T11:T31" si="6">T10-S11</f>
        <v>116108016</v>
      </c>
      <c r="U11" s="34" t="s">
        <v>823</v>
      </c>
    </row>
    <row r="12" ht="15.75" customHeight="1">
      <c r="A12" s="29">
        <v>45792.0</v>
      </c>
      <c r="B12" s="2" t="s">
        <v>846</v>
      </c>
      <c r="C12" s="30">
        <v>45792.0</v>
      </c>
      <c r="D12" s="8">
        <f t="shared" si="1"/>
        <v>1801800.262</v>
      </c>
      <c r="E12" s="15"/>
      <c r="F12" s="8">
        <f t="shared" si="2"/>
        <v>795433.33</v>
      </c>
      <c r="G12" s="8">
        <f t="shared" si="3"/>
        <v>1006366.932</v>
      </c>
      <c r="H12" s="8">
        <f t="shared" si="4"/>
        <v>78536966.07</v>
      </c>
      <c r="J12" s="5"/>
      <c r="L12" s="33">
        <v>45679.0</v>
      </c>
      <c r="M12" s="34" t="s">
        <v>44</v>
      </c>
      <c r="N12" s="35" t="s">
        <v>847</v>
      </c>
      <c r="O12" s="36"/>
      <c r="P12" s="36">
        <v>2666667.0</v>
      </c>
      <c r="Q12" s="36"/>
      <c r="R12" s="36"/>
      <c r="S12" s="36">
        <f t="shared" si="5"/>
        <v>2666667</v>
      </c>
      <c r="T12" s="36">
        <f t="shared" si="6"/>
        <v>113441349</v>
      </c>
      <c r="U12" s="34"/>
    </row>
    <row r="13" ht="15.75" customHeight="1">
      <c r="A13" s="29">
        <v>45822.0</v>
      </c>
      <c r="B13" s="2" t="s">
        <v>848</v>
      </c>
      <c r="C13" s="30">
        <v>45823.0</v>
      </c>
      <c r="D13" s="8">
        <f t="shared" si="1"/>
        <v>1801800.262</v>
      </c>
      <c r="E13" s="15">
        <f>1802000-D13</f>
        <v>199.737523</v>
      </c>
      <c r="F13" s="8">
        <f t="shared" si="2"/>
        <v>785369.6607</v>
      </c>
      <c r="G13" s="8">
        <f t="shared" si="3"/>
        <v>1016630.339</v>
      </c>
      <c r="H13" s="8">
        <f t="shared" si="4"/>
        <v>77520335.73</v>
      </c>
      <c r="J13" s="5" t="s">
        <v>56</v>
      </c>
      <c r="L13" s="33">
        <v>45703.0</v>
      </c>
      <c r="M13" s="34" t="s">
        <v>44</v>
      </c>
      <c r="N13" s="35" t="s">
        <v>849</v>
      </c>
      <c r="O13" s="36"/>
      <c r="P13" s="36">
        <v>2666667.0</v>
      </c>
      <c r="Q13" s="36"/>
      <c r="R13" s="36"/>
      <c r="S13" s="36">
        <f t="shared" si="5"/>
        <v>2666667</v>
      </c>
      <c r="T13" s="36">
        <f t="shared" si="6"/>
        <v>110774682</v>
      </c>
      <c r="U13" s="34"/>
    </row>
    <row r="14" ht="15.75" customHeight="1">
      <c r="A14" s="29">
        <v>45853.0</v>
      </c>
      <c r="B14" s="2" t="s">
        <v>850</v>
      </c>
      <c r="C14" s="30">
        <v>45853.0</v>
      </c>
      <c r="D14" s="8">
        <f t="shared" si="1"/>
        <v>1801800.262</v>
      </c>
      <c r="E14" s="15"/>
      <c r="F14" s="8">
        <f t="shared" si="2"/>
        <v>775203.3573</v>
      </c>
      <c r="G14" s="8">
        <f t="shared" si="3"/>
        <v>1026596.905</v>
      </c>
      <c r="H14" s="8">
        <f t="shared" si="4"/>
        <v>76493738.82</v>
      </c>
      <c r="J14" s="8">
        <f>+H10</f>
        <v>81000000</v>
      </c>
      <c r="L14" s="33">
        <v>45729.0</v>
      </c>
      <c r="M14" s="34" t="s">
        <v>44</v>
      </c>
      <c r="N14" s="35" t="s">
        <v>851</v>
      </c>
      <c r="O14" s="36"/>
      <c r="P14" s="36">
        <v>2666667.0</v>
      </c>
      <c r="Q14" s="36"/>
      <c r="R14" s="36"/>
      <c r="S14" s="36">
        <f t="shared" si="5"/>
        <v>2666667</v>
      </c>
      <c r="T14" s="36">
        <f t="shared" si="6"/>
        <v>108108015</v>
      </c>
      <c r="U14" s="34"/>
    </row>
    <row r="15" ht="15.75" customHeight="1">
      <c r="A15" s="29">
        <v>45894.0</v>
      </c>
      <c r="B15" s="2" t="s">
        <v>853</v>
      </c>
      <c r="C15" s="30">
        <v>45884.0</v>
      </c>
      <c r="D15" s="8">
        <f t="shared" si="1"/>
        <v>1801800.262</v>
      </c>
      <c r="E15" s="15">
        <f>400000+1402000-D15</f>
        <v>199.737523</v>
      </c>
      <c r="F15" s="8">
        <f t="shared" si="2"/>
        <v>764937.3882</v>
      </c>
      <c r="G15" s="8">
        <f t="shared" si="3"/>
        <v>1037062.612</v>
      </c>
      <c r="H15" s="8">
        <f t="shared" si="4"/>
        <v>75456676.21</v>
      </c>
      <c r="J15" s="5"/>
      <c r="L15" s="33">
        <v>45761.0</v>
      </c>
      <c r="M15" s="34" t="s">
        <v>73</v>
      </c>
      <c r="N15" s="35" t="s">
        <v>844</v>
      </c>
      <c r="O15" s="36"/>
      <c r="P15" s="36">
        <v>2266667.0</v>
      </c>
      <c r="Q15" s="36"/>
      <c r="R15" s="36"/>
      <c r="S15" s="36">
        <f t="shared" si="5"/>
        <v>2266667</v>
      </c>
      <c r="T15" s="36">
        <f t="shared" si="6"/>
        <v>105841348</v>
      </c>
      <c r="U15" s="34"/>
    </row>
    <row r="16" ht="15.75" customHeight="1">
      <c r="A16" s="29">
        <v>45917.0</v>
      </c>
      <c r="B16" s="2" t="s">
        <v>854</v>
      </c>
      <c r="C16" s="30">
        <v>45915.0</v>
      </c>
      <c r="D16" s="8">
        <f t="shared" si="1"/>
        <v>1801800.262</v>
      </c>
      <c r="E16" s="15"/>
      <c r="F16" s="8">
        <f t="shared" si="2"/>
        <v>754566.7621</v>
      </c>
      <c r="G16" s="8">
        <f t="shared" si="3"/>
        <v>1047233.5</v>
      </c>
      <c r="H16" s="8">
        <f t="shared" si="4"/>
        <v>74409442.71</v>
      </c>
      <c r="J16" s="5"/>
      <c r="L16" s="33">
        <v>45792.0</v>
      </c>
      <c r="M16" s="34" t="s">
        <v>78</v>
      </c>
      <c r="N16" s="35" t="s">
        <v>846</v>
      </c>
      <c r="O16" s="36"/>
      <c r="P16" s="36">
        <v>1801800.0</v>
      </c>
      <c r="Q16" s="36"/>
      <c r="R16" s="36"/>
      <c r="S16" s="36">
        <f t="shared" si="5"/>
        <v>1801800</v>
      </c>
      <c r="T16" s="36">
        <f t="shared" si="6"/>
        <v>104039548</v>
      </c>
      <c r="U16" s="34"/>
    </row>
    <row r="17" ht="15.75" customHeight="1">
      <c r="A17" s="29">
        <v>45943.0</v>
      </c>
      <c r="B17" s="2" t="s">
        <v>855</v>
      </c>
      <c r="C17" s="30">
        <v>45945.0</v>
      </c>
      <c r="D17" s="8">
        <f t="shared" si="1"/>
        <v>1801800.262</v>
      </c>
      <c r="E17" s="15"/>
      <c r="F17" s="8">
        <f t="shared" si="2"/>
        <v>744094.4271</v>
      </c>
      <c r="G17" s="8">
        <f t="shared" si="3"/>
        <v>1057705.835</v>
      </c>
      <c r="H17" s="8">
        <f t="shared" si="4"/>
        <v>73351736.88</v>
      </c>
      <c r="J17" s="5"/>
      <c r="L17" s="33">
        <v>45822.0</v>
      </c>
      <c r="M17" s="34" t="s">
        <v>83</v>
      </c>
      <c r="N17" s="35" t="s">
        <v>848</v>
      </c>
      <c r="O17" s="36"/>
      <c r="P17" s="36">
        <v>1802000.0</v>
      </c>
      <c r="Q17" s="36"/>
      <c r="R17" s="36"/>
      <c r="S17" s="36">
        <f t="shared" si="5"/>
        <v>1802000</v>
      </c>
      <c r="T17" s="36">
        <f t="shared" si="6"/>
        <v>102237548</v>
      </c>
      <c r="U17" s="34"/>
    </row>
    <row r="18" ht="15.75" customHeight="1">
      <c r="A18" s="29">
        <v>45971.0</v>
      </c>
      <c r="B18" s="2" t="s">
        <v>856</v>
      </c>
      <c r="C18" s="30">
        <v>45976.0</v>
      </c>
      <c r="D18" s="8">
        <f t="shared" si="1"/>
        <v>1801800.262</v>
      </c>
      <c r="E18" s="15">
        <f>1502000+200+2690600-D18</f>
        <v>2390999.738</v>
      </c>
      <c r="F18" s="8">
        <f t="shared" si="2"/>
        <v>733517.3688</v>
      </c>
      <c r="G18" s="8">
        <f t="shared" si="3"/>
        <v>3459282.631</v>
      </c>
      <c r="H18" s="8">
        <f t="shared" si="4"/>
        <v>69892454.24</v>
      </c>
      <c r="J18" s="5"/>
      <c r="L18" s="33">
        <v>45853.0</v>
      </c>
      <c r="M18" s="34" t="s">
        <v>85</v>
      </c>
      <c r="N18" s="35" t="s">
        <v>850</v>
      </c>
      <c r="O18" s="36"/>
      <c r="P18" s="36">
        <v>1801800.0</v>
      </c>
      <c r="Q18" s="36"/>
      <c r="R18" s="36"/>
      <c r="S18" s="36">
        <f t="shared" si="5"/>
        <v>1801800</v>
      </c>
      <c r="T18" s="36">
        <f t="shared" si="6"/>
        <v>100435748</v>
      </c>
      <c r="U18" s="34"/>
    </row>
    <row r="19" ht="15.75" customHeight="1">
      <c r="A19" s="29">
        <v>46006.0</v>
      </c>
      <c r="B19" s="2" t="s">
        <v>857</v>
      </c>
      <c r="C19" s="30">
        <v>46006.0</v>
      </c>
      <c r="D19" s="8">
        <f t="shared" si="1"/>
        <v>1801800.262</v>
      </c>
      <c r="E19" s="15"/>
      <c r="F19" s="8">
        <f t="shared" si="2"/>
        <v>698924.5424</v>
      </c>
      <c r="G19" s="8">
        <f t="shared" si="3"/>
        <v>1102875.72</v>
      </c>
      <c r="H19" s="8">
        <f t="shared" si="4"/>
        <v>68789578.52</v>
      </c>
      <c r="I19" s="1"/>
      <c r="J19" s="41"/>
      <c r="K19" s="1"/>
      <c r="L19" s="42">
        <v>45894.0</v>
      </c>
      <c r="M19" s="43" t="s">
        <v>89</v>
      </c>
      <c r="N19" s="44" t="s">
        <v>853</v>
      </c>
      <c r="O19" s="45"/>
      <c r="P19" s="45">
        <v>1802000.0</v>
      </c>
      <c r="Q19" s="45"/>
      <c r="R19" s="45"/>
      <c r="S19" s="45">
        <f t="shared" si="5"/>
        <v>1802000</v>
      </c>
      <c r="T19" s="45">
        <f t="shared" si="6"/>
        <v>98633748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46030.0</v>
      </c>
      <c r="B20" s="2" t="s">
        <v>859</v>
      </c>
      <c r="C20" s="30">
        <v>46037.0</v>
      </c>
      <c r="D20" s="8">
        <f t="shared" si="1"/>
        <v>1801800.262</v>
      </c>
      <c r="E20" s="15">
        <f t="shared" ref="E20:E27" si="7">1802000-D20</f>
        <v>199.737523</v>
      </c>
      <c r="F20" s="8">
        <f t="shared" si="2"/>
        <v>687895.7852</v>
      </c>
      <c r="G20" s="8">
        <f t="shared" si="3"/>
        <v>1114104.215</v>
      </c>
      <c r="H20" s="8">
        <f t="shared" si="4"/>
        <v>67675474.31</v>
      </c>
      <c r="J20" s="5"/>
      <c r="L20" s="33">
        <v>45917.0</v>
      </c>
      <c r="M20" s="34" t="s">
        <v>93</v>
      </c>
      <c r="N20" s="35" t="s">
        <v>854</v>
      </c>
      <c r="O20" s="36"/>
      <c r="P20" s="36">
        <v>4492400.0</v>
      </c>
      <c r="Q20" s="36"/>
      <c r="R20" s="36"/>
      <c r="S20" s="36">
        <f t="shared" si="5"/>
        <v>4492400</v>
      </c>
      <c r="T20" s="36">
        <f t="shared" si="6"/>
        <v>94141348</v>
      </c>
      <c r="U20" s="34"/>
    </row>
    <row r="21" ht="15.75" customHeight="1">
      <c r="A21" s="29">
        <v>46073.0</v>
      </c>
      <c r="B21" s="2" t="s">
        <v>861</v>
      </c>
      <c r="C21" s="30">
        <v>46068.0</v>
      </c>
      <c r="D21" s="8">
        <f t="shared" si="1"/>
        <v>1801800.262</v>
      </c>
      <c r="E21" s="15">
        <f t="shared" si="7"/>
        <v>199.737523</v>
      </c>
      <c r="F21" s="8">
        <f t="shared" si="2"/>
        <v>676754.7431</v>
      </c>
      <c r="G21" s="8">
        <f t="shared" si="3"/>
        <v>1125245.257</v>
      </c>
      <c r="H21" s="8">
        <f t="shared" si="4"/>
        <v>66550229.05</v>
      </c>
      <c r="J21" s="5"/>
      <c r="L21" s="33">
        <v>45943.0</v>
      </c>
      <c r="M21" s="34" t="s">
        <v>96</v>
      </c>
      <c r="N21" s="35" t="s">
        <v>855</v>
      </c>
      <c r="O21" s="36"/>
      <c r="P21" s="36">
        <v>1802000.0</v>
      </c>
      <c r="Q21" s="36"/>
      <c r="R21" s="36"/>
      <c r="S21" s="36">
        <f t="shared" si="5"/>
        <v>1802000</v>
      </c>
      <c r="T21" s="36">
        <f t="shared" si="6"/>
        <v>92339348</v>
      </c>
      <c r="U21" s="34"/>
    </row>
    <row r="22" ht="15.75" customHeight="1">
      <c r="A22" s="29">
        <v>46089.0</v>
      </c>
      <c r="B22" s="2" t="s">
        <v>862</v>
      </c>
      <c r="C22" s="30">
        <v>46096.0</v>
      </c>
      <c r="D22" s="8">
        <f t="shared" si="1"/>
        <v>1801800.262</v>
      </c>
      <c r="E22" s="15">
        <f t="shared" si="7"/>
        <v>199.737523</v>
      </c>
      <c r="F22" s="8">
        <f t="shared" si="2"/>
        <v>665502.2905</v>
      </c>
      <c r="G22" s="8">
        <f t="shared" si="3"/>
        <v>1136497.709</v>
      </c>
      <c r="H22" s="8">
        <f t="shared" si="4"/>
        <v>65413731.34</v>
      </c>
      <c r="J22" s="5"/>
      <c r="L22" s="33">
        <v>45971.0</v>
      </c>
      <c r="M22" s="34" t="s">
        <v>100</v>
      </c>
      <c r="N22" s="35" t="s">
        <v>856</v>
      </c>
      <c r="O22" s="36"/>
      <c r="P22" s="36">
        <v>1502000.0</v>
      </c>
      <c r="Q22" s="36"/>
      <c r="R22" s="36"/>
      <c r="S22" s="36">
        <f t="shared" si="5"/>
        <v>1502000</v>
      </c>
      <c r="T22" s="36">
        <f t="shared" si="6"/>
        <v>90837348</v>
      </c>
      <c r="U22" s="34"/>
    </row>
    <row r="23" ht="15.75" customHeight="1">
      <c r="A23" s="29">
        <v>46126.0</v>
      </c>
      <c r="B23" s="2" t="s">
        <v>864</v>
      </c>
      <c r="C23" s="30">
        <v>46127.0</v>
      </c>
      <c r="D23" s="8">
        <f t="shared" si="1"/>
        <v>1801800.262</v>
      </c>
      <c r="E23" s="8">
        <f t="shared" si="7"/>
        <v>199.737523</v>
      </c>
      <c r="F23" s="8">
        <f t="shared" si="2"/>
        <v>654137.3134</v>
      </c>
      <c r="G23" s="8">
        <f t="shared" si="3"/>
        <v>1147862.687</v>
      </c>
      <c r="H23" s="8">
        <f t="shared" si="4"/>
        <v>64265868.66</v>
      </c>
      <c r="J23" s="5"/>
      <c r="L23" s="33">
        <v>46006.0</v>
      </c>
      <c r="M23" s="34" t="s">
        <v>103</v>
      </c>
      <c r="N23" s="35" t="s">
        <v>857</v>
      </c>
      <c r="O23" s="36"/>
      <c r="P23" s="36">
        <v>1801800.0</v>
      </c>
      <c r="Q23" s="36"/>
      <c r="R23" s="36"/>
      <c r="S23" s="36">
        <f t="shared" si="5"/>
        <v>1801800</v>
      </c>
      <c r="T23" s="36">
        <f t="shared" si="6"/>
        <v>89035548</v>
      </c>
      <c r="U23" s="34"/>
    </row>
    <row r="24" ht="15.75" customHeight="1">
      <c r="A24" s="29">
        <v>46157.0</v>
      </c>
      <c r="B24" s="2" t="s">
        <v>866</v>
      </c>
      <c r="C24" s="30">
        <v>46157.0</v>
      </c>
      <c r="D24" s="8">
        <f t="shared" si="1"/>
        <v>1801800.262</v>
      </c>
      <c r="E24" s="8">
        <f t="shared" si="7"/>
        <v>199.737523</v>
      </c>
      <c r="F24" s="8">
        <f t="shared" si="2"/>
        <v>642658.6866</v>
      </c>
      <c r="G24" s="8">
        <f t="shared" si="3"/>
        <v>1159341.313</v>
      </c>
      <c r="H24" s="8">
        <f t="shared" si="4"/>
        <v>63106527.34</v>
      </c>
      <c r="J24" s="5"/>
      <c r="L24" s="33">
        <v>46030.0</v>
      </c>
      <c r="M24" s="34" t="s">
        <v>107</v>
      </c>
      <c r="N24" s="35" t="s">
        <v>859</v>
      </c>
      <c r="O24" s="36"/>
      <c r="P24" s="36">
        <v>1802000.0</v>
      </c>
      <c r="Q24" s="36"/>
      <c r="R24" s="36"/>
      <c r="S24" s="36">
        <f t="shared" si="5"/>
        <v>1802000</v>
      </c>
      <c r="T24" s="36">
        <f t="shared" si="6"/>
        <v>87233548</v>
      </c>
      <c r="U24" s="34"/>
    </row>
    <row r="25" ht="15.75" customHeight="1">
      <c r="A25" s="29">
        <v>46189.0</v>
      </c>
      <c r="B25" s="2" t="s">
        <v>867</v>
      </c>
      <c r="C25" s="30">
        <v>46188.0</v>
      </c>
      <c r="D25" s="8">
        <f t="shared" si="1"/>
        <v>1801800.262</v>
      </c>
      <c r="E25" s="8">
        <f t="shared" si="7"/>
        <v>199.737523</v>
      </c>
      <c r="F25" s="8">
        <f t="shared" si="2"/>
        <v>631065.2734</v>
      </c>
      <c r="G25" s="8">
        <f t="shared" si="3"/>
        <v>1170934.727</v>
      </c>
      <c r="H25" s="8">
        <f t="shared" si="4"/>
        <v>61935592.62</v>
      </c>
      <c r="J25" s="5"/>
      <c r="L25" s="33">
        <v>46073.0</v>
      </c>
      <c r="M25" s="34" t="s">
        <v>112</v>
      </c>
      <c r="N25" s="35" t="s">
        <v>861</v>
      </c>
      <c r="O25" s="36"/>
      <c r="P25" s="36">
        <v>1802000.0</v>
      </c>
      <c r="Q25" s="36"/>
      <c r="R25" s="36"/>
      <c r="S25" s="36">
        <f t="shared" si="5"/>
        <v>1802000</v>
      </c>
      <c r="T25" s="36">
        <f t="shared" si="6"/>
        <v>85431548</v>
      </c>
      <c r="U25" s="34"/>
    </row>
    <row r="26" ht="15.75" customHeight="1">
      <c r="A26" s="29">
        <v>46218.0</v>
      </c>
      <c r="B26" s="2" t="s">
        <v>869</v>
      </c>
      <c r="C26" s="30">
        <v>46218.0</v>
      </c>
      <c r="D26" s="8">
        <f t="shared" si="1"/>
        <v>1801800.262</v>
      </c>
      <c r="E26" s="8">
        <f t="shared" si="7"/>
        <v>199.737523</v>
      </c>
      <c r="F26" s="8">
        <f t="shared" si="2"/>
        <v>619355.9262</v>
      </c>
      <c r="G26" s="8">
        <f t="shared" si="3"/>
        <v>1182644.074</v>
      </c>
      <c r="H26" s="8">
        <f t="shared" si="4"/>
        <v>60752948.54</v>
      </c>
      <c r="J26" s="5"/>
      <c r="L26" s="33">
        <v>46089.0</v>
      </c>
      <c r="M26" s="34" t="s">
        <v>115</v>
      </c>
      <c r="N26" s="35" t="s">
        <v>862</v>
      </c>
      <c r="O26" s="36"/>
      <c r="P26" s="36">
        <v>1802000.0</v>
      </c>
      <c r="Q26" s="36"/>
      <c r="R26" s="36"/>
      <c r="S26" s="36">
        <f t="shared" si="5"/>
        <v>1802000</v>
      </c>
      <c r="T26" s="36">
        <f t="shared" si="6"/>
        <v>83629548</v>
      </c>
      <c r="U26" s="34"/>
    </row>
    <row r="27" ht="15.75" customHeight="1">
      <c r="A27" s="29">
        <v>46263.0</v>
      </c>
      <c r="B27" s="2" t="s">
        <v>874</v>
      </c>
      <c r="C27" s="30">
        <v>46249.0</v>
      </c>
      <c r="D27" s="8">
        <f t="shared" si="1"/>
        <v>1801800.262</v>
      </c>
      <c r="E27" s="8">
        <f t="shared" si="7"/>
        <v>199.737523</v>
      </c>
      <c r="F27" s="8">
        <f t="shared" si="2"/>
        <v>607529.4854</v>
      </c>
      <c r="G27" s="8">
        <f t="shared" si="3"/>
        <v>1194470.515</v>
      </c>
      <c r="H27" s="8">
        <f t="shared" si="4"/>
        <v>59558478.03</v>
      </c>
      <c r="J27" s="5"/>
      <c r="L27" s="33">
        <v>46126.0</v>
      </c>
      <c r="M27" s="34" t="s">
        <v>116</v>
      </c>
      <c r="N27" s="35" t="s">
        <v>864</v>
      </c>
      <c r="O27" s="36"/>
      <c r="P27" s="36">
        <v>1802000.0</v>
      </c>
      <c r="Q27" s="36"/>
      <c r="R27" s="36"/>
      <c r="S27" s="36">
        <f t="shared" si="5"/>
        <v>1802000</v>
      </c>
      <c r="T27" s="36">
        <f t="shared" si="6"/>
        <v>81827548</v>
      </c>
      <c r="U27" s="34"/>
    </row>
    <row r="28" ht="15.75" customHeight="1">
      <c r="B28" s="2"/>
      <c r="C28" s="30">
        <v>46280.0</v>
      </c>
      <c r="D28" s="8">
        <f t="shared" si="1"/>
        <v>1801800.262</v>
      </c>
      <c r="E28" s="46"/>
      <c r="F28" s="8">
        <f t="shared" si="2"/>
        <v>595584.7803</v>
      </c>
      <c r="G28" s="8">
        <f t="shared" si="3"/>
        <v>1206215.482</v>
      </c>
      <c r="H28" s="8">
        <f t="shared" si="4"/>
        <v>58352262.55</v>
      </c>
      <c r="J28" s="5"/>
      <c r="L28" s="33">
        <v>46157.0</v>
      </c>
      <c r="M28" s="34" t="s">
        <v>118</v>
      </c>
      <c r="N28" s="35" t="s">
        <v>866</v>
      </c>
      <c r="O28" s="36"/>
      <c r="P28" s="36">
        <v>1802000.0</v>
      </c>
      <c r="Q28" s="36"/>
      <c r="R28" s="36"/>
      <c r="S28" s="36">
        <f t="shared" si="5"/>
        <v>1802000</v>
      </c>
      <c r="T28" s="36">
        <f t="shared" si="6"/>
        <v>80025548</v>
      </c>
      <c r="U28" s="34"/>
    </row>
    <row r="29" ht="15.75" customHeight="1">
      <c r="B29" s="2"/>
      <c r="C29" s="30">
        <v>46310.0</v>
      </c>
      <c r="D29" s="8">
        <f t="shared" si="1"/>
        <v>1801800.262</v>
      </c>
      <c r="E29" s="46"/>
      <c r="F29" s="8">
        <f t="shared" si="2"/>
        <v>583522.6255</v>
      </c>
      <c r="G29" s="8">
        <f t="shared" si="3"/>
        <v>1218277.637</v>
      </c>
      <c r="H29" s="8">
        <f t="shared" si="4"/>
        <v>57133984.91</v>
      </c>
      <c r="J29" s="5"/>
      <c r="L29" s="33">
        <v>46189.0</v>
      </c>
      <c r="M29" s="34" t="s">
        <v>120</v>
      </c>
      <c r="N29" s="35" t="s">
        <v>867</v>
      </c>
      <c r="O29" s="36"/>
      <c r="P29" s="36">
        <v>1802000.0</v>
      </c>
      <c r="Q29" s="36"/>
      <c r="R29" s="36"/>
      <c r="S29" s="36">
        <f t="shared" si="5"/>
        <v>1802000</v>
      </c>
      <c r="T29" s="36">
        <f t="shared" si="6"/>
        <v>78223548</v>
      </c>
      <c r="U29" s="34"/>
    </row>
    <row r="30" ht="15.75" customHeight="1">
      <c r="B30" s="2"/>
      <c r="C30" s="30">
        <v>46341.0</v>
      </c>
      <c r="D30" s="8">
        <f t="shared" si="1"/>
        <v>1801800.262</v>
      </c>
      <c r="E30" s="46"/>
      <c r="F30" s="8">
        <f t="shared" si="2"/>
        <v>571339.8491</v>
      </c>
      <c r="G30" s="8">
        <f t="shared" si="3"/>
        <v>1230460.413</v>
      </c>
      <c r="H30" s="8">
        <f t="shared" si="4"/>
        <v>55903524.5</v>
      </c>
      <c r="J30" s="5"/>
      <c r="L30" s="33">
        <v>46218.0</v>
      </c>
      <c r="M30" s="34" t="s">
        <v>122</v>
      </c>
      <c r="N30" s="35" t="s">
        <v>869</v>
      </c>
      <c r="O30" s="36"/>
      <c r="P30" s="36">
        <v>1802000.0</v>
      </c>
      <c r="Q30" s="36"/>
      <c r="R30" s="36"/>
      <c r="S30" s="36">
        <f t="shared" si="5"/>
        <v>1802000</v>
      </c>
      <c r="T30" s="36">
        <f t="shared" si="6"/>
        <v>76421548</v>
      </c>
      <c r="U30" s="34"/>
    </row>
    <row r="31" ht="15.75" customHeight="1">
      <c r="B31" s="2"/>
      <c r="C31" s="30">
        <v>46371.0</v>
      </c>
      <c r="D31" s="8">
        <f t="shared" si="1"/>
        <v>1801800.262</v>
      </c>
      <c r="E31" s="46"/>
      <c r="F31" s="8">
        <f t="shared" si="2"/>
        <v>559035.245</v>
      </c>
      <c r="G31" s="8">
        <f t="shared" si="3"/>
        <v>1242765.018</v>
      </c>
      <c r="H31" s="8">
        <f t="shared" si="4"/>
        <v>54660759.48</v>
      </c>
      <c r="J31" s="5"/>
      <c r="L31" s="40">
        <v>46263.0</v>
      </c>
      <c r="M31" s="34" t="s">
        <v>124</v>
      </c>
      <c r="N31" s="35" t="s">
        <v>874</v>
      </c>
      <c r="O31" s="36"/>
      <c r="P31" s="36"/>
      <c r="Q31" s="36"/>
      <c r="R31" s="36">
        <v>1802000.0</v>
      </c>
      <c r="S31" s="36">
        <f t="shared" si="5"/>
        <v>1802000</v>
      </c>
      <c r="T31" s="36">
        <f t="shared" si="6"/>
        <v>74619548</v>
      </c>
      <c r="U31" s="34" t="s">
        <v>125</v>
      </c>
    </row>
    <row r="32" ht="15.75" customHeight="1">
      <c r="B32" s="2"/>
      <c r="C32" s="30">
        <v>46402.0</v>
      </c>
      <c r="D32" s="8">
        <f t="shared" si="1"/>
        <v>1801800.262</v>
      </c>
      <c r="E32" s="46"/>
      <c r="F32" s="8">
        <f t="shared" si="2"/>
        <v>546607.5948</v>
      </c>
      <c r="G32" s="8">
        <f t="shared" si="3"/>
        <v>1255192.668</v>
      </c>
      <c r="H32" s="8">
        <f t="shared" si="4"/>
        <v>53405566.81</v>
      </c>
      <c r="J32" s="5"/>
      <c r="L32" s="25"/>
      <c r="M32" s="38" t="s">
        <v>69</v>
      </c>
      <c r="N32" s="39"/>
      <c r="O32" s="27">
        <f t="shared" ref="O32:S32" si="8">SUM(O11:O31)</f>
        <v>0</v>
      </c>
      <c r="P32" s="27">
        <f t="shared" si="8"/>
        <v>40686468</v>
      </c>
      <c r="Q32" s="27">
        <f t="shared" si="8"/>
        <v>0</v>
      </c>
      <c r="R32" s="27">
        <f t="shared" si="8"/>
        <v>1802000</v>
      </c>
      <c r="S32" s="27">
        <f t="shared" si="8"/>
        <v>42488468</v>
      </c>
      <c r="T32" s="27">
        <f>T31</f>
        <v>74619548</v>
      </c>
      <c r="U32" s="25"/>
    </row>
    <row r="33" ht="15.75" customHeight="1">
      <c r="B33" s="2"/>
      <c r="C33" s="30">
        <v>46433.0</v>
      </c>
      <c r="D33" s="8">
        <f t="shared" si="1"/>
        <v>1801800.262</v>
      </c>
      <c r="E33" s="46"/>
      <c r="F33" s="8">
        <f t="shared" si="2"/>
        <v>534055.6681</v>
      </c>
      <c r="G33" s="8">
        <f t="shared" si="3"/>
        <v>1267744.594</v>
      </c>
      <c r="H33" s="8">
        <f t="shared" si="4"/>
        <v>52137822.22</v>
      </c>
      <c r="J33" s="5"/>
    </row>
    <row r="34" ht="15.75" customHeight="1">
      <c r="B34" s="2"/>
      <c r="C34" s="30">
        <v>46461.0</v>
      </c>
      <c r="D34" s="8">
        <f t="shared" si="1"/>
        <v>1801800.262</v>
      </c>
      <c r="E34" s="46"/>
      <c r="F34" s="8">
        <f t="shared" si="2"/>
        <v>521378.2222</v>
      </c>
      <c r="G34" s="8">
        <f t="shared" si="3"/>
        <v>1280422.04</v>
      </c>
      <c r="H34" s="8">
        <f t="shared" si="4"/>
        <v>50857400.18</v>
      </c>
      <c r="J34" s="5"/>
    </row>
    <row r="35" ht="15.75" customHeight="1">
      <c r="B35" s="2"/>
      <c r="C35" s="30">
        <v>46492.0</v>
      </c>
      <c r="D35" s="8">
        <f t="shared" si="1"/>
        <v>1801800.262</v>
      </c>
      <c r="E35" s="46"/>
      <c r="F35" s="8">
        <f t="shared" si="2"/>
        <v>508574.0018</v>
      </c>
      <c r="G35" s="8">
        <f t="shared" si="3"/>
        <v>1293226.261</v>
      </c>
      <c r="H35" s="8">
        <f t="shared" si="4"/>
        <v>49564173.91</v>
      </c>
      <c r="J35" s="5"/>
    </row>
    <row r="36" ht="15.75" customHeight="1">
      <c r="B36" s="2"/>
      <c r="C36" s="30">
        <v>46522.0</v>
      </c>
      <c r="D36" s="8">
        <f t="shared" si="1"/>
        <v>1801800.262</v>
      </c>
      <c r="E36" s="46"/>
      <c r="F36" s="8">
        <f t="shared" si="2"/>
        <v>495641.7391</v>
      </c>
      <c r="G36" s="8">
        <f t="shared" si="3"/>
        <v>1306158.523</v>
      </c>
      <c r="H36" s="8">
        <f t="shared" si="4"/>
        <v>48258015.39</v>
      </c>
      <c r="J36" s="5"/>
    </row>
    <row r="37" ht="15.75" customHeight="1">
      <c r="B37" s="2"/>
      <c r="C37" s="30">
        <v>46553.0</v>
      </c>
      <c r="D37" s="8">
        <f t="shared" si="1"/>
        <v>1801800.262</v>
      </c>
      <c r="E37" s="46"/>
      <c r="F37" s="8">
        <f t="shared" si="2"/>
        <v>482580.1539</v>
      </c>
      <c r="G37" s="8">
        <f t="shared" si="3"/>
        <v>1319220.109</v>
      </c>
      <c r="H37" s="8">
        <f t="shared" si="4"/>
        <v>46938795.28</v>
      </c>
      <c r="J37" s="5"/>
    </row>
    <row r="38" ht="15.75" customHeight="1">
      <c r="B38" s="2"/>
      <c r="C38" s="30">
        <v>46583.0</v>
      </c>
      <c r="D38" s="8">
        <f t="shared" si="1"/>
        <v>1801800.262</v>
      </c>
      <c r="E38" s="46"/>
      <c r="F38" s="8">
        <f t="shared" si="2"/>
        <v>469387.9528</v>
      </c>
      <c r="G38" s="8">
        <f t="shared" si="3"/>
        <v>1332412.31</v>
      </c>
      <c r="H38" s="8">
        <f t="shared" si="4"/>
        <v>45606382.97</v>
      </c>
      <c r="J38" s="5"/>
    </row>
    <row r="39" ht="15.75" customHeight="1">
      <c r="B39" s="2"/>
      <c r="C39" s="30">
        <v>46614.0</v>
      </c>
      <c r="D39" s="8">
        <f t="shared" si="1"/>
        <v>1801800.262</v>
      </c>
      <c r="E39" s="46"/>
      <c r="F39" s="8">
        <f t="shared" si="2"/>
        <v>456063.8297</v>
      </c>
      <c r="G39" s="8">
        <f t="shared" si="3"/>
        <v>1345736.433</v>
      </c>
      <c r="H39" s="8">
        <f t="shared" si="4"/>
        <v>44260646.54</v>
      </c>
      <c r="J39" s="5"/>
    </row>
    <row r="40" ht="15.75" customHeight="1">
      <c r="B40" s="2"/>
      <c r="C40" s="30">
        <v>46645.0</v>
      </c>
      <c r="D40" s="8">
        <f t="shared" si="1"/>
        <v>1801800.262</v>
      </c>
      <c r="E40" s="46"/>
      <c r="F40" s="8">
        <f t="shared" si="2"/>
        <v>442606.4654</v>
      </c>
      <c r="G40" s="8">
        <f t="shared" si="3"/>
        <v>1359193.797</v>
      </c>
      <c r="H40" s="8">
        <f t="shared" si="4"/>
        <v>42901452.74</v>
      </c>
      <c r="J40" s="5"/>
    </row>
    <row r="41" ht="15.75" customHeight="1">
      <c r="B41" s="2"/>
      <c r="C41" s="30">
        <v>46675.0</v>
      </c>
      <c r="D41" s="8">
        <f t="shared" si="1"/>
        <v>1801800.262</v>
      </c>
      <c r="E41" s="46"/>
      <c r="F41" s="8">
        <f t="shared" si="2"/>
        <v>429014.5274</v>
      </c>
      <c r="G41" s="8">
        <f t="shared" si="3"/>
        <v>1372785.735</v>
      </c>
      <c r="H41" s="8">
        <f t="shared" si="4"/>
        <v>41528667.01</v>
      </c>
      <c r="J41" s="5"/>
    </row>
    <row r="42" ht="15.75" customHeight="1">
      <c r="B42" s="2"/>
      <c r="C42" s="30">
        <v>46706.0</v>
      </c>
      <c r="D42" s="8">
        <f t="shared" si="1"/>
        <v>1801800.262</v>
      </c>
      <c r="E42" s="46"/>
      <c r="F42" s="8">
        <f t="shared" si="2"/>
        <v>415286.6701</v>
      </c>
      <c r="G42" s="8">
        <f t="shared" si="3"/>
        <v>1386513.592</v>
      </c>
      <c r="H42" s="8">
        <f t="shared" si="4"/>
        <v>40142153.42</v>
      </c>
      <c r="J42" s="5"/>
    </row>
    <row r="43" ht="15.75" customHeight="1">
      <c r="B43" s="2"/>
      <c r="C43" s="30">
        <v>46736.0</v>
      </c>
      <c r="D43" s="8">
        <f t="shared" si="1"/>
        <v>1801800.262</v>
      </c>
      <c r="E43" s="46"/>
      <c r="F43" s="8">
        <f t="shared" si="2"/>
        <v>401421.5342</v>
      </c>
      <c r="G43" s="8">
        <f t="shared" si="3"/>
        <v>1400378.728</v>
      </c>
      <c r="H43" s="8">
        <f t="shared" si="4"/>
        <v>38741774.69</v>
      </c>
      <c r="J43" s="5"/>
    </row>
    <row r="44" ht="15.75" customHeight="1">
      <c r="B44" s="2"/>
      <c r="C44" s="30">
        <v>46767.0</v>
      </c>
      <c r="D44" s="8">
        <f t="shared" si="1"/>
        <v>1801800.262</v>
      </c>
      <c r="E44" s="46"/>
      <c r="F44" s="8">
        <f t="shared" si="2"/>
        <v>387417.7469</v>
      </c>
      <c r="G44" s="8">
        <f t="shared" si="3"/>
        <v>1414382.516</v>
      </c>
      <c r="H44" s="8">
        <f t="shared" si="4"/>
        <v>37327392.17</v>
      </c>
      <c r="J44" s="5"/>
    </row>
    <row r="45" ht="15.75" customHeight="1">
      <c r="B45" s="2"/>
      <c r="C45" s="30">
        <v>46798.0</v>
      </c>
      <c r="D45" s="8">
        <f t="shared" si="1"/>
        <v>1801800.262</v>
      </c>
      <c r="E45" s="46"/>
      <c r="F45" s="8">
        <f t="shared" si="2"/>
        <v>373273.9217</v>
      </c>
      <c r="G45" s="8">
        <f t="shared" si="3"/>
        <v>1428526.341</v>
      </c>
      <c r="H45" s="8">
        <f t="shared" si="4"/>
        <v>35898865.83</v>
      </c>
      <c r="J45" s="5"/>
    </row>
    <row r="46" ht="15.75" customHeight="1">
      <c r="B46" s="2"/>
      <c r="C46" s="30">
        <v>46827.0</v>
      </c>
      <c r="D46" s="8">
        <f t="shared" si="1"/>
        <v>1801800.262</v>
      </c>
      <c r="E46" s="46"/>
      <c r="F46" s="8">
        <f t="shared" si="2"/>
        <v>358988.6583</v>
      </c>
      <c r="G46" s="8">
        <f t="shared" si="3"/>
        <v>1442811.604</v>
      </c>
      <c r="H46" s="8">
        <f t="shared" si="4"/>
        <v>34456054.23</v>
      </c>
      <c r="J46" s="5"/>
    </row>
    <row r="47" ht="15.75" customHeight="1">
      <c r="B47" s="2"/>
      <c r="C47" s="30">
        <v>46858.0</v>
      </c>
      <c r="D47" s="8">
        <f t="shared" si="1"/>
        <v>1801800.262</v>
      </c>
      <c r="E47" s="46"/>
      <c r="F47" s="8">
        <f t="shared" si="2"/>
        <v>344560.5423</v>
      </c>
      <c r="G47" s="8">
        <f t="shared" si="3"/>
        <v>1457239.72</v>
      </c>
      <c r="H47" s="8">
        <f t="shared" si="4"/>
        <v>32998814.51</v>
      </c>
      <c r="J47" s="5"/>
    </row>
    <row r="48" ht="15.75" customHeight="1">
      <c r="B48" s="2"/>
      <c r="C48" s="30">
        <v>46888.0</v>
      </c>
      <c r="D48" s="8">
        <f t="shared" si="1"/>
        <v>1801800.262</v>
      </c>
      <c r="E48" s="46"/>
      <c r="F48" s="8">
        <f t="shared" si="2"/>
        <v>329988.1451</v>
      </c>
      <c r="G48" s="8">
        <f t="shared" si="3"/>
        <v>1471812.117</v>
      </c>
      <c r="H48" s="8">
        <f t="shared" si="4"/>
        <v>31527002.39</v>
      </c>
      <c r="J48" s="5"/>
    </row>
    <row r="49" ht="15.75" customHeight="1">
      <c r="B49" s="2"/>
      <c r="C49" s="30">
        <v>46919.0</v>
      </c>
      <c r="D49" s="8">
        <f t="shared" si="1"/>
        <v>1801800.262</v>
      </c>
      <c r="E49" s="46"/>
      <c r="F49" s="8">
        <f t="shared" si="2"/>
        <v>315270.0239</v>
      </c>
      <c r="G49" s="8">
        <f t="shared" si="3"/>
        <v>1486530.239</v>
      </c>
      <c r="H49" s="8">
        <f t="shared" si="4"/>
        <v>30040472.15</v>
      </c>
      <c r="J49" s="5"/>
    </row>
    <row r="50" ht="15.75" customHeight="1">
      <c r="B50" s="2"/>
      <c r="C50" s="30">
        <v>46949.0</v>
      </c>
      <c r="D50" s="8">
        <f t="shared" si="1"/>
        <v>1801800.262</v>
      </c>
      <c r="E50" s="46"/>
      <c r="F50" s="8">
        <f t="shared" si="2"/>
        <v>300404.7215</v>
      </c>
      <c r="G50" s="8">
        <f t="shared" si="3"/>
        <v>1501395.541</v>
      </c>
      <c r="H50" s="8">
        <f t="shared" si="4"/>
        <v>28539076.61</v>
      </c>
      <c r="J50" s="5"/>
    </row>
    <row r="51" ht="15.75" customHeight="1">
      <c r="B51" s="2"/>
      <c r="C51" s="30">
        <v>46980.0</v>
      </c>
      <c r="D51" s="8">
        <f t="shared" si="1"/>
        <v>1801800.262</v>
      </c>
      <c r="E51" s="46"/>
      <c r="F51" s="8">
        <f t="shared" si="2"/>
        <v>285390.7661</v>
      </c>
      <c r="G51" s="8">
        <f t="shared" si="3"/>
        <v>1516409.496</v>
      </c>
      <c r="H51" s="8">
        <f t="shared" si="4"/>
        <v>27022667.11</v>
      </c>
      <c r="J51" s="5"/>
    </row>
    <row r="52" ht="15.75" customHeight="1">
      <c r="B52" s="2"/>
      <c r="C52" s="30">
        <v>47011.0</v>
      </c>
      <c r="D52" s="8">
        <f t="shared" si="1"/>
        <v>1801800.262</v>
      </c>
      <c r="E52" s="46"/>
      <c r="F52" s="8">
        <f t="shared" si="2"/>
        <v>270226.6711</v>
      </c>
      <c r="G52" s="8">
        <f t="shared" si="3"/>
        <v>1531573.591</v>
      </c>
      <c r="H52" s="8">
        <f t="shared" si="4"/>
        <v>25491093.52</v>
      </c>
      <c r="J52" s="5"/>
    </row>
    <row r="53" ht="15.75" customHeight="1">
      <c r="B53" s="2"/>
      <c r="C53" s="30">
        <v>47041.0</v>
      </c>
      <c r="D53" s="8">
        <f t="shared" si="1"/>
        <v>1801800.262</v>
      </c>
      <c r="E53" s="46"/>
      <c r="F53" s="8">
        <f t="shared" si="2"/>
        <v>254910.9352</v>
      </c>
      <c r="G53" s="8">
        <f t="shared" si="3"/>
        <v>1546889.327</v>
      </c>
      <c r="H53" s="8">
        <f t="shared" si="4"/>
        <v>23944204.2</v>
      </c>
      <c r="J53" s="5"/>
    </row>
    <row r="54" ht="15.75" customHeight="1">
      <c r="B54" s="2"/>
      <c r="C54" s="30">
        <v>47072.0</v>
      </c>
      <c r="D54" s="8">
        <f t="shared" si="1"/>
        <v>1801800.262</v>
      </c>
      <c r="E54" s="46"/>
      <c r="F54" s="8">
        <f t="shared" si="2"/>
        <v>239442.042</v>
      </c>
      <c r="G54" s="8">
        <f t="shared" si="3"/>
        <v>1562358.221</v>
      </c>
      <c r="H54" s="8">
        <f t="shared" si="4"/>
        <v>22381845.97</v>
      </c>
      <c r="J54" s="5"/>
    </row>
    <row r="55" ht="15.75" customHeight="1">
      <c r="B55" s="2"/>
      <c r="C55" s="30">
        <v>47102.0</v>
      </c>
      <c r="D55" s="8">
        <f t="shared" si="1"/>
        <v>1801800.262</v>
      </c>
      <c r="E55" s="46"/>
      <c r="F55" s="8">
        <f t="shared" si="2"/>
        <v>223818.4597</v>
      </c>
      <c r="G55" s="8">
        <f t="shared" si="3"/>
        <v>1577981.803</v>
      </c>
      <c r="H55" s="8">
        <f t="shared" si="4"/>
        <v>20803864.17</v>
      </c>
      <c r="J55" s="5"/>
    </row>
    <row r="56" ht="15.75" customHeight="1">
      <c r="B56" s="2"/>
      <c r="C56" s="30">
        <v>47133.0</v>
      </c>
      <c r="D56" s="8">
        <f t="shared" si="1"/>
        <v>1801800.262</v>
      </c>
      <c r="E56" s="46"/>
      <c r="F56" s="8">
        <f t="shared" si="2"/>
        <v>208038.6417</v>
      </c>
      <c r="G56" s="8">
        <f t="shared" si="3"/>
        <v>1593761.621</v>
      </c>
      <c r="H56" s="8">
        <f t="shared" si="4"/>
        <v>19210102.55</v>
      </c>
      <c r="J56" s="5"/>
    </row>
    <row r="57" ht="15.75" customHeight="1">
      <c r="B57" s="2"/>
      <c r="C57" s="30">
        <v>47164.0</v>
      </c>
      <c r="D57" s="8">
        <f t="shared" si="1"/>
        <v>1801800.262</v>
      </c>
      <c r="E57" s="46"/>
      <c r="F57" s="8">
        <f t="shared" si="2"/>
        <v>192101.0255</v>
      </c>
      <c r="G57" s="8">
        <f t="shared" si="3"/>
        <v>1609699.237</v>
      </c>
      <c r="H57" s="8">
        <f t="shared" si="4"/>
        <v>17600403.31</v>
      </c>
      <c r="J57" s="5"/>
    </row>
    <row r="58" ht="15.75" customHeight="1">
      <c r="B58" s="2"/>
      <c r="C58" s="30">
        <v>47192.0</v>
      </c>
      <c r="D58" s="8">
        <f t="shared" si="1"/>
        <v>1801800.262</v>
      </c>
      <c r="E58" s="46"/>
      <c r="F58" s="8">
        <f t="shared" si="2"/>
        <v>176004.0331</v>
      </c>
      <c r="G58" s="8">
        <f t="shared" si="3"/>
        <v>1625796.229</v>
      </c>
      <c r="H58" s="8">
        <f t="shared" si="4"/>
        <v>15974607.08</v>
      </c>
      <c r="J58" s="5"/>
    </row>
    <row r="59" ht="15.75" customHeight="1">
      <c r="B59" s="2"/>
      <c r="C59" s="30">
        <v>47223.0</v>
      </c>
      <c r="D59" s="8">
        <f t="shared" si="1"/>
        <v>1801800.262</v>
      </c>
      <c r="E59" s="46"/>
      <c r="F59" s="8">
        <f t="shared" si="2"/>
        <v>159746.0708</v>
      </c>
      <c r="G59" s="8">
        <f t="shared" si="3"/>
        <v>1642054.192</v>
      </c>
      <c r="H59" s="8">
        <f t="shared" si="4"/>
        <v>14332552.89</v>
      </c>
      <c r="J59" s="5"/>
    </row>
    <row r="60" ht="15.75" customHeight="1">
      <c r="B60" s="2"/>
      <c r="C60" s="30">
        <v>47253.0</v>
      </c>
      <c r="D60" s="8">
        <f t="shared" si="1"/>
        <v>1801800.262</v>
      </c>
      <c r="E60" s="46"/>
      <c r="F60" s="8">
        <f t="shared" si="2"/>
        <v>143325.5289</v>
      </c>
      <c r="G60" s="8">
        <f t="shared" si="3"/>
        <v>1658474.734</v>
      </c>
      <c r="H60" s="8">
        <f t="shared" si="4"/>
        <v>12674078.16</v>
      </c>
      <c r="J60" s="5"/>
    </row>
    <row r="61" ht="15.75" customHeight="1">
      <c r="B61" s="2"/>
      <c r="C61" s="30">
        <v>47284.0</v>
      </c>
      <c r="D61" s="8">
        <f t="shared" si="1"/>
        <v>1801800.262</v>
      </c>
      <c r="E61" s="46"/>
      <c r="F61" s="8">
        <f t="shared" si="2"/>
        <v>126740.7816</v>
      </c>
      <c r="G61" s="8">
        <f t="shared" si="3"/>
        <v>1675059.481</v>
      </c>
      <c r="H61" s="8">
        <f t="shared" si="4"/>
        <v>10999018.68</v>
      </c>
      <c r="J61" s="5"/>
    </row>
    <row r="62" ht="15.75" customHeight="1">
      <c r="B62" s="2"/>
      <c r="C62" s="30">
        <v>47314.0</v>
      </c>
      <c r="D62" s="8">
        <f t="shared" si="1"/>
        <v>1801800.262</v>
      </c>
      <c r="E62" s="46"/>
      <c r="F62" s="8">
        <f t="shared" si="2"/>
        <v>109990.1868</v>
      </c>
      <c r="G62" s="8">
        <f t="shared" si="3"/>
        <v>1691810.076</v>
      </c>
      <c r="H62" s="8">
        <f t="shared" si="4"/>
        <v>9307208.603</v>
      </c>
      <c r="J62" s="5"/>
    </row>
    <row r="63" ht="15.75" customHeight="1">
      <c r="B63" s="2"/>
      <c r="C63" s="30">
        <v>47345.0</v>
      </c>
      <c r="D63" s="8">
        <f t="shared" si="1"/>
        <v>1801800.262</v>
      </c>
      <c r="E63" s="46"/>
      <c r="F63" s="8">
        <f t="shared" si="2"/>
        <v>93072.08603</v>
      </c>
      <c r="G63" s="8">
        <f t="shared" si="3"/>
        <v>1708728.176</v>
      </c>
      <c r="H63" s="8">
        <f t="shared" si="4"/>
        <v>7598480.427</v>
      </c>
      <c r="J63" s="5"/>
    </row>
    <row r="64" ht="15.75" customHeight="1">
      <c r="B64" s="2"/>
      <c r="C64" s="30">
        <v>47376.0</v>
      </c>
      <c r="D64" s="8">
        <f t="shared" si="1"/>
        <v>1801800.262</v>
      </c>
      <c r="E64" s="46"/>
      <c r="F64" s="8">
        <f t="shared" si="2"/>
        <v>75984.80427</v>
      </c>
      <c r="G64" s="8">
        <f t="shared" si="3"/>
        <v>1725815.458</v>
      </c>
      <c r="H64" s="8">
        <f t="shared" si="4"/>
        <v>5872664.968</v>
      </c>
      <c r="J64" s="5"/>
    </row>
    <row r="65" ht="15.75" customHeight="1">
      <c r="B65" s="2"/>
      <c r="C65" s="30">
        <v>47406.0</v>
      </c>
      <c r="D65" s="8">
        <f t="shared" si="1"/>
        <v>1801800.262</v>
      </c>
      <c r="E65" s="46"/>
      <c r="F65" s="8">
        <f t="shared" si="2"/>
        <v>58726.64968</v>
      </c>
      <c r="G65" s="8">
        <f t="shared" si="3"/>
        <v>1743073.613</v>
      </c>
      <c r="H65" s="8">
        <f t="shared" si="4"/>
        <v>4129591.356</v>
      </c>
      <c r="J65" s="5"/>
    </row>
    <row r="66" ht="15.75" customHeight="1">
      <c r="B66" s="2"/>
      <c r="C66" s="30">
        <v>47437.0</v>
      </c>
      <c r="D66" s="8">
        <f t="shared" si="1"/>
        <v>1801800.262</v>
      </c>
      <c r="E66" s="46"/>
      <c r="F66" s="8">
        <f t="shared" si="2"/>
        <v>41295.91356</v>
      </c>
      <c r="G66" s="8">
        <f t="shared" si="3"/>
        <v>1760504.349</v>
      </c>
      <c r="H66" s="8">
        <f t="shared" si="4"/>
        <v>2369087.007</v>
      </c>
      <c r="J66" s="5"/>
    </row>
    <row r="67" ht="15.75" customHeight="1">
      <c r="B67" s="2"/>
      <c r="C67" s="30">
        <v>47467.0</v>
      </c>
      <c r="D67" s="8">
        <f t="shared" si="1"/>
        <v>1801800.262</v>
      </c>
      <c r="E67" s="46"/>
      <c r="F67" s="8">
        <f t="shared" si="2"/>
        <v>23690.87007</v>
      </c>
      <c r="G67" s="8">
        <f t="shared" si="3"/>
        <v>1778109.392</v>
      </c>
      <c r="H67" s="8">
        <f t="shared" si="4"/>
        <v>590977.6143</v>
      </c>
      <c r="J67" s="5"/>
    </row>
    <row r="68" ht="15.75" customHeight="1">
      <c r="B68" s="2"/>
      <c r="C68" s="30">
        <v>47498.0</v>
      </c>
      <c r="D68" s="8">
        <f t="shared" si="1"/>
        <v>1801800.262</v>
      </c>
      <c r="E68" s="46"/>
      <c r="F68" s="8">
        <f t="shared" si="2"/>
        <v>5909.776143</v>
      </c>
      <c r="G68" s="8">
        <f t="shared" si="3"/>
        <v>1795890.486</v>
      </c>
      <c r="H68" s="8">
        <f t="shared" si="4"/>
        <v>-1204912.872</v>
      </c>
      <c r="J68" s="5"/>
    </row>
    <row r="69" ht="15.75" customHeight="1">
      <c r="B69" s="2"/>
      <c r="C69" s="30">
        <v>47529.0</v>
      </c>
      <c r="D69" s="8">
        <f t="shared" si="1"/>
        <v>1801800.262</v>
      </c>
      <c r="E69" s="46"/>
      <c r="F69" s="8">
        <f t="shared" si="2"/>
        <v>-12049.12872</v>
      </c>
      <c r="G69" s="8">
        <f t="shared" si="3"/>
        <v>1813849.391</v>
      </c>
      <c r="H69" s="8">
        <f t="shared" si="4"/>
        <v>-3018762.263</v>
      </c>
      <c r="J69" s="5"/>
    </row>
    <row r="70" ht="15.75" customHeight="1">
      <c r="B70" s="2"/>
      <c r="C70" s="30">
        <v>47557.0</v>
      </c>
      <c r="D70" s="8">
        <f t="shared" si="1"/>
        <v>1801800.262</v>
      </c>
      <c r="E70" s="46"/>
      <c r="F70" s="8">
        <f t="shared" si="2"/>
        <v>-30187.62263</v>
      </c>
      <c r="G70" s="8">
        <f t="shared" si="3"/>
        <v>1831987.885</v>
      </c>
      <c r="H70" s="8">
        <f t="shared" si="4"/>
        <v>-4850750.148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A1" s="12"/>
      <c r="B1" s="2"/>
      <c r="C1" s="1" t="s">
        <v>0</v>
      </c>
      <c r="D1" s="3" t="s">
        <v>1</v>
      </c>
      <c r="E1" s="4"/>
      <c r="F1" s="12"/>
      <c r="G1" s="1" t="s">
        <v>852</v>
      </c>
      <c r="H1" s="12"/>
      <c r="I1" s="12"/>
      <c r="J1" s="5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2"/>
      <c r="C2" s="1" t="s">
        <v>6</v>
      </c>
      <c r="D2" s="6">
        <f>+A5*10%</f>
        <v>9000000</v>
      </c>
      <c r="E2" s="7"/>
      <c r="F2" s="12"/>
      <c r="G2" s="12"/>
      <c r="H2" s="12"/>
      <c r="I2" s="12"/>
      <c r="J2" s="5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12"/>
      <c r="B3" s="2"/>
      <c r="C3" s="1" t="s">
        <v>7</v>
      </c>
      <c r="D3" s="8">
        <f>+A5-D2</f>
        <v>81000000</v>
      </c>
      <c r="E3" s="12"/>
      <c r="F3" s="12"/>
      <c r="G3" s="12"/>
      <c r="H3" s="5"/>
      <c r="I3" s="12"/>
      <c r="J3" s="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12" t="s">
        <v>8</v>
      </c>
      <c r="B4" s="2"/>
      <c r="C4" s="1" t="s">
        <v>9</v>
      </c>
      <c r="D4" s="11">
        <v>0.01</v>
      </c>
      <c r="E4" s="12"/>
      <c r="F4" s="12"/>
      <c r="G4" s="12"/>
      <c r="H4" s="5"/>
      <c r="I4" s="12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8">
        <v>9.0E7</v>
      </c>
      <c r="B5" s="2"/>
      <c r="C5" s="1" t="s">
        <v>10</v>
      </c>
      <c r="D5" s="13">
        <v>60.0</v>
      </c>
      <c r="E5" s="12"/>
      <c r="F5" s="12"/>
      <c r="G5" s="12"/>
      <c r="H5" s="5"/>
      <c r="I5" s="12"/>
      <c r="J5" s="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12"/>
      <c r="B6" s="2"/>
      <c r="C6" s="1" t="s">
        <v>11</v>
      </c>
      <c r="D6" s="8">
        <f>PMT(D4,D5,-D3)</f>
        <v>1801800.262</v>
      </c>
      <c r="E6" s="12"/>
      <c r="F6" s="12"/>
      <c r="G6" s="12"/>
      <c r="H6" s="5"/>
      <c r="I6" s="12"/>
      <c r="J6" s="5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12"/>
      <c r="B7" s="2"/>
      <c r="C7" s="1" t="s">
        <v>12</v>
      </c>
      <c r="D7" s="20" t="s">
        <v>858</v>
      </c>
      <c r="F7" s="12"/>
      <c r="G7" s="12"/>
      <c r="H7" s="5"/>
      <c r="I7" s="12"/>
      <c r="J7" s="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12"/>
      <c r="B8" s="2"/>
      <c r="C8" s="1" t="s">
        <v>16</v>
      </c>
      <c r="D8" s="2">
        <v>9.4310902E7</v>
      </c>
      <c r="F8" s="12"/>
      <c r="G8" s="12"/>
      <c r="H8" s="5"/>
      <c r="I8" s="17"/>
      <c r="J8" s="19"/>
      <c r="K8" s="17"/>
      <c r="L8" s="21" t="s">
        <v>860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I9" s="12"/>
      <c r="J9" s="5"/>
      <c r="K9" s="12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  <c r="V9" s="12"/>
      <c r="W9" s="12"/>
      <c r="X9" s="12"/>
      <c r="Y9" s="12"/>
      <c r="Z9" s="12"/>
      <c r="AA9" s="12"/>
      <c r="AB9" s="12"/>
    </row>
    <row r="10" ht="15.75" customHeight="1">
      <c r="A10" s="12"/>
      <c r="B10" s="2"/>
      <c r="C10" s="13"/>
      <c r="D10" s="8"/>
      <c r="E10" s="12"/>
      <c r="F10" s="8"/>
      <c r="G10" s="8"/>
      <c r="H10" s="8">
        <f>+D3</f>
        <v>81000000</v>
      </c>
      <c r="I10" s="12"/>
      <c r="J10" s="5"/>
      <c r="K10" s="12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1.17108016E8</v>
      </c>
      <c r="U10" s="25"/>
      <c r="V10" s="12"/>
      <c r="W10" s="12"/>
      <c r="X10" s="12"/>
      <c r="Y10" s="12"/>
      <c r="Z10" s="12"/>
      <c r="AA10" s="12"/>
      <c r="AB10" s="12"/>
    </row>
    <row r="11" ht="15.75" customHeight="1">
      <c r="A11" s="29">
        <v>45752.0</v>
      </c>
      <c r="B11" s="2" t="s">
        <v>863</v>
      </c>
      <c r="C11" s="30">
        <v>45753.0</v>
      </c>
      <c r="D11" s="8">
        <f t="shared" ref="D11:D70" si="1">$D$6</f>
        <v>1801800.262</v>
      </c>
      <c r="E11" s="15">
        <f t="shared" ref="E11:E17" si="2">3000000-D11</f>
        <v>1198199.738</v>
      </c>
      <c r="F11" s="8">
        <f t="shared" ref="F11:F70" si="3">+H10*$D$4</f>
        <v>810000</v>
      </c>
      <c r="G11" s="8">
        <f t="shared" ref="G11:G70" si="4">+D11+E11-F11</f>
        <v>2190000</v>
      </c>
      <c r="H11" s="8">
        <f t="shared" ref="H11:H70" si="5">+H10-G11</f>
        <v>78810000</v>
      </c>
      <c r="I11" s="12"/>
      <c r="J11" s="5"/>
      <c r="K11" s="12"/>
      <c r="L11" s="33">
        <v>45635.0</v>
      </c>
      <c r="M11" s="34" t="s">
        <v>44</v>
      </c>
      <c r="N11" s="35" t="s">
        <v>868</v>
      </c>
      <c r="O11" s="36"/>
      <c r="P11" s="36">
        <v>1000000.0</v>
      </c>
      <c r="Q11" s="36"/>
      <c r="R11" s="36"/>
      <c r="S11" s="36">
        <f t="shared" ref="S11:S31" si="6">SUM(O11:R11)</f>
        <v>1000000</v>
      </c>
      <c r="T11" s="36">
        <f t="shared" ref="T11:T31" si="7">T10-S11</f>
        <v>116108016</v>
      </c>
      <c r="U11" s="34"/>
      <c r="V11" s="12"/>
      <c r="W11" s="12"/>
      <c r="X11" s="12"/>
      <c r="Y11" s="12"/>
      <c r="Z11" s="12"/>
      <c r="AA11" s="12"/>
      <c r="AB11" s="12"/>
    </row>
    <row r="12" ht="15.75" customHeight="1">
      <c r="A12" s="29">
        <v>45782.0</v>
      </c>
      <c r="B12" s="2" t="s">
        <v>872</v>
      </c>
      <c r="C12" s="30">
        <v>45783.0</v>
      </c>
      <c r="D12" s="8">
        <f t="shared" si="1"/>
        <v>1801800.262</v>
      </c>
      <c r="E12" s="15">
        <f t="shared" si="2"/>
        <v>1198199.738</v>
      </c>
      <c r="F12" s="8">
        <f t="shared" si="3"/>
        <v>788100</v>
      </c>
      <c r="G12" s="8">
        <f t="shared" si="4"/>
        <v>2211900</v>
      </c>
      <c r="H12" s="8">
        <f t="shared" si="5"/>
        <v>76598100</v>
      </c>
      <c r="I12" s="12"/>
      <c r="J12" s="5"/>
      <c r="K12" s="12"/>
      <c r="L12" s="33">
        <v>45665.0</v>
      </c>
      <c r="M12" s="34" t="s">
        <v>44</v>
      </c>
      <c r="N12" s="35" t="s">
        <v>875</v>
      </c>
      <c r="O12" s="36"/>
      <c r="P12" s="36">
        <v>2666667.0</v>
      </c>
      <c r="Q12" s="36"/>
      <c r="R12" s="36"/>
      <c r="S12" s="36">
        <f t="shared" si="6"/>
        <v>2666667</v>
      </c>
      <c r="T12" s="36">
        <f t="shared" si="7"/>
        <v>113441349</v>
      </c>
      <c r="U12" s="34"/>
      <c r="V12" s="12"/>
      <c r="W12" s="12"/>
      <c r="X12" s="12"/>
      <c r="Y12" s="12"/>
      <c r="Z12" s="12"/>
      <c r="AA12" s="12"/>
      <c r="AB12" s="12"/>
    </row>
    <row r="13" ht="15.75" customHeight="1">
      <c r="A13" s="29">
        <v>45812.0</v>
      </c>
      <c r="B13" s="2" t="s">
        <v>876</v>
      </c>
      <c r="C13" s="30">
        <v>45814.0</v>
      </c>
      <c r="D13" s="8">
        <f t="shared" si="1"/>
        <v>1801800.262</v>
      </c>
      <c r="E13" s="15">
        <f t="shared" si="2"/>
        <v>1198199.738</v>
      </c>
      <c r="F13" s="8">
        <f t="shared" si="3"/>
        <v>765981</v>
      </c>
      <c r="G13" s="8">
        <f t="shared" si="4"/>
        <v>2234019</v>
      </c>
      <c r="H13" s="8">
        <f t="shared" si="5"/>
        <v>74364081</v>
      </c>
      <c r="I13" s="12"/>
      <c r="J13" s="12" t="s">
        <v>56</v>
      </c>
      <c r="K13" s="12"/>
      <c r="L13" s="33">
        <v>45694.0</v>
      </c>
      <c r="M13" s="34" t="s">
        <v>44</v>
      </c>
      <c r="N13" s="35" t="s">
        <v>877</v>
      </c>
      <c r="O13" s="36"/>
      <c r="P13" s="36">
        <v>2666667.0</v>
      </c>
      <c r="Q13" s="36"/>
      <c r="R13" s="36"/>
      <c r="S13" s="36">
        <f t="shared" si="6"/>
        <v>2666667</v>
      </c>
      <c r="T13" s="36">
        <f t="shared" si="7"/>
        <v>110774682</v>
      </c>
      <c r="U13" s="34"/>
      <c r="V13" s="12"/>
      <c r="W13" s="12"/>
      <c r="X13" s="12"/>
      <c r="Y13" s="12"/>
      <c r="Z13" s="12"/>
      <c r="AA13" s="12"/>
      <c r="AB13" s="12"/>
    </row>
    <row r="14" ht="15.75" customHeight="1">
      <c r="A14" s="29">
        <v>45844.0</v>
      </c>
      <c r="B14" s="2" t="s">
        <v>878</v>
      </c>
      <c r="C14" s="30">
        <v>45844.0</v>
      </c>
      <c r="D14" s="8">
        <f t="shared" si="1"/>
        <v>1801800.262</v>
      </c>
      <c r="E14" s="15">
        <f t="shared" si="2"/>
        <v>1198199.738</v>
      </c>
      <c r="F14" s="8">
        <f t="shared" si="3"/>
        <v>743640.81</v>
      </c>
      <c r="G14" s="8">
        <f t="shared" si="4"/>
        <v>2256359.19</v>
      </c>
      <c r="H14" s="8">
        <f t="shared" si="5"/>
        <v>72107721.81</v>
      </c>
      <c r="I14" s="12"/>
      <c r="J14" s="8">
        <f>+H10</f>
        <v>81000000</v>
      </c>
      <c r="K14" s="12"/>
      <c r="L14" s="33">
        <v>45721.0</v>
      </c>
      <c r="M14" s="34" t="s">
        <v>44</v>
      </c>
      <c r="N14" s="35" t="s">
        <v>880</v>
      </c>
      <c r="O14" s="36"/>
      <c r="P14" s="36">
        <v>2666667.0</v>
      </c>
      <c r="Q14" s="36"/>
      <c r="R14" s="36"/>
      <c r="S14" s="36">
        <f t="shared" si="6"/>
        <v>2666667</v>
      </c>
      <c r="T14" s="36">
        <f t="shared" si="7"/>
        <v>108108015</v>
      </c>
      <c r="U14" s="34"/>
      <c r="V14" s="12"/>
      <c r="W14" s="12"/>
      <c r="X14" s="12"/>
      <c r="Y14" s="12"/>
      <c r="Z14" s="12"/>
      <c r="AA14" s="12"/>
      <c r="AB14" s="12"/>
    </row>
    <row r="15" ht="15.75" customHeight="1">
      <c r="A15" s="29">
        <v>45873.0</v>
      </c>
      <c r="B15" s="2" t="s">
        <v>881</v>
      </c>
      <c r="C15" s="30">
        <v>45875.0</v>
      </c>
      <c r="D15" s="8">
        <f t="shared" si="1"/>
        <v>1801800.262</v>
      </c>
      <c r="E15" s="15">
        <f t="shared" si="2"/>
        <v>1198199.738</v>
      </c>
      <c r="F15" s="8">
        <f t="shared" si="3"/>
        <v>721077.2181</v>
      </c>
      <c r="G15" s="8">
        <f t="shared" si="4"/>
        <v>2278922.782</v>
      </c>
      <c r="H15" s="8">
        <f t="shared" si="5"/>
        <v>69828799.03</v>
      </c>
      <c r="I15" s="12"/>
      <c r="J15" s="12"/>
      <c r="K15" s="12"/>
      <c r="L15" s="33">
        <v>45752.0</v>
      </c>
      <c r="M15" s="34" t="s">
        <v>404</v>
      </c>
      <c r="N15" s="35" t="s">
        <v>863</v>
      </c>
      <c r="O15" s="36"/>
      <c r="P15" s="36">
        <v>3000000.0</v>
      </c>
      <c r="Q15" s="36"/>
      <c r="R15" s="36"/>
      <c r="S15" s="36">
        <f t="shared" si="6"/>
        <v>3000000</v>
      </c>
      <c r="T15" s="36">
        <f t="shared" si="7"/>
        <v>105108015</v>
      </c>
      <c r="U15" s="34"/>
      <c r="V15" s="12"/>
      <c r="W15" s="12"/>
      <c r="X15" s="12"/>
      <c r="Y15" s="12"/>
      <c r="Z15" s="12"/>
      <c r="AA15" s="12"/>
      <c r="AB15" s="12"/>
    </row>
    <row r="16" ht="15.75" customHeight="1">
      <c r="A16" s="29">
        <v>45901.0</v>
      </c>
      <c r="B16" s="2" t="s">
        <v>883</v>
      </c>
      <c r="C16" s="30">
        <v>45906.0</v>
      </c>
      <c r="D16" s="8">
        <f t="shared" si="1"/>
        <v>1801800.262</v>
      </c>
      <c r="E16" s="15">
        <f t="shared" si="2"/>
        <v>1198199.738</v>
      </c>
      <c r="F16" s="8">
        <f t="shared" si="3"/>
        <v>698287.9903</v>
      </c>
      <c r="G16" s="8">
        <f t="shared" si="4"/>
        <v>2301712.01</v>
      </c>
      <c r="H16" s="8">
        <f t="shared" si="5"/>
        <v>67527087.02</v>
      </c>
      <c r="I16" s="12"/>
      <c r="J16" s="5"/>
      <c r="K16" s="12"/>
      <c r="L16" s="33">
        <v>45782.0</v>
      </c>
      <c r="M16" s="34" t="s">
        <v>406</v>
      </c>
      <c r="N16" s="35" t="s">
        <v>872</v>
      </c>
      <c r="O16" s="36"/>
      <c r="P16" s="36">
        <v>3000000.0</v>
      </c>
      <c r="Q16" s="36"/>
      <c r="R16" s="36"/>
      <c r="S16" s="36">
        <f t="shared" si="6"/>
        <v>3000000</v>
      </c>
      <c r="T16" s="36">
        <f t="shared" si="7"/>
        <v>102108015</v>
      </c>
      <c r="U16" s="34"/>
      <c r="V16" s="12"/>
      <c r="W16" s="12"/>
      <c r="X16" s="12"/>
      <c r="Y16" s="12"/>
      <c r="Z16" s="12"/>
      <c r="AA16" s="12"/>
      <c r="AB16" s="12"/>
    </row>
    <row r="17" ht="15.75" customHeight="1">
      <c r="A17" s="29">
        <v>45951.0</v>
      </c>
      <c r="B17" s="2" t="s">
        <v>886</v>
      </c>
      <c r="C17" s="30">
        <v>45936.0</v>
      </c>
      <c r="D17" s="8">
        <f t="shared" si="1"/>
        <v>1801800.262</v>
      </c>
      <c r="E17" s="15">
        <f t="shared" si="2"/>
        <v>1198199.738</v>
      </c>
      <c r="F17" s="8">
        <f t="shared" si="3"/>
        <v>675270.8702</v>
      </c>
      <c r="G17" s="8">
        <f t="shared" si="4"/>
        <v>2324729.13</v>
      </c>
      <c r="H17" s="8">
        <f t="shared" si="5"/>
        <v>65202357.89</v>
      </c>
      <c r="I17" s="12"/>
      <c r="J17" s="5"/>
      <c r="K17" s="12"/>
      <c r="L17" s="33">
        <v>45812.0</v>
      </c>
      <c r="M17" s="34" t="s">
        <v>408</v>
      </c>
      <c r="N17" s="35" t="s">
        <v>876</v>
      </c>
      <c r="O17" s="36"/>
      <c r="P17" s="36">
        <v>3000000.0</v>
      </c>
      <c r="Q17" s="36"/>
      <c r="R17" s="36"/>
      <c r="S17" s="36">
        <f t="shared" si="6"/>
        <v>3000000</v>
      </c>
      <c r="T17" s="36">
        <f t="shared" si="7"/>
        <v>99108015</v>
      </c>
      <c r="U17" s="34"/>
      <c r="V17" s="12"/>
      <c r="W17" s="12"/>
      <c r="X17" s="12"/>
      <c r="Y17" s="12"/>
      <c r="Z17" s="12"/>
      <c r="AA17" s="12"/>
      <c r="AB17" s="12"/>
    </row>
    <row r="18" ht="15.75" customHeight="1">
      <c r="A18" s="29">
        <v>45980.0</v>
      </c>
      <c r="B18" s="2" t="s">
        <v>889</v>
      </c>
      <c r="C18" s="30">
        <v>45967.0</v>
      </c>
      <c r="D18" s="8">
        <f t="shared" si="1"/>
        <v>1801800.262</v>
      </c>
      <c r="E18" s="15">
        <f>300000+2700000-D18</f>
        <v>1198199.738</v>
      </c>
      <c r="F18" s="8">
        <f t="shared" si="3"/>
        <v>652023.5789</v>
      </c>
      <c r="G18" s="8">
        <f t="shared" si="4"/>
        <v>2347976.421</v>
      </c>
      <c r="H18" s="8">
        <f t="shared" si="5"/>
        <v>62854381.47</v>
      </c>
      <c r="I18" s="12"/>
      <c r="J18" s="5"/>
      <c r="K18" s="12"/>
      <c r="L18" s="33">
        <v>45844.0</v>
      </c>
      <c r="M18" s="34" t="s">
        <v>410</v>
      </c>
      <c r="N18" s="35" t="s">
        <v>878</v>
      </c>
      <c r="O18" s="36"/>
      <c r="P18" s="36">
        <v>3000000.0</v>
      </c>
      <c r="Q18" s="36"/>
      <c r="R18" s="36"/>
      <c r="S18" s="36">
        <f t="shared" si="6"/>
        <v>3000000</v>
      </c>
      <c r="T18" s="36">
        <f t="shared" si="7"/>
        <v>96108015</v>
      </c>
      <c r="U18" s="34"/>
      <c r="V18" s="12"/>
      <c r="W18" s="12"/>
      <c r="X18" s="12"/>
      <c r="Y18" s="12"/>
      <c r="Z18" s="12"/>
      <c r="AA18" s="12"/>
      <c r="AB18" s="12"/>
    </row>
    <row r="19" ht="15.75" customHeight="1">
      <c r="A19" s="29">
        <v>46013.0</v>
      </c>
      <c r="B19" s="2" t="s">
        <v>891</v>
      </c>
      <c r="C19" s="30">
        <v>45997.0</v>
      </c>
      <c r="D19" s="8">
        <f t="shared" si="1"/>
        <v>1801800.262</v>
      </c>
      <c r="E19" s="15">
        <f t="shared" ref="E19:E27" si="8">3000000-D19</f>
        <v>1198199.738</v>
      </c>
      <c r="F19" s="8">
        <f t="shared" si="3"/>
        <v>628543.8147</v>
      </c>
      <c r="G19" s="8">
        <f t="shared" si="4"/>
        <v>2371456.185</v>
      </c>
      <c r="H19" s="8">
        <f t="shared" si="5"/>
        <v>60482925.28</v>
      </c>
      <c r="I19" s="1"/>
      <c r="J19" s="41"/>
      <c r="K19" s="1"/>
      <c r="L19" s="42">
        <v>45873.0</v>
      </c>
      <c r="M19" s="43" t="s">
        <v>436</v>
      </c>
      <c r="N19" s="44" t="s">
        <v>881</v>
      </c>
      <c r="O19" s="45"/>
      <c r="P19" s="45">
        <v>3000000.0</v>
      </c>
      <c r="Q19" s="45"/>
      <c r="R19" s="45"/>
      <c r="S19" s="45">
        <f t="shared" si="6"/>
        <v>3000000</v>
      </c>
      <c r="T19" s="45">
        <f t="shared" si="7"/>
        <v>93108015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32">
        <v>46046.0</v>
      </c>
      <c r="B20" s="2" t="s">
        <v>893</v>
      </c>
      <c r="C20" s="30">
        <v>46028.0</v>
      </c>
      <c r="D20" s="8">
        <f t="shared" si="1"/>
        <v>1801800.262</v>
      </c>
      <c r="E20" s="15">
        <f t="shared" si="8"/>
        <v>1198199.738</v>
      </c>
      <c r="F20" s="8">
        <f t="shared" si="3"/>
        <v>604829.2528</v>
      </c>
      <c r="G20" s="8">
        <f t="shared" si="4"/>
        <v>2395170.747</v>
      </c>
      <c r="H20" s="8">
        <f t="shared" si="5"/>
        <v>58087754.53</v>
      </c>
      <c r="I20" s="12"/>
      <c r="J20" s="5"/>
      <c r="K20" s="12"/>
      <c r="L20" s="33">
        <v>45901.0</v>
      </c>
      <c r="M20" s="34" t="s">
        <v>438</v>
      </c>
      <c r="N20" s="35" t="s">
        <v>883</v>
      </c>
      <c r="O20" s="36"/>
      <c r="P20" s="36">
        <v>3000000.0</v>
      </c>
      <c r="Q20" s="36"/>
      <c r="R20" s="36"/>
      <c r="S20" s="36">
        <f t="shared" si="6"/>
        <v>3000000</v>
      </c>
      <c r="T20" s="36">
        <f t="shared" si="7"/>
        <v>90108015</v>
      </c>
      <c r="U20" s="34"/>
      <c r="V20" s="12"/>
      <c r="W20" s="12"/>
      <c r="X20" s="12"/>
      <c r="Y20" s="12"/>
      <c r="Z20" s="12"/>
      <c r="AA20" s="12"/>
      <c r="AB20" s="12"/>
    </row>
    <row r="21" ht="15.75" customHeight="1">
      <c r="A21" s="80">
        <v>46078.0</v>
      </c>
      <c r="B21" s="2" t="s">
        <v>896</v>
      </c>
      <c r="C21" s="30">
        <v>46059.0</v>
      </c>
      <c r="D21" s="8">
        <f t="shared" si="1"/>
        <v>1801800.262</v>
      </c>
      <c r="E21" s="15">
        <f t="shared" si="8"/>
        <v>1198199.738</v>
      </c>
      <c r="F21" s="8">
        <f t="shared" si="3"/>
        <v>580877.5453</v>
      </c>
      <c r="G21" s="8">
        <f t="shared" si="4"/>
        <v>2419122.455</v>
      </c>
      <c r="H21" s="8">
        <f t="shared" si="5"/>
        <v>55668632.08</v>
      </c>
      <c r="I21" s="12"/>
      <c r="J21" s="5"/>
      <c r="K21" s="12"/>
      <c r="L21" s="33">
        <v>45951.0</v>
      </c>
      <c r="M21" s="34" t="s">
        <v>898</v>
      </c>
      <c r="N21" s="35" t="s">
        <v>886</v>
      </c>
      <c r="O21" s="36"/>
      <c r="P21" s="36">
        <v>3000000.0</v>
      </c>
      <c r="Q21" s="36"/>
      <c r="R21" s="36"/>
      <c r="S21" s="36">
        <f t="shared" si="6"/>
        <v>3000000</v>
      </c>
      <c r="T21" s="36">
        <f t="shared" si="7"/>
        <v>87108015</v>
      </c>
      <c r="U21" s="34"/>
      <c r="V21" s="12"/>
      <c r="W21" s="12"/>
      <c r="X21" s="12"/>
      <c r="Y21" s="12"/>
      <c r="Z21" s="12"/>
      <c r="AA21" s="12"/>
      <c r="AB21" s="12"/>
    </row>
    <row r="22" ht="15.75" customHeight="1">
      <c r="A22" s="80">
        <v>46105.0</v>
      </c>
      <c r="B22" s="2" t="s">
        <v>899</v>
      </c>
      <c r="C22" s="30">
        <v>46087.0</v>
      </c>
      <c r="D22" s="8">
        <f t="shared" si="1"/>
        <v>1801800.262</v>
      </c>
      <c r="E22" s="15">
        <f t="shared" si="8"/>
        <v>1198199.738</v>
      </c>
      <c r="F22" s="8">
        <f t="shared" si="3"/>
        <v>556686.3208</v>
      </c>
      <c r="G22" s="8">
        <f t="shared" si="4"/>
        <v>2443313.679</v>
      </c>
      <c r="H22" s="8">
        <f t="shared" si="5"/>
        <v>53225318.4</v>
      </c>
      <c r="I22" s="12"/>
      <c r="J22" s="5"/>
      <c r="K22" s="12"/>
      <c r="L22" s="33">
        <v>45980.0</v>
      </c>
      <c r="M22" s="34" t="s">
        <v>900</v>
      </c>
      <c r="N22" s="35" t="s">
        <v>889</v>
      </c>
      <c r="O22" s="36"/>
      <c r="P22" s="36">
        <v>3000000.0</v>
      </c>
      <c r="Q22" s="36"/>
      <c r="R22" s="36"/>
      <c r="S22" s="36">
        <f t="shared" si="6"/>
        <v>3000000</v>
      </c>
      <c r="T22" s="36">
        <f t="shared" si="7"/>
        <v>84108015</v>
      </c>
      <c r="U22" s="34"/>
      <c r="V22" s="12"/>
      <c r="W22" s="12"/>
      <c r="X22" s="12"/>
      <c r="Y22" s="12"/>
      <c r="Z22" s="12"/>
      <c r="AA22" s="12"/>
      <c r="AB22" s="12"/>
    </row>
    <row r="23" ht="15.75" customHeight="1">
      <c r="A23" s="80">
        <v>46133.0</v>
      </c>
      <c r="B23" s="2" t="s">
        <v>902</v>
      </c>
      <c r="C23" s="30">
        <v>46118.0</v>
      </c>
      <c r="D23" s="8">
        <f t="shared" si="1"/>
        <v>1801800.262</v>
      </c>
      <c r="E23" s="8">
        <f t="shared" si="8"/>
        <v>1198199.738</v>
      </c>
      <c r="F23" s="8">
        <f t="shared" si="3"/>
        <v>532253.184</v>
      </c>
      <c r="G23" s="8">
        <f t="shared" si="4"/>
        <v>2467746.816</v>
      </c>
      <c r="H23" s="8">
        <f t="shared" si="5"/>
        <v>50757571.59</v>
      </c>
      <c r="I23" s="12"/>
      <c r="J23" s="5"/>
      <c r="K23" s="12"/>
      <c r="L23" s="33">
        <v>46013.0</v>
      </c>
      <c r="M23" s="34" t="s">
        <v>904</v>
      </c>
      <c r="N23" s="35" t="s">
        <v>891</v>
      </c>
      <c r="O23" s="36"/>
      <c r="P23" s="36">
        <v>3000000.0</v>
      </c>
      <c r="Q23" s="36"/>
      <c r="R23" s="36"/>
      <c r="S23" s="36">
        <f t="shared" si="6"/>
        <v>3000000</v>
      </c>
      <c r="T23" s="36">
        <f t="shared" si="7"/>
        <v>81108015</v>
      </c>
      <c r="U23" s="34"/>
      <c r="V23" s="12"/>
      <c r="W23" s="12"/>
      <c r="X23" s="12"/>
      <c r="Y23" s="12"/>
      <c r="Z23" s="12"/>
      <c r="AA23" s="12"/>
      <c r="AB23" s="12"/>
    </row>
    <row r="24" ht="15.75" customHeight="1">
      <c r="A24" s="29">
        <v>46164.0</v>
      </c>
      <c r="B24" s="2" t="s">
        <v>905</v>
      </c>
      <c r="C24" s="30">
        <v>46148.0</v>
      </c>
      <c r="D24" s="8">
        <f t="shared" si="1"/>
        <v>1801800.262</v>
      </c>
      <c r="E24" s="8">
        <f t="shared" si="8"/>
        <v>1198199.738</v>
      </c>
      <c r="F24" s="8">
        <f t="shared" si="3"/>
        <v>507575.7159</v>
      </c>
      <c r="G24" s="8">
        <f t="shared" si="4"/>
        <v>2492424.284</v>
      </c>
      <c r="H24" s="8">
        <f t="shared" si="5"/>
        <v>48265147.3</v>
      </c>
      <c r="I24" s="12"/>
      <c r="J24" s="5"/>
      <c r="K24" s="12"/>
      <c r="L24" s="33">
        <v>46046.0</v>
      </c>
      <c r="M24" s="34" t="s">
        <v>907</v>
      </c>
      <c r="N24" s="35" t="s">
        <v>893</v>
      </c>
      <c r="O24" s="36"/>
      <c r="P24" s="36">
        <v>3000000.0</v>
      </c>
      <c r="Q24" s="36"/>
      <c r="R24" s="36"/>
      <c r="S24" s="36">
        <f t="shared" si="6"/>
        <v>3000000</v>
      </c>
      <c r="T24" s="36">
        <f t="shared" si="7"/>
        <v>78108015</v>
      </c>
      <c r="U24" s="34"/>
      <c r="V24" s="12"/>
      <c r="W24" s="12"/>
      <c r="X24" s="12"/>
      <c r="Y24" s="12"/>
      <c r="Z24" s="12"/>
      <c r="AA24" s="12"/>
      <c r="AB24" s="12"/>
    </row>
    <row r="25" ht="15.75" customHeight="1">
      <c r="A25" s="29">
        <v>46196.0</v>
      </c>
      <c r="B25" s="2" t="s">
        <v>908</v>
      </c>
      <c r="C25" s="30">
        <v>46179.0</v>
      </c>
      <c r="D25" s="8">
        <f t="shared" si="1"/>
        <v>1801800.262</v>
      </c>
      <c r="E25" s="8">
        <f t="shared" si="8"/>
        <v>1198199.738</v>
      </c>
      <c r="F25" s="8">
        <f t="shared" si="3"/>
        <v>482651.473</v>
      </c>
      <c r="G25" s="8">
        <f t="shared" si="4"/>
        <v>2517348.527</v>
      </c>
      <c r="H25" s="8">
        <f t="shared" si="5"/>
        <v>45747798.77</v>
      </c>
      <c r="I25" s="12"/>
      <c r="J25" s="5"/>
      <c r="K25" s="12"/>
      <c r="L25" s="33">
        <v>46078.0</v>
      </c>
      <c r="M25" s="34" t="s">
        <v>909</v>
      </c>
      <c r="N25" s="35" t="s">
        <v>896</v>
      </c>
      <c r="O25" s="36"/>
      <c r="P25" s="36">
        <v>3000000.0</v>
      </c>
      <c r="Q25" s="36"/>
      <c r="R25" s="36"/>
      <c r="S25" s="36">
        <f t="shared" si="6"/>
        <v>3000000</v>
      </c>
      <c r="T25" s="36">
        <f t="shared" si="7"/>
        <v>75108015</v>
      </c>
      <c r="U25" s="34"/>
      <c r="V25" s="12"/>
      <c r="W25" s="12"/>
      <c r="X25" s="12"/>
      <c r="Y25" s="12"/>
      <c r="Z25" s="12"/>
      <c r="AA25" s="12"/>
      <c r="AB25" s="12"/>
    </row>
    <row r="26" ht="15.75" customHeight="1">
      <c r="A26" s="29">
        <v>46226.0</v>
      </c>
      <c r="B26" s="2" t="s">
        <v>910</v>
      </c>
      <c r="C26" s="30">
        <v>46209.0</v>
      </c>
      <c r="D26" s="8">
        <f t="shared" si="1"/>
        <v>1801800.262</v>
      </c>
      <c r="E26" s="8">
        <f t="shared" si="8"/>
        <v>1198199.738</v>
      </c>
      <c r="F26" s="8">
        <f t="shared" si="3"/>
        <v>457477.9877</v>
      </c>
      <c r="G26" s="8">
        <f t="shared" si="4"/>
        <v>2542522.012</v>
      </c>
      <c r="H26" s="8">
        <f t="shared" si="5"/>
        <v>43205276.76</v>
      </c>
      <c r="I26" s="12"/>
      <c r="J26" s="5"/>
      <c r="K26" s="12"/>
      <c r="L26" s="33">
        <v>46105.0</v>
      </c>
      <c r="M26" s="34" t="s">
        <v>911</v>
      </c>
      <c r="N26" s="35" t="s">
        <v>899</v>
      </c>
      <c r="O26" s="36"/>
      <c r="P26" s="36">
        <v>3000000.0</v>
      </c>
      <c r="Q26" s="36"/>
      <c r="R26" s="36"/>
      <c r="S26" s="36">
        <f t="shared" si="6"/>
        <v>3000000</v>
      </c>
      <c r="T26" s="36">
        <f t="shared" si="7"/>
        <v>72108015</v>
      </c>
      <c r="U26" s="34"/>
      <c r="V26" s="12"/>
      <c r="W26" s="12"/>
      <c r="X26" s="12"/>
      <c r="Y26" s="12"/>
      <c r="Z26" s="12"/>
      <c r="AA26" s="12"/>
      <c r="AB26" s="12"/>
    </row>
    <row r="27" ht="15.75" customHeight="1">
      <c r="A27" s="29">
        <v>46258.0</v>
      </c>
      <c r="B27" s="2" t="s">
        <v>912</v>
      </c>
      <c r="C27" s="30">
        <v>46240.0</v>
      </c>
      <c r="D27" s="8">
        <f t="shared" si="1"/>
        <v>1801800.262</v>
      </c>
      <c r="E27" s="8">
        <f t="shared" si="8"/>
        <v>1198199.738</v>
      </c>
      <c r="F27" s="8">
        <f t="shared" si="3"/>
        <v>432052.7676</v>
      </c>
      <c r="G27" s="8">
        <f t="shared" si="4"/>
        <v>2567947.232</v>
      </c>
      <c r="H27" s="8">
        <f t="shared" si="5"/>
        <v>40637329.53</v>
      </c>
      <c r="I27" s="12"/>
      <c r="J27" s="5"/>
      <c r="K27" s="12"/>
      <c r="L27" s="33">
        <v>46133.0</v>
      </c>
      <c r="M27" s="34" t="s">
        <v>913</v>
      </c>
      <c r="N27" s="35" t="s">
        <v>902</v>
      </c>
      <c r="O27" s="36"/>
      <c r="P27" s="36">
        <v>3000000.0</v>
      </c>
      <c r="Q27" s="36"/>
      <c r="R27" s="36"/>
      <c r="S27" s="36">
        <f t="shared" si="6"/>
        <v>3000000</v>
      </c>
      <c r="T27" s="36">
        <f t="shared" si="7"/>
        <v>69108015</v>
      </c>
      <c r="U27" s="34"/>
      <c r="V27" s="12"/>
      <c r="W27" s="12"/>
      <c r="X27" s="12"/>
      <c r="Y27" s="12"/>
      <c r="Z27" s="12"/>
      <c r="AA27" s="12"/>
      <c r="AB27" s="12"/>
    </row>
    <row r="28" ht="15.75" customHeight="1">
      <c r="A28" s="12"/>
      <c r="B28" s="2"/>
      <c r="C28" s="30">
        <v>46271.0</v>
      </c>
      <c r="D28" s="8">
        <f t="shared" si="1"/>
        <v>1801800.262</v>
      </c>
      <c r="E28" s="46"/>
      <c r="F28" s="8">
        <f t="shared" si="3"/>
        <v>406373.2953</v>
      </c>
      <c r="G28" s="8">
        <f t="shared" si="4"/>
        <v>1395426.967</v>
      </c>
      <c r="H28" s="8">
        <f t="shared" si="5"/>
        <v>39241902.56</v>
      </c>
      <c r="I28" s="12"/>
      <c r="J28" s="5"/>
      <c r="K28" s="12"/>
      <c r="L28" s="33">
        <v>46164.0</v>
      </c>
      <c r="M28" s="34" t="s">
        <v>914</v>
      </c>
      <c r="N28" s="35" t="s">
        <v>905</v>
      </c>
      <c r="O28" s="36"/>
      <c r="P28" s="36">
        <v>3000000.0</v>
      </c>
      <c r="Q28" s="36"/>
      <c r="R28" s="36"/>
      <c r="S28" s="36">
        <f t="shared" si="6"/>
        <v>3000000</v>
      </c>
      <c r="T28" s="36">
        <f t="shared" si="7"/>
        <v>66108015</v>
      </c>
      <c r="U28" s="34"/>
      <c r="V28" s="12"/>
      <c r="W28" s="12"/>
      <c r="X28" s="12"/>
      <c r="Y28" s="12"/>
      <c r="Z28" s="12"/>
      <c r="AA28" s="12"/>
      <c r="AB28" s="12"/>
    </row>
    <row r="29" ht="15.75" customHeight="1">
      <c r="A29" s="12"/>
      <c r="B29" s="2"/>
      <c r="C29" s="30">
        <v>46301.0</v>
      </c>
      <c r="D29" s="8">
        <f t="shared" si="1"/>
        <v>1801800.262</v>
      </c>
      <c r="E29" s="46"/>
      <c r="F29" s="8">
        <f t="shared" si="3"/>
        <v>392419.0256</v>
      </c>
      <c r="G29" s="8">
        <f t="shared" si="4"/>
        <v>1409381.237</v>
      </c>
      <c r="H29" s="8">
        <f t="shared" si="5"/>
        <v>37832521.33</v>
      </c>
      <c r="I29" s="12"/>
      <c r="J29" s="5"/>
      <c r="K29" s="12"/>
      <c r="L29" s="33">
        <v>46196.0</v>
      </c>
      <c r="M29" s="34" t="s">
        <v>915</v>
      </c>
      <c r="N29" s="35" t="s">
        <v>908</v>
      </c>
      <c r="O29" s="36"/>
      <c r="P29" s="36">
        <v>3000000.0</v>
      </c>
      <c r="Q29" s="36"/>
      <c r="R29" s="36"/>
      <c r="S29" s="36">
        <f t="shared" si="6"/>
        <v>3000000</v>
      </c>
      <c r="T29" s="36">
        <f t="shared" si="7"/>
        <v>63108015</v>
      </c>
      <c r="U29" s="34"/>
      <c r="V29" s="12"/>
      <c r="W29" s="12"/>
      <c r="X29" s="12"/>
      <c r="Y29" s="12"/>
      <c r="Z29" s="12"/>
      <c r="AA29" s="12"/>
      <c r="AB29" s="12"/>
    </row>
    <row r="30" ht="15.75" customHeight="1">
      <c r="A30" s="12"/>
      <c r="B30" s="2"/>
      <c r="C30" s="30">
        <v>46332.0</v>
      </c>
      <c r="D30" s="8">
        <f t="shared" si="1"/>
        <v>1801800.262</v>
      </c>
      <c r="E30" s="46"/>
      <c r="F30" s="8">
        <f t="shared" si="3"/>
        <v>378325.2133</v>
      </c>
      <c r="G30" s="8">
        <f t="shared" si="4"/>
        <v>1423475.049</v>
      </c>
      <c r="H30" s="8">
        <f t="shared" si="5"/>
        <v>36409046.28</v>
      </c>
      <c r="I30" s="12"/>
      <c r="J30" s="5"/>
      <c r="K30" s="12"/>
      <c r="L30" s="33">
        <v>46226.0</v>
      </c>
      <c r="M30" s="34" t="s">
        <v>122</v>
      </c>
      <c r="N30" s="35" t="s">
        <v>910</v>
      </c>
      <c r="O30" s="36"/>
      <c r="P30" s="36">
        <v>3000000.0</v>
      </c>
      <c r="Q30" s="36"/>
      <c r="R30" s="36"/>
      <c r="S30" s="36">
        <f t="shared" si="6"/>
        <v>3000000</v>
      </c>
      <c r="T30" s="36">
        <f t="shared" si="7"/>
        <v>60108015</v>
      </c>
      <c r="U30" s="34"/>
      <c r="V30" s="12"/>
      <c r="W30" s="12"/>
      <c r="X30" s="12"/>
      <c r="Y30" s="12"/>
      <c r="Z30" s="12"/>
      <c r="AA30" s="12"/>
      <c r="AB30" s="12"/>
    </row>
    <row r="31" ht="15.75" customHeight="1">
      <c r="A31" s="12"/>
      <c r="B31" s="2"/>
      <c r="C31" s="30">
        <v>46362.0</v>
      </c>
      <c r="D31" s="8">
        <f t="shared" si="1"/>
        <v>1801800.262</v>
      </c>
      <c r="E31" s="46"/>
      <c r="F31" s="8">
        <f t="shared" si="3"/>
        <v>364090.4628</v>
      </c>
      <c r="G31" s="8">
        <f t="shared" si="4"/>
        <v>1437709.8</v>
      </c>
      <c r="H31" s="8">
        <f t="shared" si="5"/>
        <v>34971336.48</v>
      </c>
      <c r="I31" s="12"/>
      <c r="J31" s="5"/>
      <c r="K31" s="12"/>
      <c r="L31" s="40">
        <v>46258.0</v>
      </c>
      <c r="M31" s="34" t="s">
        <v>124</v>
      </c>
      <c r="N31" s="35" t="s">
        <v>912</v>
      </c>
      <c r="O31" s="36"/>
      <c r="P31" s="36"/>
      <c r="Q31" s="36"/>
      <c r="R31" s="36">
        <v>3000000.0</v>
      </c>
      <c r="S31" s="36">
        <f t="shared" si="6"/>
        <v>3000000</v>
      </c>
      <c r="T31" s="36">
        <f t="shared" si="7"/>
        <v>57108015</v>
      </c>
      <c r="U31" s="34" t="s">
        <v>125</v>
      </c>
      <c r="V31" s="12"/>
      <c r="W31" s="12"/>
      <c r="X31" s="12"/>
      <c r="Y31" s="12"/>
      <c r="Z31" s="12"/>
      <c r="AA31" s="12"/>
      <c r="AB31" s="12"/>
    </row>
    <row r="32" ht="15.75" customHeight="1">
      <c r="A32" s="12"/>
      <c r="B32" s="2"/>
      <c r="C32" s="30">
        <v>46393.0</v>
      </c>
      <c r="D32" s="8">
        <f t="shared" si="1"/>
        <v>1801800.262</v>
      </c>
      <c r="E32" s="46"/>
      <c r="F32" s="8">
        <f t="shared" si="3"/>
        <v>349713.3648</v>
      </c>
      <c r="G32" s="8">
        <f t="shared" si="4"/>
        <v>1452086.898</v>
      </c>
      <c r="H32" s="8">
        <f t="shared" si="5"/>
        <v>33519249.58</v>
      </c>
      <c r="I32" s="12"/>
      <c r="J32" s="5"/>
      <c r="K32" s="12"/>
      <c r="L32" s="25"/>
      <c r="M32" s="38" t="s">
        <v>69</v>
      </c>
      <c r="N32" s="39"/>
      <c r="O32" s="27">
        <f t="shared" ref="O32:S32" si="9">SUM(O11:O31)</f>
        <v>0</v>
      </c>
      <c r="P32" s="27">
        <f t="shared" si="9"/>
        <v>57000001</v>
      </c>
      <c r="Q32" s="27">
        <f t="shared" si="9"/>
        <v>0</v>
      </c>
      <c r="R32" s="27">
        <f t="shared" si="9"/>
        <v>3000000</v>
      </c>
      <c r="S32" s="27">
        <f t="shared" si="9"/>
        <v>60000001</v>
      </c>
      <c r="T32" s="27">
        <f>T31</f>
        <v>57108015</v>
      </c>
      <c r="U32" s="25"/>
      <c r="V32" s="12"/>
      <c r="W32" s="12"/>
      <c r="X32" s="12"/>
      <c r="Y32" s="12"/>
      <c r="Z32" s="12"/>
      <c r="AA32" s="12"/>
      <c r="AB32" s="12"/>
    </row>
    <row r="33" ht="15.75" customHeight="1">
      <c r="A33" s="12"/>
      <c r="B33" s="2"/>
      <c r="C33" s="30">
        <v>46424.0</v>
      </c>
      <c r="D33" s="8">
        <f t="shared" si="1"/>
        <v>1801800.262</v>
      </c>
      <c r="E33" s="46"/>
      <c r="F33" s="8">
        <f t="shared" si="3"/>
        <v>335192.4958</v>
      </c>
      <c r="G33" s="8">
        <f t="shared" si="4"/>
        <v>1466607.767</v>
      </c>
      <c r="H33" s="8">
        <f t="shared" si="5"/>
        <v>32052641.81</v>
      </c>
      <c r="I33" s="12"/>
      <c r="J33" s="5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5.75" customHeight="1">
      <c r="A34" s="12"/>
      <c r="B34" s="2"/>
      <c r="C34" s="30">
        <v>46452.0</v>
      </c>
      <c r="D34" s="8">
        <f t="shared" si="1"/>
        <v>1801800.262</v>
      </c>
      <c r="E34" s="46"/>
      <c r="F34" s="8">
        <f t="shared" si="3"/>
        <v>320526.4181</v>
      </c>
      <c r="G34" s="8">
        <f t="shared" si="4"/>
        <v>1481273.844</v>
      </c>
      <c r="H34" s="8">
        <f t="shared" si="5"/>
        <v>30571367.97</v>
      </c>
      <c r="I34" s="12"/>
      <c r="J34" s="5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5.75" customHeight="1">
      <c r="A35" s="12"/>
      <c r="B35" s="2"/>
      <c r="C35" s="30">
        <v>46483.0</v>
      </c>
      <c r="D35" s="8">
        <f t="shared" si="1"/>
        <v>1801800.262</v>
      </c>
      <c r="E35" s="46"/>
      <c r="F35" s="8">
        <f t="shared" si="3"/>
        <v>305713.6797</v>
      </c>
      <c r="G35" s="8">
        <f t="shared" si="4"/>
        <v>1496086.583</v>
      </c>
      <c r="H35" s="8">
        <f t="shared" si="5"/>
        <v>29075281.38</v>
      </c>
      <c r="I35" s="12"/>
      <c r="J35" s="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5.75" customHeight="1">
      <c r="A36" s="12"/>
      <c r="B36" s="2"/>
      <c r="C36" s="30">
        <v>46513.0</v>
      </c>
      <c r="D36" s="8">
        <f t="shared" si="1"/>
        <v>1801800.262</v>
      </c>
      <c r="E36" s="46"/>
      <c r="F36" s="8">
        <f t="shared" si="3"/>
        <v>290752.8138</v>
      </c>
      <c r="G36" s="8">
        <f t="shared" si="4"/>
        <v>1511047.449</v>
      </c>
      <c r="H36" s="8">
        <f t="shared" si="5"/>
        <v>27564233.94</v>
      </c>
      <c r="I36" s="12"/>
      <c r="J36" s="5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5.75" customHeight="1">
      <c r="A37" s="12"/>
      <c r="B37" s="2"/>
      <c r="C37" s="30">
        <v>46544.0</v>
      </c>
      <c r="D37" s="8">
        <f t="shared" si="1"/>
        <v>1801800.262</v>
      </c>
      <c r="E37" s="46"/>
      <c r="F37" s="8">
        <f t="shared" si="3"/>
        <v>275642.3394</v>
      </c>
      <c r="G37" s="8">
        <f t="shared" si="4"/>
        <v>1526157.923</v>
      </c>
      <c r="H37" s="8">
        <f t="shared" si="5"/>
        <v>26038076.01</v>
      </c>
      <c r="I37" s="12"/>
      <c r="J37" s="5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75" customHeight="1">
      <c r="A38" s="12"/>
      <c r="B38" s="2"/>
      <c r="C38" s="30">
        <v>46574.0</v>
      </c>
      <c r="D38" s="8">
        <f t="shared" si="1"/>
        <v>1801800.262</v>
      </c>
      <c r="E38" s="46"/>
      <c r="F38" s="8">
        <f t="shared" si="3"/>
        <v>260380.7601</v>
      </c>
      <c r="G38" s="8">
        <f t="shared" si="4"/>
        <v>1541419.502</v>
      </c>
      <c r="H38" s="8">
        <f t="shared" si="5"/>
        <v>24496656.51</v>
      </c>
      <c r="I38" s="12"/>
      <c r="J38" s="5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5.75" customHeight="1">
      <c r="A39" s="12"/>
      <c r="B39" s="2"/>
      <c r="C39" s="30">
        <v>46605.0</v>
      </c>
      <c r="D39" s="8">
        <f t="shared" si="1"/>
        <v>1801800.262</v>
      </c>
      <c r="E39" s="46"/>
      <c r="F39" s="8">
        <f t="shared" si="3"/>
        <v>244966.5651</v>
      </c>
      <c r="G39" s="8">
        <f t="shared" si="4"/>
        <v>1556833.697</v>
      </c>
      <c r="H39" s="8">
        <f t="shared" si="5"/>
        <v>22939822.81</v>
      </c>
      <c r="I39" s="12"/>
      <c r="J39" s="5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5.75" customHeight="1">
      <c r="A40" s="12"/>
      <c r="B40" s="2"/>
      <c r="C40" s="30">
        <v>46636.0</v>
      </c>
      <c r="D40" s="8">
        <f t="shared" si="1"/>
        <v>1801800.262</v>
      </c>
      <c r="E40" s="46"/>
      <c r="F40" s="8">
        <f t="shared" si="3"/>
        <v>229398.2281</v>
      </c>
      <c r="G40" s="8">
        <f t="shared" si="4"/>
        <v>1572402.034</v>
      </c>
      <c r="H40" s="8">
        <f t="shared" si="5"/>
        <v>21367420.78</v>
      </c>
      <c r="I40" s="12"/>
      <c r="J40" s="5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5.75" customHeight="1">
      <c r="A41" s="12"/>
      <c r="B41" s="2"/>
      <c r="C41" s="30">
        <v>46666.0</v>
      </c>
      <c r="D41" s="8">
        <f t="shared" si="1"/>
        <v>1801800.262</v>
      </c>
      <c r="E41" s="46"/>
      <c r="F41" s="8">
        <f t="shared" si="3"/>
        <v>213674.2078</v>
      </c>
      <c r="G41" s="8">
        <f t="shared" si="4"/>
        <v>1588126.055</v>
      </c>
      <c r="H41" s="8">
        <f t="shared" si="5"/>
        <v>19779294.72</v>
      </c>
      <c r="I41" s="12"/>
      <c r="J41" s="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5.75" customHeight="1">
      <c r="A42" s="12"/>
      <c r="B42" s="2"/>
      <c r="C42" s="30">
        <v>46697.0</v>
      </c>
      <c r="D42" s="8">
        <f t="shared" si="1"/>
        <v>1801800.262</v>
      </c>
      <c r="E42" s="46"/>
      <c r="F42" s="8">
        <f t="shared" si="3"/>
        <v>197792.9472</v>
      </c>
      <c r="G42" s="8">
        <f t="shared" si="4"/>
        <v>1604007.315</v>
      </c>
      <c r="H42" s="8">
        <f t="shared" si="5"/>
        <v>18175287.41</v>
      </c>
      <c r="I42" s="12"/>
      <c r="J42" s="5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5.75" customHeight="1">
      <c r="A43" s="12"/>
      <c r="B43" s="2"/>
      <c r="C43" s="30">
        <v>46727.0</v>
      </c>
      <c r="D43" s="8">
        <f t="shared" si="1"/>
        <v>1801800.262</v>
      </c>
      <c r="E43" s="46"/>
      <c r="F43" s="8">
        <f t="shared" si="3"/>
        <v>181752.8741</v>
      </c>
      <c r="G43" s="8">
        <f t="shared" si="4"/>
        <v>1620047.388</v>
      </c>
      <c r="H43" s="8">
        <f t="shared" si="5"/>
        <v>16555240.02</v>
      </c>
      <c r="I43" s="12"/>
      <c r="J43" s="5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5.75" customHeight="1">
      <c r="A44" s="12"/>
      <c r="B44" s="2"/>
      <c r="C44" s="30">
        <v>46758.0</v>
      </c>
      <c r="D44" s="8">
        <f t="shared" si="1"/>
        <v>1801800.262</v>
      </c>
      <c r="E44" s="46"/>
      <c r="F44" s="8">
        <f t="shared" si="3"/>
        <v>165552.4002</v>
      </c>
      <c r="G44" s="8">
        <f t="shared" si="4"/>
        <v>1636247.862</v>
      </c>
      <c r="H44" s="8">
        <f t="shared" si="5"/>
        <v>14918992.16</v>
      </c>
      <c r="I44" s="12"/>
      <c r="J44" s="5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5.75" customHeight="1">
      <c r="A45" s="12"/>
      <c r="B45" s="2"/>
      <c r="C45" s="30">
        <v>46789.0</v>
      </c>
      <c r="D45" s="8">
        <f t="shared" si="1"/>
        <v>1801800.262</v>
      </c>
      <c r="E45" s="46"/>
      <c r="F45" s="8">
        <f t="shared" si="3"/>
        <v>149189.9216</v>
      </c>
      <c r="G45" s="8">
        <f t="shared" si="4"/>
        <v>1652610.341</v>
      </c>
      <c r="H45" s="8">
        <f t="shared" si="5"/>
        <v>13266381.82</v>
      </c>
      <c r="I45" s="12"/>
      <c r="J45" s="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5.75" customHeight="1">
      <c r="A46" s="12"/>
      <c r="B46" s="2"/>
      <c r="C46" s="30">
        <v>46818.0</v>
      </c>
      <c r="D46" s="8">
        <f t="shared" si="1"/>
        <v>1801800.262</v>
      </c>
      <c r="E46" s="46"/>
      <c r="F46" s="8">
        <f t="shared" si="3"/>
        <v>132663.8182</v>
      </c>
      <c r="G46" s="8">
        <f t="shared" si="4"/>
        <v>1669136.444</v>
      </c>
      <c r="H46" s="8">
        <f t="shared" si="5"/>
        <v>11597245.37</v>
      </c>
      <c r="I46" s="12"/>
      <c r="J46" s="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5.75" customHeight="1">
      <c r="A47" s="12"/>
      <c r="B47" s="2"/>
      <c r="C47" s="30">
        <v>46849.0</v>
      </c>
      <c r="D47" s="8">
        <f t="shared" si="1"/>
        <v>1801800.262</v>
      </c>
      <c r="E47" s="46"/>
      <c r="F47" s="8">
        <f t="shared" si="3"/>
        <v>115972.4537</v>
      </c>
      <c r="G47" s="8">
        <f t="shared" si="4"/>
        <v>1685827.809</v>
      </c>
      <c r="H47" s="8">
        <f t="shared" si="5"/>
        <v>9911417.564</v>
      </c>
      <c r="I47" s="12"/>
      <c r="J47" s="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5.75" customHeight="1">
      <c r="A48" s="12"/>
      <c r="B48" s="2"/>
      <c r="C48" s="30">
        <v>46879.0</v>
      </c>
      <c r="D48" s="8">
        <f t="shared" si="1"/>
        <v>1801800.262</v>
      </c>
      <c r="E48" s="46"/>
      <c r="F48" s="8">
        <f t="shared" si="3"/>
        <v>99114.17564</v>
      </c>
      <c r="G48" s="8">
        <f t="shared" si="4"/>
        <v>1702686.087</v>
      </c>
      <c r="H48" s="8">
        <f t="shared" si="5"/>
        <v>8208731.478</v>
      </c>
      <c r="I48" s="12"/>
      <c r="J48" s="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5.75" customHeight="1">
      <c r="A49" s="12"/>
      <c r="B49" s="2"/>
      <c r="C49" s="30">
        <v>46910.0</v>
      </c>
      <c r="D49" s="8">
        <f t="shared" si="1"/>
        <v>1801800.262</v>
      </c>
      <c r="E49" s="46"/>
      <c r="F49" s="8">
        <f t="shared" si="3"/>
        <v>82087.31478</v>
      </c>
      <c r="G49" s="8">
        <f t="shared" si="4"/>
        <v>1719712.948</v>
      </c>
      <c r="H49" s="8">
        <f t="shared" si="5"/>
        <v>6489018.53</v>
      </c>
      <c r="I49" s="12"/>
      <c r="J49" s="5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12"/>
      <c r="B50" s="2"/>
      <c r="C50" s="30">
        <v>46940.0</v>
      </c>
      <c r="D50" s="8">
        <f t="shared" si="1"/>
        <v>1801800.262</v>
      </c>
      <c r="E50" s="46"/>
      <c r="F50" s="8">
        <f t="shared" si="3"/>
        <v>64890.1853</v>
      </c>
      <c r="G50" s="8">
        <f t="shared" si="4"/>
        <v>1736910.077</v>
      </c>
      <c r="H50" s="8">
        <f t="shared" si="5"/>
        <v>4752108.453</v>
      </c>
      <c r="I50" s="12"/>
      <c r="J50" s="5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12"/>
      <c r="B51" s="2"/>
      <c r="C51" s="30">
        <v>46971.0</v>
      </c>
      <c r="D51" s="8">
        <f t="shared" si="1"/>
        <v>1801800.262</v>
      </c>
      <c r="E51" s="46"/>
      <c r="F51" s="8">
        <f t="shared" si="3"/>
        <v>47521.08453</v>
      </c>
      <c r="G51" s="8">
        <f t="shared" si="4"/>
        <v>1754279.178</v>
      </c>
      <c r="H51" s="8">
        <f t="shared" si="5"/>
        <v>2997829.275</v>
      </c>
      <c r="I51" s="12"/>
      <c r="J51" s="5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5.75" customHeight="1">
      <c r="A52" s="12"/>
      <c r="B52" s="2"/>
      <c r="C52" s="30">
        <v>47002.0</v>
      </c>
      <c r="D52" s="8">
        <f t="shared" si="1"/>
        <v>1801800.262</v>
      </c>
      <c r="E52" s="46"/>
      <c r="F52" s="8">
        <f t="shared" si="3"/>
        <v>29978.29275</v>
      </c>
      <c r="G52" s="8">
        <f t="shared" si="4"/>
        <v>1771821.97</v>
      </c>
      <c r="H52" s="8">
        <f t="shared" si="5"/>
        <v>1226007.305</v>
      </c>
      <c r="I52" s="12"/>
      <c r="J52" s="5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12"/>
      <c r="B53" s="2"/>
      <c r="C53" s="30">
        <v>47032.0</v>
      </c>
      <c r="D53" s="8">
        <f t="shared" si="1"/>
        <v>1801800.262</v>
      </c>
      <c r="E53" s="46"/>
      <c r="F53" s="8">
        <f t="shared" si="3"/>
        <v>12260.07305</v>
      </c>
      <c r="G53" s="8">
        <f t="shared" si="4"/>
        <v>1789540.189</v>
      </c>
      <c r="H53" s="8">
        <f t="shared" si="5"/>
        <v>-563532.8844</v>
      </c>
      <c r="I53" s="12"/>
      <c r="J53" s="5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5.75" customHeight="1">
      <c r="A54" s="12"/>
      <c r="B54" s="2"/>
      <c r="C54" s="30">
        <v>47063.0</v>
      </c>
      <c r="D54" s="8">
        <f t="shared" si="1"/>
        <v>1801800.262</v>
      </c>
      <c r="E54" s="46"/>
      <c r="F54" s="8">
        <f t="shared" si="3"/>
        <v>-5635.328844</v>
      </c>
      <c r="G54" s="8">
        <f t="shared" si="4"/>
        <v>1807435.591</v>
      </c>
      <c r="H54" s="8">
        <f t="shared" si="5"/>
        <v>-2370968.476</v>
      </c>
      <c r="I54" s="12"/>
      <c r="J54" s="5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5.75" customHeight="1">
      <c r="A55" s="12"/>
      <c r="B55" s="2"/>
      <c r="C55" s="30">
        <v>47093.0</v>
      </c>
      <c r="D55" s="8">
        <f t="shared" si="1"/>
        <v>1801800.262</v>
      </c>
      <c r="E55" s="46"/>
      <c r="F55" s="8">
        <f t="shared" si="3"/>
        <v>-23709.68476</v>
      </c>
      <c r="G55" s="8">
        <f t="shared" si="4"/>
        <v>1825509.947</v>
      </c>
      <c r="H55" s="8">
        <f t="shared" si="5"/>
        <v>-4196478.423</v>
      </c>
      <c r="I55" s="12"/>
      <c r="J55" s="5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5.75" customHeight="1">
      <c r="A56" s="12"/>
      <c r="B56" s="2"/>
      <c r="C56" s="30">
        <v>47124.0</v>
      </c>
      <c r="D56" s="8">
        <f t="shared" si="1"/>
        <v>1801800.262</v>
      </c>
      <c r="E56" s="46"/>
      <c r="F56" s="8">
        <f t="shared" si="3"/>
        <v>-41964.78423</v>
      </c>
      <c r="G56" s="8">
        <f t="shared" si="4"/>
        <v>1843765.047</v>
      </c>
      <c r="H56" s="8">
        <f t="shared" si="5"/>
        <v>-6040243.47</v>
      </c>
      <c r="I56" s="12"/>
      <c r="J56" s="5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5.75" customHeight="1">
      <c r="A57" s="12"/>
      <c r="B57" s="2"/>
      <c r="C57" s="30">
        <v>47155.0</v>
      </c>
      <c r="D57" s="8">
        <f t="shared" si="1"/>
        <v>1801800.262</v>
      </c>
      <c r="E57" s="46"/>
      <c r="F57" s="8">
        <f t="shared" si="3"/>
        <v>-60402.4347</v>
      </c>
      <c r="G57" s="8">
        <f t="shared" si="4"/>
        <v>1862202.697</v>
      </c>
      <c r="H57" s="8">
        <f t="shared" si="5"/>
        <v>-7902446.167</v>
      </c>
      <c r="I57" s="12"/>
      <c r="J57" s="5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12"/>
      <c r="B58" s="2"/>
      <c r="C58" s="30">
        <v>47183.0</v>
      </c>
      <c r="D58" s="8">
        <f t="shared" si="1"/>
        <v>1801800.262</v>
      </c>
      <c r="E58" s="46"/>
      <c r="F58" s="8">
        <f t="shared" si="3"/>
        <v>-79024.46167</v>
      </c>
      <c r="G58" s="8">
        <f t="shared" si="4"/>
        <v>1880824.724</v>
      </c>
      <c r="H58" s="8">
        <f t="shared" si="5"/>
        <v>-9783270.891</v>
      </c>
      <c r="I58" s="12"/>
      <c r="J58" s="5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12"/>
      <c r="B59" s="2"/>
      <c r="C59" s="30">
        <v>47214.0</v>
      </c>
      <c r="D59" s="8">
        <f t="shared" si="1"/>
        <v>1801800.262</v>
      </c>
      <c r="E59" s="46"/>
      <c r="F59" s="8">
        <f t="shared" si="3"/>
        <v>-97832.70891</v>
      </c>
      <c r="G59" s="8">
        <f t="shared" si="4"/>
        <v>1899632.971</v>
      </c>
      <c r="H59" s="8">
        <f t="shared" si="5"/>
        <v>-11682903.86</v>
      </c>
      <c r="I59" s="12"/>
      <c r="J59" s="5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5.75" customHeight="1">
      <c r="A60" s="47"/>
      <c r="B60" s="48"/>
      <c r="C60" s="49">
        <v>47244.0</v>
      </c>
      <c r="D60" s="50">
        <f t="shared" si="1"/>
        <v>1801800.262</v>
      </c>
      <c r="E60" s="51"/>
      <c r="F60" s="50">
        <f t="shared" si="3"/>
        <v>-116829.0386</v>
      </c>
      <c r="G60" s="50">
        <f t="shared" si="4"/>
        <v>1918629.301</v>
      </c>
      <c r="H60" s="50">
        <f t="shared" si="5"/>
        <v>-13601533.16</v>
      </c>
      <c r="I60" s="12"/>
      <c r="J60" s="5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5.75" customHeight="1">
      <c r="A61" s="47"/>
      <c r="B61" s="48"/>
      <c r="C61" s="49">
        <v>47275.0</v>
      </c>
      <c r="D61" s="50">
        <f t="shared" si="1"/>
        <v>1801800.262</v>
      </c>
      <c r="E61" s="51"/>
      <c r="F61" s="50">
        <f t="shared" si="3"/>
        <v>-136015.3316</v>
      </c>
      <c r="G61" s="50">
        <f t="shared" si="4"/>
        <v>1937815.594</v>
      </c>
      <c r="H61" s="50">
        <f t="shared" si="5"/>
        <v>-15539348.76</v>
      </c>
      <c r="I61" s="12"/>
      <c r="J61" s="5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5.75" customHeight="1">
      <c r="A62" s="47"/>
      <c r="B62" s="48"/>
      <c r="C62" s="49">
        <v>47305.0</v>
      </c>
      <c r="D62" s="50">
        <f t="shared" si="1"/>
        <v>1801800.262</v>
      </c>
      <c r="E62" s="51"/>
      <c r="F62" s="50">
        <f t="shared" si="3"/>
        <v>-155393.4876</v>
      </c>
      <c r="G62" s="50">
        <f t="shared" si="4"/>
        <v>1957193.75</v>
      </c>
      <c r="H62" s="50">
        <f t="shared" si="5"/>
        <v>-17496542.51</v>
      </c>
      <c r="I62" s="12"/>
      <c r="J62" s="5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5.75" customHeight="1">
      <c r="A63" s="47"/>
      <c r="B63" s="48"/>
      <c r="C63" s="49">
        <v>47336.0</v>
      </c>
      <c r="D63" s="50">
        <f t="shared" si="1"/>
        <v>1801800.262</v>
      </c>
      <c r="E63" s="51"/>
      <c r="F63" s="50">
        <f t="shared" si="3"/>
        <v>-174965.4251</v>
      </c>
      <c r="G63" s="50">
        <f t="shared" si="4"/>
        <v>1976765.688</v>
      </c>
      <c r="H63" s="50">
        <f t="shared" si="5"/>
        <v>-19473308.2</v>
      </c>
      <c r="I63" s="12"/>
      <c r="J63" s="5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5.75" customHeight="1">
      <c r="A64" s="47"/>
      <c r="B64" s="48"/>
      <c r="C64" s="49">
        <v>47367.0</v>
      </c>
      <c r="D64" s="50">
        <f t="shared" si="1"/>
        <v>1801800.262</v>
      </c>
      <c r="E64" s="51"/>
      <c r="F64" s="50">
        <f t="shared" si="3"/>
        <v>-194733.082</v>
      </c>
      <c r="G64" s="50">
        <f t="shared" si="4"/>
        <v>1996533.344</v>
      </c>
      <c r="H64" s="50">
        <f t="shared" si="5"/>
        <v>-21469841.54</v>
      </c>
      <c r="I64" s="12"/>
      <c r="J64" s="5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47"/>
      <c r="B65" s="48"/>
      <c r="C65" s="49">
        <v>47397.0</v>
      </c>
      <c r="D65" s="50">
        <f t="shared" si="1"/>
        <v>1801800.262</v>
      </c>
      <c r="E65" s="51"/>
      <c r="F65" s="50">
        <f t="shared" si="3"/>
        <v>-214698.4154</v>
      </c>
      <c r="G65" s="50">
        <f t="shared" si="4"/>
        <v>2016498.678</v>
      </c>
      <c r="H65" s="50">
        <f t="shared" si="5"/>
        <v>-23486340.22</v>
      </c>
      <c r="I65" s="12"/>
      <c r="J65" s="5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47"/>
      <c r="B66" s="48"/>
      <c r="C66" s="49">
        <v>47428.0</v>
      </c>
      <c r="D66" s="50">
        <f t="shared" si="1"/>
        <v>1801800.262</v>
      </c>
      <c r="E66" s="51"/>
      <c r="F66" s="50">
        <f t="shared" si="3"/>
        <v>-234863.4022</v>
      </c>
      <c r="G66" s="50">
        <f t="shared" si="4"/>
        <v>2036663.665</v>
      </c>
      <c r="H66" s="50">
        <f t="shared" si="5"/>
        <v>-25523003.88</v>
      </c>
      <c r="I66" s="12"/>
      <c r="J66" s="5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5.75" customHeight="1">
      <c r="A67" s="47"/>
      <c r="B67" s="48"/>
      <c r="C67" s="49">
        <v>47458.0</v>
      </c>
      <c r="D67" s="50">
        <f t="shared" si="1"/>
        <v>1801800.262</v>
      </c>
      <c r="E67" s="51"/>
      <c r="F67" s="50">
        <f t="shared" si="3"/>
        <v>-255230.0388</v>
      </c>
      <c r="G67" s="50">
        <f t="shared" si="4"/>
        <v>2057030.301</v>
      </c>
      <c r="H67" s="50">
        <f t="shared" si="5"/>
        <v>-27580034.18</v>
      </c>
      <c r="I67" s="12"/>
      <c r="J67" s="5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47"/>
      <c r="B68" s="48"/>
      <c r="C68" s="49">
        <v>47489.0</v>
      </c>
      <c r="D68" s="50">
        <f t="shared" si="1"/>
        <v>1801800.262</v>
      </c>
      <c r="E68" s="51"/>
      <c r="F68" s="50">
        <f t="shared" si="3"/>
        <v>-275800.3418</v>
      </c>
      <c r="G68" s="50">
        <f t="shared" si="4"/>
        <v>2077600.604</v>
      </c>
      <c r="H68" s="50">
        <f t="shared" si="5"/>
        <v>-29657634.79</v>
      </c>
      <c r="I68" s="12"/>
      <c r="J68" s="5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47"/>
      <c r="B69" s="48"/>
      <c r="C69" s="49">
        <v>47520.0</v>
      </c>
      <c r="D69" s="50">
        <f t="shared" si="1"/>
        <v>1801800.262</v>
      </c>
      <c r="E69" s="51"/>
      <c r="F69" s="50">
        <f t="shared" si="3"/>
        <v>-296576.3479</v>
      </c>
      <c r="G69" s="50">
        <f t="shared" si="4"/>
        <v>2098376.61</v>
      </c>
      <c r="H69" s="50">
        <f t="shared" si="5"/>
        <v>-31756011.4</v>
      </c>
      <c r="I69" s="12"/>
      <c r="J69" s="5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5.75" customHeight="1">
      <c r="A70" s="47"/>
      <c r="B70" s="48"/>
      <c r="C70" s="49">
        <v>47548.0</v>
      </c>
      <c r="D70" s="50">
        <f t="shared" si="1"/>
        <v>1801800.262</v>
      </c>
      <c r="E70" s="51"/>
      <c r="F70" s="50">
        <f t="shared" si="3"/>
        <v>-317560.114</v>
      </c>
      <c r="G70" s="50">
        <f t="shared" si="4"/>
        <v>2119360.376</v>
      </c>
      <c r="H70" s="50">
        <f t="shared" si="5"/>
        <v>-33875371.77</v>
      </c>
      <c r="I70" s="12"/>
      <c r="J70" s="5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12"/>
      <c r="B71" s="2"/>
      <c r="C71" s="13"/>
      <c r="D71" s="12"/>
      <c r="E71" s="9"/>
      <c r="F71" s="12"/>
      <c r="G71" s="12"/>
      <c r="H71" s="12"/>
      <c r="I71" s="12"/>
      <c r="J71" s="5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2"/>
      <c r="B72" s="2"/>
      <c r="C72" s="13"/>
      <c r="D72" s="12"/>
      <c r="E72" s="9"/>
      <c r="F72" s="12"/>
      <c r="G72" s="12"/>
      <c r="H72" s="12"/>
      <c r="I72" s="12"/>
      <c r="J72" s="5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12"/>
      <c r="B73" s="2"/>
      <c r="C73" s="13"/>
      <c r="D73" s="12"/>
      <c r="E73" s="9"/>
      <c r="F73" s="12"/>
      <c r="G73" s="12"/>
      <c r="H73" s="12"/>
      <c r="I73" s="12"/>
      <c r="J73" s="5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12"/>
      <c r="B74" s="2"/>
      <c r="C74" s="13"/>
      <c r="D74" s="12"/>
      <c r="E74" s="9"/>
      <c r="F74" s="12"/>
      <c r="G74" s="12"/>
      <c r="H74" s="12"/>
      <c r="I74" s="12"/>
      <c r="J74" s="5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5.75" customHeight="1">
      <c r="A75" s="12"/>
      <c r="B75" s="2"/>
      <c r="C75" s="13"/>
      <c r="D75" s="12"/>
      <c r="E75" s="9"/>
      <c r="F75" s="12"/>
      <c r="G75" s="12"/>
      <c r="H75" s="12"/>
      <c r="I75" s="12"/>
      <c r="J75" s="5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12"/>
      <c r="B76" s="2"/>
      <c r="C76" s="13"/>
      <c r="D76" s="12"/>
      <c r="E76" s="9"/>
      <c r="F76" s="12"/>
      <c r="G76" s="12"/>
      <c r="H76" s="12"/>
      <c r="I76" s="12"/>
      <c r="J76" s="5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5.75" customHeight="1">
      <c r="A77" s="12"/>
      <c r="B77" s="2"/>
      <c r="C77" s="12"/>
      <c r="D77" s="12"/>
      <c r="E77" s="9"/>
      <c r="F77" s="12"/>
      <c r="G77" s="12"/>
      <c r="H77" s="12"/>
      <c r="I77" s="12"/>
      <c r="J77" s="5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5.75" customHeight="1">
      <c r="A78" s="12"/>
      <c r="B78" s="2"/>
      <c r="C78" s="12"/>
      <c r="D78" s="12"/>
      <c r="E78" s="9"/>
      <c r="F78" s="12"/>
      <c r="G78" s="12"/>
      <c r="H78" s="12"/>
      <c r="I78" s="12"/>
      <c r="J78" s="5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12"/>
      <c r="B79" s="2"/>
      <c r="C79" s="12"/>
      <c r="D79" s="12"/>
      <c r="E79" s="9"/>
      <c r="F79" s="12"/>
      <c r="G79" s="12"/>
      <c r="H79" s="12"/>
      <c r="I79" s="12"/>
      <c r="J79" s="5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12"/>
      <c r="B80" s="2"/>
      <c r="C80" s="12"/>
      <c r="D80" s="12"/>
      <c r="E80" s="9"/>
      <c r="F80" s="12"/>
      <c r="G80" s="12"/>
      <c r="H80" s="12"/>
      <c r="I80" s="12"/>
      <c r="J80" s="5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12"/>
      <c r="B81" s="2"/>
      <c r="C81" s="12"/>
      <c r="D81" s="12"/>
      <c r="E81" s="9"/>
      <c r="F81" s="12"/>
      <c r="G81" s="12"/>
      <c r="H81" s="12"/>
      <c r="I81" s="12"/>
      <c r="J81" s="5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12"/>
      <c r="B82" s="2"/>
      <c r="C82" s="12"/>
      <c r="D82" s="12"/>
      <c r="E82" s="9"/>
      <c r="F82" s="12"/>
      <c r="G82" s="12"/>
      <c r="H82" s="12"/>
      <c r="I82" s="12"/>
      <c r="J82" s="5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5.75" customHeight="1">
      <c r="A83" s="12"/>
      <c r="B83" s="2"/>
      <c r="C83" s="12"/>
      <c r="D83" s="12"/>
      <c r="E83" s="9"/>
      <c r="F83" s="12"/>
      <c r="G83" s="12"/>
      <c r="H83" s="12"/>
      <c r="I83" s="12"/>
      <c r="J83" s="5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12"/>
      <c r="B84" s="2"/>
      <c r="C84" s="12"/>
      <c r="D84" s="12"/>
      <c r="E84" s="9"/>
      <c r="F84" s="12"/>
      <c r="G84" s="12"/>
      <c r="H84" s="12"/>
      <c r="I84" s="12"/>
      <c r="J84" s="5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12"/>
      <c r="B85" s="2"/>
      <c r="C85" s="12"/>
      <c r="D85" s="12"/>
      <c r="E85" s="9"/>
      <c r="F85" s="12"/>
      <c r="G85" s="12"/>
      <c r="H85" s="12"/>
      <c r="I85" s="12"/>
      <c r="J85" s="5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12"/>
      <c r="B86" s="2"/>
      <c r="C86" s="12"/>
      <c r="D86" s="12"/>
      <c r="E86" s="9"/>
      <c r="F86" s="12"/>
      <c r="G86" s="12"/>
      <c r="H86" s="12"/>
      <c r="I86" s="12"/>
      <c r="J86" s="5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12"/>
      <c r="B87" s="2"/>
      <c r="C87" s="12"/>
      <c r="D87" s="12"/>
      <c r="E87" s="9"/>
      <c r="F87" s="12"/>
      <c r="G87" s="12"/>
      <c r="H87" s="12"/>
      <c r="I87" s="12"/>
      <c r="J87" s="5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12"/>
      <c r="B88" s="2"/>
      <c r="C88" s="12"/>
      <c r="D88" s="12"/>
      <c r="E88" s="9"/>
      <c r="F88" s="12"/>
      <c r="G88" s="12"/>
      <c r="H88" s="12"/>
      <c r="I88" s="12"/>
      <c r="J88" s="5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2"/>
      <c r="B89" s="2"/>
      <c r="C89" s="12"/>
      <c r="D89" s="12"/>
      <c r="E89" s="9"/>
      <c r="F89" s="12"/>
      <c r="G89" s="12"/>
      <c r="H89" s="12"/>
      <c r="I89" s="12"/>
      <c r="J89" s="5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12"/>
      <c r="B90" s="2"/>
      <c r="C90" s="12"/>
      <c r="D90" s="12"/>
      <c r="E90" s="9"/>
      <c r="F90" s="12"/>
      <c r="G90" s="12"/>
      <c r="H90" s="12"/>
      <c r="I90" s="12"/>
      <c r="J90" s="5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12"/>
      <c r="B91" s="2"/>
      <c r="C91" s="12"/>
      <c r="D91" s="12"/>
      <c r="E91" s="9"/>
      <c r="F91" s="12"/>
      <c r="G91" s="12"/>
      <c r="H91" s="12"/>
      <c r="I91" s="12"/>
      <c r="J91" s="5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12"/>
      <c r="B92" s="2"/>
      <c r="C92" s="12"/>
      <c r="D92" s="12"/>
      <c r="E92" s="9"/>
      <c r="F92" s="12"/>
      <c r="G92" s="12"/>
      <c r="H92" s="12"/>
      <c r="I92" s="12"/>
      <c r="J92" s="5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5.75" customHeight="1">
      <c r="A93" s="12"/>
      <c r="B93" s="2"/>
      <c r="C93" s="12"/>
      <c r="D93" s="12"/>
      <c r="E93" s="9"/>
      <c r="F93" s="12"/>
      <c r="G93" s="12"/>
      <c r="H93" s="12"/>
      <c r="I93" s="12"/>
      <c r="J93" s="5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2"/>
      <c r="B94" s="2"/>
      <c r="C94" s="12"/>
      <c r="D94" s="12"/>
      <c r="E94" s="9"/>
      <c r="F94" s="12"/>
      <c r="G94" s="12"/>
      <c r="H94" s="12"/>
      <c r="I94" s="12"/>
      <c r="J94" s="5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2"/>
      <c r="C95" s="12"/>
      <c r="D95" s="12"/>
      <c r="E95" s="9"/>
      <c r="F95" s="12"/>
      <c r="G95" s="12"/>
      <c r="H95" s="12"/>
      <c r="I95" s="12"/>
      <c r="J95" s="5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2"/>
      <c r="C96" s="12"/>
      <c r="D96" s="12"/>
      <c r="E96" s="9"/>
      <c r="F96" s="12"/>
      <c r="G96" s="12"/>
      <c r="H96" s="12"/>
      <c r="I96" s="12"/>
      <c r="J96" s="5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2"/>
      <c r="C97" s="12"/>
      <c r="D97" s="12"/>
      <c r="E97" s="9"/>
      <c r="F97" s="12"/>
      <c r="G97" s="12"/>
      <c r="H97" s="12"/>
      <c r="I97" s="12"/>
      <c r="J97" s="5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2"/>
      <c r="C98" s="12"/>
      <c r="D98" s="12"/>
      <c r="E98" s="9"/>
      <c r="F98" s="12"/>
      <c r="G98" s="12"/>
      <c r="H98" s="12"/>
      <c r="I98" s="12"/>
      <c r="J98" s="5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2"/>
      <c r="C99" s="12"/>
      <c r="D99" s="12"/>
      <c r="E99" s="9"/>
      <c r="F99" s="12"/>
      <c r="G99" s="12"/>
      <c r="H99" s="12"/>
      <c r="I99" s="12"/>
      <c r="J99" s="5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2"/>
      <c r="C100" s="12"/>
      <c r="D100" s="12"/>
      <c r="E100" s="9"/>
      <c r="F100" s="12"/>
      <c r="G100" s="12"/>
      <c r="H100" s="12"/>
      <c r="I100" s="12"/>
      <c r="J100" s="5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2"/>
      <c r="C101" s="12"/>
      <c r="D101" s="12"/>
      <c r="E101" s="9"/>
      <c r="F101" s="12"/>
      <c r="G101" s="12"/>
      <c r="H101" s="12"/>
      <c r="I101" s="12"/>
      <c r="J101" s="5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2"/>
      <c r="C102" s="12"/>
      <c r="D102" s="12"/>
      <c r="E102" s="9"/>
      <c r="F102" s="12"/>
      <c r="G102" s="12"/>
      <c r="H102" s="12"/>
      <c r="I102" s="12"/>
      <c r="J102" s="5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2"/>
      <c r="C103" s="12"/>
      <c r="D103" s="12"/>
      <c r="E103" s="9"/>
      <c r="F103" s="12"/>
      <c r="G103" s="12"/>
      <c r="H103" s="12"/>
      <c r="I103" s="12"/>
      <c r="J103" s="5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2"/>
      <c r="C104" s="12"/>
      <c r="D104" s="12"/>
      <c r="E104" s="9"/>
      <c r="F104" s="12"/>
      <c r="G104" s="12"/>
      <c r="H104" s="12"/>
      <c r="I104" s="12"/>
      <c r="J104" s="5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2"/>
      <c r="C105" s="12"/>
      <c r="D105" s="12"/>
      <c r="E105" s="9"/>
      <c r="F105" s="12"/>
      <c r="G105" s="12"/>
      <c r="H105" s="12"/>
      <c r="I105" s="12"/>
      <c r="J105" s="5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2"/>
      <c r="C106" s="12"/>
      <c r="D106" s="12"/>
      <c r="E106" s="9"/>
      <c r="F106" s="12"/>
      <c r="G106" s="12"/>
      <c r="H106" s="12"/>
      <c r="I106" s="12"/>
      <c r="J106" s="5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2"/>
      <c r="C107" s="12"/>
      <c r="D107" s="12"/>
      <c r="E107" s="9"/>
      <c r="F107" s="12"/>
      <c r="G107" s="12"/>
      <c r="H107" s="12"/>
      <c r="I107" s="12"/>
      <c r="J107" s="5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2"/>
      <c r="C108" s="12"/>
      <c r="D108" s="12"/>
      <c r="E108" s="9"/>
      <c r="F108" s="12"/>
      <c r="G108" s="12"/>
      <c r="H108" s="12"/>
      <c r="I108" s="12"/>
      <c r="J108" s="5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2"/>
      <c r="C109" s="12"/>
      <c r="D109" s="12"/>
      <c r="E109" s="9"/>
      <c r="F109" s="12"/>
      <c r="G109" s="12"/>
      <c r="H109" s="12"/>
      <c r="I109" s="12"/>
      <c r="J109" s="5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2"/>
      <c r="C110" s="12"/>
      <c r="D110" s="12"/>
      <c r="E110" s="9"/>
      <c r="F110" s="12"/>
      <c r="G110" s="12"/>
      <c r="H110" s="12"/>
      <c r="I110" s="12"/>
      <c r="J110" s="5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2"/>
      <c r="C111" s="12"/>
      <c r="D111" s="12"/>
      <c r="E111" s="9"/>
      <c r="F111" s="12"/>
      <c r="G111" s="12"/>
      <c r="H111" s="12"/>
      <c r="I111" s="12"/>
      <c r="J111" s="5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2"/>
      <c r="C112" s="12"/>
      <c r="D112" s="12"/>
      <c r="E112" s="9"/>
      <c r="F112" s="12"/>
      <c r="G112" s="12"/>
      <c r="H112" s="12"/>
      <c r="I112" s="12"/>
      <c r="J112" s="5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2"/>
      <c r="C113" s="12"/>
      <c r="D113" s="12"/>
      <c r="E113" s="9"/>
      <c r="F113" s="12"/>
      <c r="G113" s="12"/>
      <c r="H113" s="12"/>
      <c r="I113" s="12"/>
      <c r="J113" s="5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2"/>
      <c r="C114" s="12"/>
      <c r="D114" s="12"/>
      <c r="E114" s="9"/>
      <c r="F114" s="12"/>
      <c r="G114" s="12"/>
      <c r="H114" s="12"/>
      <c r="I114" s="12"/>
      <c r="J114" s="5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2"/>
      <c r="C115" s="12"/>
      <c r="D115" s="12"/>
      <c r="E115" s="9"/>
      <c r="F115" s="12"/>
      <c r="G115" s="12"/>
      <c r="H115" s="12"/>
      <c r="I115" s="12"/>
      <c r="J115" s="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2"/>
      <c r="C116" s="12"/>
      <c r="D116" s="12"/>
      <c r="E116" s="9"/>
      <c r="F116" s="12"/>
      <c r="G116" s="12"/>
      <c r="H116" s="12"/>
      <c r="I116" s="12"/>
      <c r="J116" s="5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2"/>
      <c r="C117" s="12"/>
      <c r="D117" s="12"/>
      <c r="E117" s="9"/>
      <c r="F117" s="12"/>
      <c r="G117" s="12"/>
      <c r="H117" s="12"/>
      <c r="I117" s="12"/>
      <c r="J117" s="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2"/>
      <c r="C118" s="12"/>
      <c r="D118" s="12"/>
      <c r="E118" s="9"/>
      <c r="F118" s="12"/>
      <c r="G118" s="12"/>
      <c r="H118" s="12"/>
      <c r="I118" s="12"/>
      <c r="J118" s="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2"/>
      <c r="C119" s="12"/>
      <c r="D119" s="12"/>
      <c r="E119" s="9"/>
      <c r="F119" s="12"/>
      <c r="G119" s="12"/>
      <c r="H119" s="12"/>
      <c r="I119" s="12"/>
      <c r="J119" s="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2"/>
      <c r="C120" s="12"/>
      <c r="D120" s="12"/>
      <c r="E120" s="9"/>
      <c r="F120" s="12"/>
      <c r="G120" s="12"/>
      <c r="H120" s="12"/>
      <c r="I120" s="12"/>
      <c r="J120" s="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2"/>
      <c r="C121" s="12"/>
      <c r="D121" s="12"/>
      <c r="E121" s="9"/>
      <c r="F121" s="12"/>
      <c r="G121" s="12"/>
      <c r="H121" s="12"/>
      <c r="I121" s="12"/>
      <c r="J121" s="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2"/>
      <c r="C122" s="12"/>
      <c r="D122" s="12"/>
      <c r="E122" s="9"/>
      <c r="F122" s="12"/>
      <c r="G122" s="12"/>
      <c r="H122" s="12"/>
      <c r="I122" s="12"/>
      <c r="J122" s="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2"/>
      <c r="C123" s="12"/>
      <c r="D123" s="12"/>
      <c r="E123" s="9"/>
      <c r="F123" s="12"/>
      <c r="G123" s="12"/>
      <c r="H123" s="12"/>
      <c r="I123" s="12"/>
      <c r="J123" s="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2"/>
      <c r="C124" s="12"/>
      <c r="D124" s="12"/>
      <c r="E124" s="9"/>
      <c r="F124" s="12"/>
      <c r="G124" s="12"/>
      <c r="H124" s="12"/>
      <c r="I124" s="12"/>
      <c r="J124" s="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2"/>
      <c r="C125" s="12"/>
      <c r="D125" s="12"/>
      <c r="E125" s="9"/>
      <c r="F125" s="12"/>
      <c r="G125" s="12"/>
      <c r="H125" s="12"/>
      <c r="I125" s="12"/>
      <c r="J125" s="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2"/>
      <c r="C126" s="12"/>
      <c r="D126" s="12"/>
      <c r="E126" s="9"/>
      <c r="F126" s="12"/>
      <c r="G126" s="12"/>
      <c r="H126" s="12"/>
      <c r="I126" s="12"/>
      <c r="J126" s="5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2"/>
      <c r="C127" s="12"/>
      <c r="D127" s="12"/>
      <c r="E127" s="9"/>
      <c r="F127" s="12"/>
      <c r="G127" s="12"/>
      <c r="H127" s="12"/>
      <c r="I127" s="12"/>
      <c r="J127" s="5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2"/>
      <c r="C128" s="12"/>
      <c r="D128" s="12"/>
      <c r="E128" s="9"/>
      <c r="F128" s="12"/>
      <c r="G128" s="12"/>
      <c r="H128" s="12"/>
      <c r="I128" s="12"/>
      <c r="J128" s="5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2"/>
      <c r="C129" s="12"/>
      <c r="D129" s="12"/>
      <c r="E129" s="9"/>
      <c r="F129" s="12"/>
      <c r="G129" s="12"/>
      <c r="H129" s="12"/>
      <c r="I129" s="12"/>
      <c r="J129" s="5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2"/>
      <c r="C130" s="12"/>
      <c r="D130" s="12"/>
      <c r="E130" s="9"/>
      <c r="F130" s="12"/>
      <c r="G130" s="12"/>
      <c r="H130" s="12"/>
      <c r="I130" s="12"/>
      <c r="J130" s="5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2"/>
      <c r="C131" s="12"/>
      <c r="D131" s="12"/>
      <c r="E131" s="9"/>
      <c r="F131" s="12"/>
      <c r="G131" s="12"/>
      <c r="H131" s="12"/>
      <c r="I131" s="12"/>
      <c r="J131" s="5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2"/>
      <c r="C132" s="12"/>
      <c r="D132" s="12"/>
      <c r="E132" s="9"/>
      <c r="F132" s="12"/>
      <c r="G132" s="12"/>
      <c r="H132" s="12"/>
      <c r="I132" s="12"/>
      <c r="J132" s="5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2"/>
      <c r="C133" s="12"/>
      <c r="D133" s="12"/>
      <c r="E133" s="9"/>
      <c r="F133" s="12"/>
      <c r="G133" s="12"/>
      <c r="H133" s="12"/>
      <c r="I133" s="12"/>
      <c r="J133" s="5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2"/>
      <c r="C134" s="12"/>
      <c r="D134" s="12"/>
      <c r="E134" s="9"/>
      <c r="F134" s="12"/>
      <c r="G134" s="12"/>
      <c r="H134" s="12"/>
      <c r="I134" s="12"/>
      <c r="J134" s="5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2"/>
      <c r="C135" s="12"/>
      <c r="D135" s="12"/>
      <c r="E135" s="9"/>
      <c r="F135" s="12"/>
      <c r="G135" s="12"/>
      <c r="H135" s="12"/>
      <c r="I135" s="12"/>
      <c r="J135" s="5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2"/>
      <c r="C136" s="12"/>
      <c r="D136" s="12"/>
      <c r="E136" s="9"/>
      <c r="F136" s="12"/>
      <c r="G136" s="12"/>
      <c r="H136" s="12"/>
      <c r="I136" s="12"/>
      <c r="J136" s="5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2"/>
      <c r="C137" s="12"/>
      <c r="D137" s="12"/>
      <c r="E137" s="9"/>
      <c r="F137" s="12"/>
      <c r="G137" s="12"/>
      <c r="H137" s="12"/>
      <c r="I137" s="12"/>
      <c r="J137" s="5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2"/>
      <c r="C138" s="12"/>
      <c r="D138" s="12"/>
      <c r="E138" s="9"/>
      <c r="F138" s="12"/>
      <c r="G138" s="12"/>
      <c r="H138" s="12"/>
      <c r="I138" s="12"/>
      <c r="J138" s="5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2"/>
      <c r="C139" s="12"/>
      <c r="D139" s="12"/>
      <c r="E139" s="9"/>
      <c r="F139" s="12"/>
      <c r="G139" s="12"/>
      <c r="H139" s="12"/>
      <c r="I139" s="12"/>
      <c r="J139" s="5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2"/>
      <c r="C140" s="12"/>
      <c r="D140" s="12"/>
      <c r="E140" s="9"/>
      <c r="F140" s="12"/>
      <c r="G140" s="12"/>
      <c r="H140" s="12"/>
      <c r="I140" s="12"/>
      <c r="J140" s="5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2"/>
      <c r="C141" s="12"/>
      <c r="D141" s="12"/>
      <c r="E141" s="9"/>
      <c r="F141" s="12"/>
      <c r="G141" s="12"/>
      <c r="H141" s="12"/>
      <c r="I141" s="12"/>
      <c r="J141" s="5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2"/>
      <c r="C142" s="12"/>
      <c r="D142" s="12"/>
      <c r="E142" s="9"/>
      <c r="F142" s="12"/>
      <c r="G142" s="12"/>
      <c r="H142" s="12"/>
      <c r="I142" s="12"/>
      <c r="J142" s="5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2"/>
      <c r="C143" s="12"/>
      <c r="D143" s="12"/>
      <c r="E143" s="9"/>
      <c r="F143" s="12"/>
      <c r="G143" s="12"/>
      <c r="H143" s="12"/>
      <c r="I143" s="12"/>
      <c r="J143" s="5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2"/>
      <c r="C144" s="12"/>
      <c r="D144" s="12"/>
      <c r="E144" s="9"/>
      <c r="F144" s="12"/>
      <c r="G144" s="12"/>
      <c r="H144" s="12"/>
      <c r="I144" s="12"/>
      <c r="J144" s="5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2"/>
      <c r="C145" s="12"/>
      <c r="D145" s="12"/>
      <c r="E145" s="9"/>
      <c r="F145" s="12"/>
      <c r="G145" s="12"/>
      <c r="H145" s="12"/>
      <c r="I145" s="12"/>
      <c r="J145" s="5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2"/>
      <c r="C146" s="12"/>
      <c r="D146" s="12"/>
      <c r="E146" s="9"/>
      <c r="F146" s="12"/>
      <c r="G146" s="12"/>
      <c r="H146" s="12"/>
      <c r="I146" s="12"/>
      <c r="J146" s="5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2"/>
      <c r="C147" s="12"/>
      <c r="D147" s="12"/>
      <c r="E147" s="9"/>
      <c r="F147" s="12"/>
      <c r="G147" s="12"/>
      <c r="H147" s="12"/>
      <c r="I147" s="12"/>
      <c r="J147" s="5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2"/>
      <c r="C148" s="12"/>
      <c r="D148" s="12"/>
      <c r="E148" s="9"/>
      <c r="F148" s="12"/>
      <c r="G148" s="12"/>
      <c r="H148" s="12"/>
      <c r="I148" s="12"/>
      <c r="J148" s="5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2"/>
      <c r="C149" s="12"/>
      <c r="D149" s="12"/>
      <c r="E149" s="9"/>
      <c r="F149" s="12"/>
      <c r="G149" s="12"/>
      <c r="H149" s="12"/>
      <c r="I149" s="12"/>
      <c r="J149" s="5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2"/>
      <c r="C150" s="12"/>
      <c r="D150" s="12"/>
      <c r="E150" s="9"/>
      <c r="F150" s="12"/>
      <c r="G150" s="12"/>
      <c r="H150" s="12"/>
      <c r="I150" s="12"/>
      <c r="J150" s="5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2"/>
      <c r="C151" s="12"/>
      <c r="D151" s="12"/>
      <c r="E151" s="9"/>
      <c r="F151" s="12"/>
      <c r="G151" s="12"/>
      <c r="H151" s="12"/>
      <c r="I151" s="12"/>
      <c r="J151" s="5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2"/>
      <c r="C152" s="12"/>
      <c r="D152" s="12"/>
      <c r="E152" s="9"/>
      <c r="F152" s="12"/>
      <c r="G152" s="12"/>
      <c r="H152" s="12"/>
      <c r="I152" s="12"/>
      <c r="J152" s="5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2"/>
      <c r="C153" s="12"/>
      <c r="D153" s="12"/>
      <c r="E153" s="9"/>
      <c r="F153" s="12"/>
      <c r="G153" s="12"/>
      <c r="H153" s="12"/>
      <c r="I153" s="12"/>
      <c r="J153" s="5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2"/>
      <c r="C154" s="12"/>
      <c r="D154" s="12"/>
      <c r="E154" s="9"/>
      <c r="F154" s="12"/>
      <c r="G154" s="12"/>
      <c r="H154" s="12"/>
      <c r="I154" s="12"/>
      <c r="J154" s="5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2"/>
      <c r="C155" s="12"/>
      <c r="D155" s="12"/>
      <c r="E155" s="9"/>
      <c r="F155" s="12"/>
      <c r="G155" s="12"/>
      <c r="H155" s="12"/>
      <c r="I155" s="12"/>
      <c r="J155" s="5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2"/>
      <c r="C156" s="12"/>
      <c r="D156" s="12"/>
      <c r="E156" s="9"/>
      <c r="F156" s="12"/>
      <c r="G156" s="12"/>
      <c r="H156" s="12"/>
      <c r="I156" s="12"/>
      <c r="J156" s="5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2"/>
      <c r="C157" s="12"/>
      <c r="D157" s="12"/>
      <c r="E157" s="9"/>
      <c r="F157" s="12"/>
      <c r="G157" s="12"/>
      <c r="H157" s="12"/>
      <c r="I157" s="12"/>
      <c r="J157" s="5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2"/>
      <c r="C158" s="12"/>
      <c r="D158" s="12"/>
      <c r="E158" s="9"/>
      <c r="F158" s="12"/>
      <c r="G158" s="12"/>
      <c r="H158" s="12"/>
      <c r="I158" s="12"/>
      <c r="J158" s="5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2"/>
      <c r="C159" s="12"/>
      <c r="D159" s="12"/>
      <c r="E159" s="9"/>
      <c r="F159" s="12"/>
      <c r="G159" s="12"/>
      <c r="H159" s="12"/>
      <c r="I159" s="12"/>
      <c r="J159" s="5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2"/>
      <c r="C160" s="12"/>
      <c r="D160" s="12"/>
      <c r="E160" s="9"/>
      <c r="F160" s="12"/>
      <c r="G160" s="12"/>
      <c r="H160" s="12"/>
      <c r="I160" s="12"/>
      <c r="J160" s="5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2"/>
      <c r="C161" s="12"/>
      <c r="D161" s="12"/>
      <c r="E161" s="9"/>
      <c r="F161" s="12"/>
      <c r="G161" s="12"/>
      <c r="H161" s="12"/>
      <c r="I161" s="12"/>
      <c r="J161" s="5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2"/>
      <c r="C162" s="12"/>
      <c r="D162" s="12"/>
      <c r="E162" s="9"/>
      <c r="F162" s="12"/>
      <c r="G162" s="12"/>
      <c r="H162" s="12"/>
      <c r="I162" s="12"/>
      <c r="J162" s="5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2"/>
      <c r="C163" s="12"/>
      <c r="D163" s="12"/>
      <c r="E163" s="9"/>
      <c r="F163" s="12"/>
      <c r="G163" s="12"/>
      <c r="H163" s="12"/>
      <c r="I163" s="12"/>
      <c r="J163" s="5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2"/>
      <c r="C164" s="12"/>
      <c r="D164" s="12"/>
      <c r="E164" s="9"/>
      <c r="F164" s="12"/>
      <c r="G164" s="12"/>
      <c r="H164" s="12"/>
      <c r="I164" s="12"/>
      <c r="J164" s="5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2"/>
      <c r="C165" s="12"/>
      <c r="D165" s="12"/>
      <c r="E165" s="9"/>
      <c r="F165" s="12"/>
      <c r="G165" s="12"/>
      <c r="H165" s="12"/>
      <c r="I165" s="12"/>
      <c r="J165" s="5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2"/>
      <c r="C166" s="12"/>
      <c r="D166" s="12"/>
      <c r="E166" s="9"/>
      <c r="F166" s="12"/>
      <c r="G166" s="12"/>
      <c r="H166" s="12"/>
      <c r="I166" s="12"/>
      <c r="J166" s="5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2"/>
      <c r="C167" s="12"/>
      <c r="D167" s="12"/>
      <c r="E167" s="9"/>
      <c r="F167" s="12"/>
      <c r="G167" s="12"/>
      <c r="H167" s="12"/>
      <c r="I167" s="12"/>
      <c r="J167" s="5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2"/>
      <c r="C168" s="12"/>
      <c r="D168" s="12"/>
      <c r="E168" s="9"/>
      <c r="F168" s="12"/>
      <c r="G168" s="12"/>
      <c r="H168" s="12"/>
      <c r="I168" s="12"/>
      <c r="J168" s="5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2"/>
      <c r="C169" s="12"/>
      <c r="D169" s="12"/>
      <c r="E169" s="9"/>
      <c r="F169" s="12"/>
      <c r="G169" s="12"/>
      <c r="H169" s="12"/>
      <c r="I169" s="12"/>
      <c r="J169" s="5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2"/>
      <c r="C170" s="12"/>
      <c r="D170" s="12"/>
      <c r="E170" s="9"/>
      <c r="F170" s="12"/>
      <c r="G170" s="12"/>
      <c r="H170" s="12"/>
      <c r="I170" s="12"/>
      <c r="J170" s="5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2"/>
      <c r="C171" s="12"/>
      <c r="D171" s="12"/>
      <c r="E171" s="9"/>
      <c r="F171" s="12"/>
      <c r="G171" s="12"/>
      <c r="H171" s="12"/>
      <c r="I171" s="12"/>
      <c r="J171" s="5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2"/>
      <c r="C172" s="12"/>
      <c r="D172" s="12"/>
      <c r="E172" s="9"/>
      <c r="F172" s="12"/>
      <c r="G172" s="12"/>
      <c r="H172" s="12"/>
      <c r="I172" s="12"/>
      <c r="J172" s="5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2"/>
      <c r="C173" s="12"/>
      <c r="D173" s="12"/>
      <c r="E173" s="9"/>
      <c r="F173" s="12"/>
      <c r="G173" s="12"/>
      <c r="H173" s="12"/>
      <c r="I173" s="12"/>
      <c r="J173" s="5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2"/>
      <c r="C174" s="12"/>
      <c r="D174" s="12"/>
      <c r="E174" s="9"/>
      <c r="F174" s="12"/>
      <c r="G174" s="12"/>
      <c r="H174" s="12"/>
      <c r="I174" s="12"/>
      <c r="J174" s="5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2"/>
      <c r="C175" s="12"/>
      <c r="D175" s="12"/>
      <c r="E175" s="9"/>
      <c r="F175" s="12"/>
      <c r="G175" s="12"/>
      <c r="H175" s="12"/>
      <c r="I175" s="12"/>
      <c r="J175" s="5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2"/>
      <c r="C176" s="12"/>
      <c r="D176" s="12"/>
      <c r="E176" s="9"/>
      <c r="F176" s="12"/>
      <c r="G176" s="12"/>
      <c r="H176" s="12"/>
      <c r="I176" s="12"/>
      <c r="J176" s="5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2"/>
      <c r="C177" s="12"/>
      <c r="D177" s="12"/>
      <c r="E177" s="9"/>
      <c r="F177" s="12"/>
      <c r="G177" s="12"/>
      <c r="H177" s="12"/>
      <c r="I177" s="12"/>
      <c r="J177" s="5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2"/>
      <c r="C178" s="12"/>
      <c r="D178" s="12"/>
      <c r="E178" s="9"/>
      <c r="F178" s="12"/>
      <c r="G178" s="12"/>
      <c r="H178" s="12"/>
      <c r="I178" s="12"/>
      <c r="J178" s="5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2"/>
      <c r="C179" s="12"/>
      <c r="D179" s="12"/>
      <c r="E179" s="9"/>
      <c r="F179" s="12"/>
      <c r="G179" s="12"/>
      <c r="H179" s="12"/>
      <c r="I179" s="12"/>
      <c r="J179" s="5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2"/>
      <c r="C180" s="12"/>
      <c r="D180" s="12"/>
      <c r="E180" s="9"/>
      <c r="F180" s="12"/>
      <c r="G180" s="12"/>
      <c r="H180" s="12"/>
      <c r="I180" s="12"/>
      <c r="J180" s="5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2"/>
      <c r="C181" s="12"/>
      <c r="D181" s="12"/>
      <c r="E181" s="9"/>
      <c r="F181" s="12"/>
      <c r="G181" s="12"/>
      <c r="H181" s="12"/>
      <c r="I181" s="12"/>
      <c r="J181" s="5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2"/>
      <c r="C182" s="12"/>
      <c r="D182" s="12"/>
      <c r="E182" s="9"/>
      <c r="F182" s="12"/>
      <c r="G182" s="12"/>
      <c r="H182" s="12"/>
      <c r="I182" s="12"/>
      <c r="J182" s="5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2"/>
      <c r="C183" s="12"/>
      <c r="D183" s="12"/>
      <c r="E183" s="9"/>
      <c r="F183" s="12"/>
      <c r="G183" s="12"/>
      <c r="H183" s="12"/>
      <c r="I183" s="12"/>
      <c r="J183" s="5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2"/>
      <c r="C184" s="12"/>
      <c r="D184" s="12"/>
      <c r="E184" s="9"/>
      <c r="F184" s="12"/>
      <c r="G184" s="12"/>
      <c r="H184" s="12"/>
      <c r="I184" s="12"/>
      <c r="J184" s="5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2"/>
      <c r="C185" s="12"/>
      <c r="D185" s="12"/>
      <c r="E185" s="9"/>
      <c r="F185" s="12"/>
      <c r="G185" s="12"/>
      <c r="H185" s="12"/>
      <c r="I185" s="12"/>
      <c r="J185" s="5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2"/>
      <c r="C186" s="12"/>
      <c r="D186" s="12"/>
      <c r="E186" s="9"/>
      <c r="F186" s="12"/>
      <c r="G186" s="12"/>
      <c r="H186" s="12"/>
      <c r="I186" s="12"/>
      <c r="J186" s="5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2"/>
      <c r="C187" s="12"/>
      <c r="D187" s="12"/>
      <c r="E187" s="9"/>
      <c r="F187" s="12"/>
      <c r="G187" s="12"/>
      <c r="H187" s="12"/>
      <c r="I187" s="12"/>
      <c r="J187" s="5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2"/>
      <c r="C188" s="12"/>
      <c r="D188" s="12"/>
      <c r="E188" s="9"/>
      <c r="F188" s="12"/>
      <c r="G188" s="12"/>
      <c r="H188" s="12"/>
      <c r="I188" s="12"/>
      <c r="J188" s="5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2"/>
      <c r="C189" s="12"/>
      <c r="D189" s="12"/>
      <c r="E189" s="9"/>
      <c r="F189" s="12"/>
      <c r="G189" s="12"/>
      <c r="H189" s="12"/>
      <c r="I189" s="12"/>
      <c r="J189" s="5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2"/>
      <c r="C190" s="12"/>
      <c r="D190" s="12"/>
      <c r="E190" s="9"/>
      <c r="F190" s="12"/>
      <c r="G190" s="12"/>
      <c r="H190" s="12"/>
      <c r="I190" s="12"/>
      <c r="J190" s="5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2"/>
      <c r="C191" s="12"/>
      <c r="D191" s="12"/>
      <c r="E191" s="9"/>
      <c r="F191" s="12"/>
      <c r="G191" s="12"/>
      <c r="H191" s="12"/>
      <c r="I191" s="12"/>
      <c r="J191" s="5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2"/>
      <c r="C192" s="12"/>
      <c r="D192" s="12"/>
      <c r="E192" s="9"/>
      <c r="F192" s="12"/>
      <c r="G192" s="12"/>
      <c r="H192" s="12"/>
      <c r="I192" s="12"/>
      <c r="J192" s="5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2"/>
      <c r="C193" s="12"/>
      <c r="D193" s="12"/>
      <c r="E193" s="9"/>
      <c r="F193" s="12"/>
      <c r="G193" s="12"/>
      <c r="H193" s="12"/>
      <c r="I193" s="12"/>
      <c r="J193" s="5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2"/>
      <c r="C194" s="12"/>
      <c r="D194" s="12"/>
      <c r="E194" s="9"/>
      <c r="F194" s="12"/>
      <c r="G194" s="12"/>
      <c r="H194" s="12"/>
      <c r="I194" s="12"/>
      <c r="J194" s="5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2"/>
      <c r="C195" s="12"/>
      <c r="D195" s="12"/>
      <c r="E195" s="9"/>
      <c r="F195" s="12"/>
      <c r="G195" s="12"/>
      <c r="H195" s="12"/>
      <c r="I195" s="12"/>
      <c r="J195" s="5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2"/>
      <c r="C196" s="12"/>
      <c r="D196" s="12"/>
      <c r="E196" s="9"/>
      <c r="F196" s="12"/>
      <c r="G196" s="12"/>
      <c r="H196" s="12"/>
      <c r="I196" s="12"/>
      <c r="J196" s="5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2"/>
      <c r="C197" s="12"/>
      <c r="D197" s="12"/>
      <c r="E197" s="9"/>
      <c r="F197" s="12"/>
      <c r="G197" s="12"/>
      <c r="H197" s="12"/>
      <c r="I197" s="12"/>
      <c r="J197" s="5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2"/>
      <c r="C198" s="12"/>
      <c r="D198" s="12"/>
      <c r="E198" s="9"/>
      <c r="F198" s="12"/>
      <c r="G198" s="12"/>
      <c r="H198" s="12"/>
      <c r="I198" s="12"/>
      <c r="J198" s="5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2"/>
      <c r="C199" s="12"/>
      <c r="D199" s="12"/>
      <c r="E199" s="9"/>
      <c r="F199" s="12"/>
      <c r="G199" s="12"/>
      <c r="H199" s="12"/>
      <c r="I199" s="12"/>
      <c r="J199" s="5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2"/>
      <c r="C200" s="12"/>
      <c r="D200" s="12"/>
      <c r="E200" s="9"/>
      <c r="F200" s="12"/>
      <c r="G200" s="12"/>
      <c r="H200" s="12"/>
      <c r="I200" s="12"/>
      <c r="J200" s="5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2"/>
      <c r="C201" s="12"/>
      <c r="D201" s="12"/>
      <c r="E201" s="9"/>
      <c r="F201" s="12"/>
      <c r="G201" s="12"/>
      <c r="H201" s="12"/>
      <c r="I201" s="12"/>
      <c r="J201" s="5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2"/>
      <c r="C202" s="12"/>
      <c r="D202" s="12"/>
      <c r="E202" s="9"/>
      <c r="F202" s="12"/>
      <c r="G202" s="12"/>
      <c r="H202" s="12"/>
      <c r="I202" s="12"/>
      <c r="J202" s="5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2"/>
      <c r="C203" s="12"/>
      <c r="D203" s="12"/>
      <c r="E203" s="9"/>
      <c r="F203" s="12"/>
      <c r="G203" s="12"/>
      <c r="H203" s="12"/>
      <c r="I203" s="12"/>
      <c r="J203" s="5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2"/>
      <c r="C204" s="12"/>
      <c r="D204" s="12"/>
      <c r="E204" s="9"/>
      <c r="F204" s="12"/>
      <c r="G204" s="12"/>
      <c r="H204" s="12"/>
      <c r="I204" s="12"/>
      <c r="J204" s="5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2"/>
      <c r="C205" s="12"/>
      <c r="D205" s="12"/>
      <c r="E205" s="9"/>
      <c r="F205" s="12"/>
      <c r="G205" s="12"/>
      <c r="H205" s="12"/>
      <c r="I205" s="12"/>
      <c r="J205" s="5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2"/>
      <c r="C206" s="12"/>
      <c r="D206" s="12"/>
      <c r="E206" s="9"/>
      <c r="F206" s="12"/>
      <c r="G206" s="12"/>
      <c r="H206" s="12"/>
      <c r="I206" s="12"/>
      <c r="J206" s="5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2"/>
      <c r="C207" s="12"/>
      <c r="D207" s="12"/>
      <c r="E207" s="9"/>
      <c r="F207" s="12"/>
      <c r="G207" s="12"/>
      <c r="H207" s="12"/>
      <c r="I207" s="12"/>
      <c r="J207" s="5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2"/>
      <c r="C208" s="12"/>
      <c r="D208" s="12"/>
      <c r="E208" s="9"/>
      <c r="F208" s="12"/>
      <c r="G208" s="12"/>
      <c r="H208" s="12"/>
      <c r="I208" s="12"/>
      <c r="J208" s="5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2"/>
      <c r="C209" s="12"/>
      <c r="D209" s="12"/>
      <c r="E209" s="9"/>
      <c r="F209" s="12"/>
      <c r="G209" s="12"/>
      <c r="H209" s="12"/>
      <c r="I209" s="12"/>
      <c r="J209" s="5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2"/>
      <c r="C210" s="12"/>
      <c r="D210" s="12"/>
      <c r="E210" s="9"/>
      <c r="F210" s="12"/>
      <c r="G210" s="12"/>
      <c r="H210" s="12"/>
      <c r="I210" s="12"/>
      <c r="J210" s="5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2"/>
      <c r="C211" s="12"/>
      <c r="D211" s="12"/>
      <c r="E211" s="9"/>
      <c r="F211" s="12"/>
      <c r="G211" s="12"/>
      <c r="H211" s="12"/>
      <c r="I211" s="12"/>
      <c r="J211" s="5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2"/>
      <c r="C212" s="12"/>
      <c r="D212" s="12"/>
      <c r="E212" s="9"/>
      <c r="F212" s="12"/>
      <c r="G212" s="12"/>
      <c r="H212" s="12"/>
      <c r="I212" s="12"/>
      <c r="J212" s="5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2"/>
      <c r="C213" s="12"/>
      <c r="D213" s="12"/>
      <c r="E213" s="9"/>
      <c r="F213" s="12"/>
      <c r="G213" s="12"/>
      <c r="H213" s="12"/>
      <c r="I213" s="12"/>
      <c r="J213" s="5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2"/>
      <c r="C214" s="12"/>
      <c r="D214" s="12"/>
      <c r="E214" s="9"/>
      <c r="F214" s="12"/>
      <c r="G214" s="12"/>
      <c r="H214" s="12"/>
      <c r="I214" s="12"/>
      <c r="J214" s="5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2"/>
      <c r="C215" s="12"/>
      <c r="D215" s="12"/>
      <c r="E215" s="9"/>
      <c r="F215" s="12"/>
      <c r="G215" s="12"/>
      <c r="H215" s="12"/>
      <c r="I215" s="12"/>
      <c r="J215" s="5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2"/>
      <c r="C216" s="12"/>
      <c r="D216" s="12"/>
      <c r="E216" s="9"/>
      <c r="F216" s="12"/>
      <c r="G216" s="12"/>
      <c r="H216" s="12"/>
      <c r="I216" s="12"/>
      <c r="J216" s="5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2"/>
      <c r="C217" s="12"/>
      <c r="D217" s="12"/>
      <c r="E217" s="9"/>
      <c r="F217" s="12"/>
      <c r="G217" s="12"/>
      <c r="H217" s="12"/>
      <c r="I217" s="12"/>
      <c r="J217" s="5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2"/>
      <c r="C218" s="12"/>
      <c r="D218" s="12"/>
      <c r="E218" s="9"/>
      <c r="F218" s="12"/>
      <c r="G218" s="12"/>
      <c r="H218" s="12"/>
      <c r="I218" s="12"/>
      <c r="J218" s="5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2"/>
      <c r="C219" s="12"/>
      <c r="D219" s="12"/>
      <c r="E219" s="9"/>
      <c r="F219" s="12"/>
      <c r="G219" s="12"/>
      <c r="H219" s="12"/>
      <c r="I219" s="12"/>
      <c r="J219" s="5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2"/>
      <c r="C220" s="12"/>
      <c r="D220" s="12"/>
      <c r="E220" s="9"/>
      <c r="F220" s="12"/>
      <c r="G220" s="12"/>
      <c r="H220" s="12"/>
      <c r="I220" s="12"/>
      <c r="J220" s="5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2"/>
      <c r="C221" s="12"/>
      <c r="D221" s="12"/>
      <c r="E221" s="9"/>
      <c r="F221" s="12"/>
      <c r="G221" s="12"/>
      <c r="H221" s="12"/>
      <c r="I221" s="12"/>
      <c r="J221" s="5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2"/>
      <c r="C222" s="12"/>
      <c r="D222" s="12"/>
      <c r="E222" s="9"/>
      <c r="F222" s="12"/>
      <c r="G222" s="12"/>
      <c r="H222" s="12"/>
      <c r="I222" s="12"/>
      <c r="J222" s="5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2"/>
      <c r="C223" s="12"/>
      <c r="D223" s="12"/>
      <c r="E223" s="9"/>
      <c r="F223" s="12"/>
      <c r="G223" s="12"/>
      <c r="H223" s="12"/>
      <c r="I223" s="12"/>
      <c r="J223" s="5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2"/>
      <c r="C224" s="12"/>
      <c r="D224" s="12"/>
      <c r="E224" s="9"/>
      <c r="F224" s="12"/>
      <c r="G224" s="12"/>
      <c r="H224" s="12"/>
      <c r="I224" s="12"/>
      <c r="J224" s="5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2"/>
      <c r="C225" s="12"/>
      <c r="D225" s="12"/>
      <c r="E225" s="9"/>
      <c r="F225" s="12"/>
      <c r="G225" s="12"/>
      <c r="H225" s="12"/>
      <c r="I225" s="12"/>
      <c r="J225" s="5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2"/>
      <c r="C226" s="12"/>
      <c r="D226" s="12"/>
      <c r="E226" s="9"/>
      <c r="F226" s="12"/>
      <c r="G226" s="12"/>
      <c r="H226" s="12"/>
      <c r="I226" s="12"/>
      <c r="J226" s="5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2"/>
      <c r="C227" s="12"/>
      <c r="D227" s="12"/>
      <c r="E227" s="9"/>
      <c r="F227" s="12"/>
      <c r="G227" s="12"/>
      <c r="H227" s="12"/>
      <c r="I227" s="12"/>
      <c r="J227" s="5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2"/>
      <c r="C228" s="12"/>
      <c r="D228" s="12"/>
      <c r="E228" s="9"/>
      <c r="F228" s="12"/>
      <c r="G228" s="12"/>
      <c r="H228" s="12"/>
      <c r="I228" s="12"/>
      <c r="J228" s="5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2"/>
      <c r="C229" s="12"/>
      <c r="D229" s="12"/>
      <c r="E229" s="9"/>
      <c r="F229" s="12"/>
      <c r="G229" s="12"/>
      <c r="H229" s="12"/>
      <c r="I229" s="12"/>
      <c r="J229" s="5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2"/>
      <c r="C230" s="12"/>
      <c r="D230" s="12"/>
      <c r="E230" s="9"/>
      <c r="F230" s="12"/>
      <c r="G230" s="12"/>
      <c r="H230" s="12"/>
      <c r="I230" s="12"/>
      <c r="J230" s="5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2"/>
      <c r="C231" s="12"/>
      <c r="D231" s="12"/>
      <c r="E231" s="9"/>
      <c r="F231" s="12"/>
      <c r="G231" s="12"/>
      <c r="H231" s="12"/>
      <c r="I231" s="12"/>
      <c r="J231" s="5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2"/>
      <c r="C232" s="12"/>
      <c r="D232" s="12"/>
      <c r="E232" s="9"/>
      <c r="F232" s="12"/>
      <c r="G232" s="12"/>
      <c r="H232" s="12"/>
      <c r="I232" s="12"/>
      <c r="J232" s="5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2"/>
      <c r="C233" s="12"/>
      <c r="D233" s="12"/>
      <c r="E233" s="9"/>
      <c r="F233" s="12"/>
      <c r="G233" s="12"/>
      <c r="H233" s="12"/>
      <c r="I233" s="12"/>
      <c r="J233" s="5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2"/>
      <c r="C234" s="12"/>
      <c r="D234" s="12"/>
      <c r="E234" s="9"/>
      <c r="F234" s="12"/>
      <c r="G234" s="12"/>
      <c r="H234" s="12"/>
      <c r="I234" s="12"/>
      <c r="J234" s="5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2"/>
      <c r="C235" s="12"/>
      <c r="D235" s="12"/>
      <c r="E235" s="9"/>
      <c r="F235" s="12"/>
      <c r="G235" s="12"/>
      <c r="H235" s="12"/>
      <c r="I235" s="12"/>
      <c r="J235" s="5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2"/>
      <c r="C236" s="12"/>
      <c r="D236" s="12"/>
      <c r="E236" s="9"/>
      <c r="F236" s="12"/>
      <c r="G236" s="12"/>
      <c r="H236" s="12"/>
      <c r="I236" s="12"/>
      <c r="J236" s="5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2"/>
      <c r="C237" s="12"/>
      <c r="D237" s="12"/>
      <c r="E237" s="9"/>
      <c r="F237" s="12"/>
      <c r="G237" s="12"/>
      <c r="H237" s="12"/>
      <c r="I237" s="12"/>
      <c r="J237" s="5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2"/>
      <c r="C238" s="12"/>
      <c r="D238" s="12"/>
      <c r="E238" s="9"/>
      <c r="F238" s="12"/>
      <c r="G238" s="12"/>
      <c r="H238" s="12"/>
      <c r="I238" s="12"/>
      <c r="J238" s="5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2"/>
      <c r="C239" s="12"/>
      <c r="D239" s="12"/>
      <c r="E239" s="9"/>
      <c r="F239" s="12"/>
      <c r="G239" s="12"/>
      <c r="H239" s="12"/>
      <c r="I239" s="12"/>
      <c r="J239" s="5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2"/>
      <c r="C240" s="12"/>
      <c r="D240" s="12"/>
      <c r="E240" s="9"/>
      <c r="F240" s="12"/>
      <c r="G240" s="12"/>
      <c r="H240" s="12"/>
      <c r="I240" s="12"/>
      <c r="J240" s="5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2"/>
      <c r="C241" s="12"/>
      <c r="D241" s="12"/>
      <c r="E241" s="9"/>
      <c r="F241" s="12"/>
      <c r="G241" s="12"/>
      <c r="H241" s="12"/>
      <c r="I241" s="12"/>
      <c r="J241" s="5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2"/>
      <c r="C242" s="12"/>
      <c r="D242" s="12"/>
      <c r="E242" s="9"/>
      <c r="F242" s="12"/>
      <c r="G242" s="12"/>
      <c r="H242" s="12"/>
      <c r="I242" s="12"/>
      <c r="J242" s="5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2"/>
      <c r="C243" s="12"/>
      <c r="D243" s="12"/>
      <c r="E243" s="9"/>
      <c r="F243" s="12"/>
      <c r="G243" s="12"/>
      <c r="H243" s="12"/>
      <c r="I243" s="12"/>
      <c r="J243" s="5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2"/>
      <c r="C244" s="12"/>
      <c r="D244" s="12"/>
      <c r="E244" s="9"/>
      <c r="F244" s="12"/>
      <c r="G244" s="12"/>
      <c r="H244" s="12"/>
      <c r="I244" s="12"/>
      <c r="J244" s="5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2"/>
      <c r="C245" s="12"/>
      <c r="D245" s="12"/>
      <c r="E245" s="9"/>
      <c r="F245" s="12"/>
      <c r="G245" s="12"/>
      <c r="H245" s="12"/>
      <c r="I245" s="12"/>
      <c r="J245" s="5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2"/>
      <c r="C246" s="12"/>
      <c r="D246" s="12"/>
      <c r="E246" s="9"/>
      <c r="F246" s="12"/>
      <c r="G246" s="12"/>
      <c r="H246" s="12"/>
      <c r="I246" s="12"/>
      <c r="J246" s="5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2"/>
      <c r="C247" s="12"/>
      <c r="D247" s="12"/>
      <c r="E247" s="9"/>
      <c r="F247" s="12"/>
      <c r="G247" s="12"/>
      <c r="H247" s="12"/>
      <c r="I247" s="12"/>
      <c r="J247" s="5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2"/>
      <c r="C248" s="12"/>
      <c r="D248" s="12"/>
      <c r="E248" s="9"/>
      <c r="F248" s="12"/>
      <c r="G248" s="12"/>
      <c r="H248" s="12"/>
      <c r="I248" s="12"/>
      <c r="J248" s="5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12"/>
      <c r="B249" s="2"/>
      <c r="C249" s="12"/>
      <c r="D249" s="12"/>
      <c r="E249" s="9"/>
      <c r="F249" s="12"/>
      <c r="G249" s="12"/>
      <c r="H249" s="12"/>
      <c r="I249" s="12"/>
      <c r="J249" s="5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5.75" customHeight="1">
      <c r="A250" s="12"/>
      <c r="B250" s="2"/>
      <c r="C250" s="12"/>
      <c r="D250" s="12"/>
      <c r="E250" s="9"/>
      <c r="F250" s="12"/>
      <c r="G250" s="12"/>
      <c r="H250" s="12"/>
      <c r="I250" s="12"/>
      <c r="J250" s="5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5.75" customHeight="1">
      <c r="A251" s="12"/>
      <c r="B251" s="2"/>
      <c r="C251" s="12"/>
      <c r="D251" s="12"/>
      <c r="E251" s="9"/>
      <c r="F251" s="12"/>
      <c r="G251" s="12"/>
      <c r="H251" s="12"/>
      <c r="I251" s="12"/>
      <c r="J251" s="5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5.75" customHeight="1">
      <c r="A252" s="12"/>
      <c r="B252" s="2"/>
      <c r="C252" s="12"/>
      <c r="D252" s="12"/>
      <c r="E252" s="9"/>
      <c r="F252" s="12"/>
      <c r="G252" s="12"/>
      <c r="H252" s="12"/>
      <c r="I252" s="12"/>
      <c r="J252" s="5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5.75" customHeight="1">
      <c r="A253" s="12"/>
      <c r="B253" s="2"/>
      <c r="C253" s="12"/>
      <c r="D253" s="12"/>
      <c r="E253" s="9"/>
      <c r="F253" s="12"/>
      <c r="G253" s="12"/>
      <c r="H253" s="12"/>
      <c r="I253" s="12"/>
      <c r="J253" s="5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5.75" customHeight="1">
      <c r="A254" s="12"/>
      <c r="B254" s="2"/>
      <c r="C254" s="12"/>
      <c r="D254" s="12"/>
      <c r="E254" s="9"/>
      <c r="F254" s="12"/>
      <c r="G254" s="12"/>
      <c r="H254" s="12"/>
      <c r="I254" s="12"/>
      <c r="J254" s="5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5.75" customHeight="1">
      <c r="A255" s="12"/>
      <c r="B255" s="2"/>
      <c r="C255" s="12"/>
      <c r="D255" s="12"/>
      <c r="E255" s="9"/>
      <c r="F255" s="12"/>
      <c r="G255" s="12"/>
      <c r="H255" s="12"/>
      <c r="I255" s="12"/>
      <c r="J255" s="5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5.75" customHeight="1">
      <c r="A256" s="12"/>
      <c r="B256" s="2"/>
      <c r="C256" s="12"/>
      <c r="D256" s="12"/>
      <c r="E256" s="9"/>
      <c r="F256" s="12"/>
      <c r="G256" s="12"/>
      <c r="H256" s="12"/>
      <c r="I256" s="12"/>
      <c r="J256" s="5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5.75" customHeight="1">
      <c r="A257" s="12"/>
      <c r="B257" s="2"/>
      <c r="C257" s="12"/>
      <c r="D257" s="12"/>
      <c r="E257" s="9"/>
      <c r="F257" s="12"/>
      <c r="G257" s="12"/>
      <c r="H257" s="12"/>
      <c r="I257" s="12"/>
      <c r="J257" s="5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5.75" customHeight="1">
      <c r="A258" s="12"/>
      <c r="B258" s="2"/>
      <c r="C258" s="12"/>
      <c r="D258" s="12"/>
      <c r="E258" s="9"/>
      <c r="F258" s="12"/>
      <c r="G258" s="12"/>
      <c r="H258" s="12"/>
      <c r="I258" s="12"/>
      <c r="J258" s="5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5.75" customHeight="1">
      <c r="A259" s="12"/>
      <c r="B259" s="2"/>
      <c r="C259" s="12"/>
      <c r="D259" s="12"/>
      <c r="E259" s="9"/>
      <c r="F259" s="12"/>
      <c r="G259" s="12"/>
      <c r="H259" s="12"/>
      <c r="I259" s="12"/>
      <c r="J259" s="5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5.75" customHeight="1">
      <c r="A260" s="12"/>
      <c r="B260" s="2"/>
      <c r="C260" s="12"/>
      <c r="D260" s="12"/>
      <c r="E260" s="9"/>
      <c r="F260" s="12"/>
      <c r="G260" s="12"/>
      <c r="H260" s="12"/>
      <c r="I260" s="12"/>
      <c r="J260" s="5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5.75" customHeight="1">
      <c r="A261" s="12"/>
      <c r="B261" s="2"/>
      <c r="C261" s="12"/>
      <c r="D261" s="12"/>
      <c r="E261" s="9"/>
      <c r="F261" s="12"/>
      <c r="G261" s="12"/>
      <c r="H261" s="12"/>
      <c r="I261" s="12"/>
      <c r="J261" s="5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5.75" customHeight="1">
      <c r="A262" s="12"/>
      <c r="B262" s="2"/>
      <c r="C262" s="12"/>
      <c r="D262" s="12"/>
      <c r="E262" s="9"/>
      <c r="F262" s="12"/>
      <c r="G262" s="12"/>
      <c r="H262" s="12"/>
      <c r="I262" s="12"/>
      <c r="J262" s="5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5.75" customHeight="1">
      <c r="A263" s="12"/>
      <c r="B263" s="2"/>
      <c r="C263" s="12"/>
      <c r="D263" s="12"/>
      <c r="E263" s="9"/>
      <c r="F263" s="12"/>
      <c r="G263" s="12"/>
      <c r="H263" s="12"/>
      <c r="I263" s="12"/>
      <c r="J263" s="5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5.75" customHeight="1">
      <c r="A264" s="12"/>
      <c r="B264" s="2"/>
      <c r="C264" s="12"/>
      <c r="D264" s="12"/>
      <c r="E264" s="9"/>
      <c r="F264" s="12"/>
      <c r="G264" s="12"/>
      <c r="H264" s="12"/>
      <c r="I264" s="12"/>
      <c r="J264" s="5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5.75" customHeight="1">
      <c r="A265" s="12"/>
      <c r="B265" s="2"/>
      <c r="C265" s="12"/>
      <c r="D265" s="12"/>
      <c r="E265" s="9"/>
      <c r="F265" s="12"/>
      <c r="G265" s="12"/>
      <c r="H265" s="12"/>
      <c r="I265" s="12"/>
      <c r="J265" s="5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5.75" customHeight="1">
      <c r="A266" s="12"/>
      <c r="B266" s="2"/>
      <c r="C266" s="12"/>
      <c r="D266" s="12"/>
      <c r="E266" s="9"/>
      <c r="F266" s="12"/>
      <c r="G266" s="12"/>
      <c r="H266" s="12"/>
      <c r="I266" s="12"/>
      <c r="J266" s="5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5.75" customHeight="1">
      <c r="A267" s="12"/>
      <c r="B267" s="2"/>
      <c r="C267" s="12"/>
      <c r="D267" s="12"/>
      <c r="E267" s="9"/>
      <c r="F267" s="12"/>
      <c r="G267" s="12"/>
      <c r="H267" s="12"/>
      <c r="I267" s="12"/>
      <c r="J267" s="5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5.75" customHeight="1">
      <c r="A268" s="12"/>
      <c r="B268" s="2"/>
      <c r="C268" s="12"/>
      <c r="D268" s="12"/>
      <c r="E268" s="9"/>
      <c r="F268" s="12"/>
      <c r="G268" s="12"/>
      <c r="H268" s="12"/>
      <c r="I268" s="12"/>
      <c r="J268" s="5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5.75" customHeight="1">
      <c r="A269" s="12"/>
      <c r="B269" s="2"/>
      <c r="C269" s="12"/>
      <c r="D269" s="12"/>
      <c r="E269" s="9"/>
      <c r="F269" s="12"/>
      <c r="G269" s="12"/>
      <c r="H269" s="12"/>
      <c r="I269" s="12"/>
      <c r="J269" s="5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5.75" customHeight="1">
      <c r="A270" s="12"/>
      <c r="B270" s="2"/>
      <c r="C270" s="12"/>
      <c r="D270" s="12"/>
      <c r="E270" s="9"/>
      <c r="F270" s="12"/>
      <c r="G270" s="12"/>
      <c r="H270" s="12"/>
      <c r="I270" s="12"/>
      <c r="J270" s="5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5.75" customHeight="1">
      <c r="A271" s="12"/>
      <c r="B271" s="2"/>
      <c r="C271" s="12"/>
      <c r="D271" s="12"/>
      <c r="E271" s="9"/>
      <c r="F271" s="12"/>
      <c r="G271" s="12"/>
      <c r="H271" s="12"/>
      <c r="I271" s="12"/>
      <c r="J271" s="5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5.75" customHeight="1">
      <c r="A272" s="12"/>
      <c r="B272" s="2"/>
      <c r="C272" s="12"/>
      <c r="D272" s="12"/>
      <c r="E272" s="9"/>
      <c r="F272" s="12"/>
      <c r="G272" s="12"/>
      <c r="H272" s="12"/>
      <c r="I272" s="12"/>
      <c r="J272" s="5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5.75" customHeight="1">
      <c r="A273" s="12"/>
      <c r="B273" s="2"/>
      <c r="C273" s="12"/>
      <c r="D273" s="12"/>
      <c r="E273" s="9"/>
      <c r="F273" s="12"/>
      <c r="G273" s="12"/>
      <c r="H273" s="12"/>
      <c r="I273" s="12"/>
      <c r="J273" s="5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5.75" customHeight="1">
      <c r="A274" s="12"/>
      <c r="B274" s="2"/>
      <c r="C274" s="12"/>
      <c r="D274" s="12"/>
      <c r="E274" s="9"/>
      <c r="F274" s="12"/>
      <c r="G274" s="12"/>
      <c r="H274" s="12"/>
      <c r="I274" s="12"/>
      <c r="J274" s="5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5.75" customHeight="1">
      <c r="A275" s="12"/>
      <c r="B275" s="2"/>
      <c r="C275" s="12"/>
      <c r="D275" s="12"/>
      <c r="E275" s="9"/>
      <c r="F275" s="12"/>
      <c r="G275" s="12"/>
      <c r="H275" s="12"/>
      <c r="I275" s="12"/>
      <c r="J275" s="5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5.75" customHeight="1">
      <c r="A276" s="12"/>
      <c r="B276" s="2"/>
      <c r="C276" s="12"/>
      <c r="D276" s="12"/>
      <c r="E276" s="9"/>
      <c r="F276" s="12"/>
      <c r="G276" s="12"/>
      <c r="H276" s="12"/>
      <c r="I276" s="12"/>
      <c r="J276" s="5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5.75" customHeight="1">
      <c r="A277" s="12"/>
      <c r="B277" s="2"/>
      <c r="C277" s="12"/>
      <c r="D277" s="12"/>
      <c r="E277" s="9"/>
      <c r="F277" s="12"/>
      <c r="G277" s="12"/>
      <c r="H277" s="12"/>
      <c r="I277" s="12"/>
      <c r="J277" s="5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5.75" customHeight="1">
      <c r="A278" s="12"/>
      <c r="B278" s="2"/>
      <c r="C278" s="12"/>
      <c r="D278" s="12"/>
      <c r="E278" s="9"/>
      <c r="F278" s="12"/>
      <c r="G278" s="12"/>
      <c r="H278" s="12"/>
      <c r="I278" s="12"/>
      <c r="J278" s="5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5.75" customHeight="1">
      <c r="A279" s="12"/>
      <c r="B279" s="2"/>
      <c r="C279" s="12"/>
      <c r="D279" s="12"/>
      <c r="E279" s="9"/>
      <c r="F279" s="12"/>
      <c r="G279" s="12"/>
      <c r="H279" s="12"/>
      <c r="I279" s="12"/>
      <c r="J279" s="5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5.75" customHeight="1">
      <c r="A280" s="12"/>
      <c r="B280" s="2"/>
      <c r="C280" s="12"/>
      <c r="D280" s="12"/>
      <c r="E280" s="9"/>
      <c r="F280" s="12"/>
      <c r="G280" s="12"/>
      <c r="H280" s="12"/>
      <c r="I280" s="12"/>
      <c r="J280" s="5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5.75" customHeight="1">
      <c r="A281" s="12"/>
      <c r="B281" s="2"/>
      <c r="C281" s="12"/>
      <c r="D281" s="12"/>
      <c r="E281" s="9"/>
      <c r="F281" s="12"/>
      <c r="G281" s="12"/>
      <c r="H281" s="12"/>
      <c r="I281" s="12"/>
      <c r="J281" s="5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5.75" customHeight="1">
      <c r="A282" s="12"/>
      <c r="B282" s="2"/>
      <c r="C282" s="12"/>
      <c r="D282" s="12"/>
      <c r="E282" s="9"/>
      <c r="F282" s="12"/>
      <c r="G282" s="12"/>
      <c r="H282" s="12"/>
      <c r="I282" s="12"/>
      <c r="J282" s="5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5.75" customHeight="1">
      <c r="A283" s="12"/>
      <c r="B283" s="2"/>
      <c r="C283" s="12"/>
      <c r="D283" s="12"/>
      <c r="E283" s="9"/>
      <c r="F283" s="12"/>
      <c r="G283" s="12"/>
      <c r="H283" s="12"/>
      <c r="I283" s="12"/>
      <c r="J283" s="5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5.75" customHeight="1">
      <c r="A284" s="12"/>
      <c r="B284" s="2"/>
      <c r="C284" s="12"/>
      <c r="D284" s="12"/>
      <c r="E284" s="9"/>
      <c r="F284" s="12"/>
      <c r="G284" s="12"/>
      <c r="H284" s="12"/>
      <c r="I284" s="12"/>
      <c r="J284" s="5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5.75" customHeight="1">
      <c r="A285" s="12"/>
      <c r="B285" s="2"/>
      <c r="C285" s="12"/>
      <c r="D285" s="12"/>
      <c r="E285" s="9"/>
      <c r="F285" s="12"/>
      <c r="G285" s="12"/>
      <c r="H285" s="12"/>
      <c r="I285" s="12"/>
      <c r="J285" s="5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5.75" customHeight="1">
      <c r="A286" s="12"/>
      <c r="B286" s="2"/>
      <c r="C286" s="12"/>
      <c r="D286" s="12"/>
      <c r="E286" s="9"/>
      <c r="F286" s="12"/>
      <c r="G286" s="12"/>
      <c r="H286" s="12"/>
      <c r="I286" s="12"/>
      <c r="J286" s="5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5.75" customHeight="1">
      <c r="A287" s="12"/>
      <c r="B287" s="2"/>
      <c r="C287" s="12"/>
      <c r="D287" s="12"/>
      <c r="E287" s="9"/>
      <c r="F287" s="12"/>
      <c r="G287" s="12"/>
      <c r="H287" s="12"/>
      <c r="I287" s="12"/>
      <c r="J287" s="5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5.75" customHeight="1">
      <c r="A288" s="12"/>
      <c r="B288" s="2"/>
      <c r="C288" s="12"/>
      <c r="D288" s="12"/>
      <c r="E288" s="9"/>
      <c r="F288" s="12"/>
      <c r="G288" s="12"/>
      <c r="H288" s="12"/>
      <c r="I288" s="12"/>
      <c r="J288" s="5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5.75" customHeight="1">
      <c r="A289" s="12"/>
      <c r="B289" s="2"/>
      <c r="C289" s="12"/>
      <c r="D289" s="12"/>
      <c r="E289" s="9"/>
      <c r="F289" s="12"/>
      <c r="G289" s="12"/>
      <c r="H289" s="12"/>
      <c r="I289" s="12"/>
      <c r="J289" s="5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5.75" customHeight="1">
      <c r="A290" s="12"/>
      <c r="B290" s="2"/>
      <c r="C290" s="12"/>
      <c r="D290" s="12"/>
      <c r="E290" s="9"/>
      <c r="F290" s="12"/>
      <c r="G290" s="12"/>
      <c r="H290" s="12"/>
      <c r="I290" s="12"/>
      <c r="J290" s="5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5.75" customHeight="1">
      <c r="A291" s="12"/>
      <c r="B291" s="2"/>
      <c r="C291" s="12"/>
      <c r="D291" s="12"/>
      <c r="E291" s="9"/>
      <c r="F291" s="12"/>
      <c r="G291" s="12"/>
      <c r="H291" s="12"/>
      <c r="I291" s="12"/>
      <c r="J291" s="5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5.75" customHeight="1">
      <c r="A292" s="12"/>
      <c r="B292" s="2"/>
      <c r="C292" s="12"/>
      <c r="D292" s="12"/>
      <c r="E292" s="9"/>
      <c r="F292" s="12"/>
      <c r="G292" s="12"/>
      <c r="H292" s="12"/>
      <c r="I292" s="12"/>
      <c r="J292" s="5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5.75" customHeight="1">
      <c r="A293" s="12"/>
      <c r="B293" s="2"/>
      <c r="C293" s="12"/>
      <c r="D293" s="12"/>
      <c r="E293" s="9"/>
      <c r="F293" s="12"/>
      <c r="G293" s="12"/>
      <c r="H293" s="12"/>
      <c r="I293" s="12"/>
      <c r="J293" s="5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5.75" customHeight="1">
      <c r="A294" s="12"/>
      <c r="B294" s="2"/>
      <c r="C294" s="12"/>
      <c r="D294" s="12"/>
      <c r="E294" s="9"/>
      <c r="F294" s="12"/>
      <c r="G294" s="12"/>
      <c r="H294" s="12"/>
      <c r="I294" s="12"/>
      <c r="J294" s="5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5.75" customHeight="1">
      <c r="A295" s="12"/>
      <c r="B295" s="2"/>
      <c r="C295" s="12"/>
      <c r="D295" s="12"/>
      <c r="E295" s="9"/>
      <c r="F295" s="12"/>
      <c r="G295" s="12"/>
      <c r="H295" s="12"/>
      <c r="I295" s="12"/>
      <c r="J295" s="5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5.75" customHeight="1">
      <c r="A296" s="12"/>
      <c r="B296" s="2"/>
      <c r="C296" s="12"/>
      <c r="D296" s="12"/>
      <c r="E296" s="9"/>
      <c r="F296" s="12"/>
      <c r="G296" s="12"/>
      <c r="H296" s="12"/>
      <c r="I296" s="12"/>
      <c r="J296" s="5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5.75" customHeight="1">
      <c r="A297" s="12"/>
      <c r="B297" s="2"/>
      <c r="C297" s="12"/>
      <c r="D297" s="12"/>
      <c r="E297" s="9"/>
      <c r="F297" s="12"/>
      <c r="G297" s="12"/>
      <c r="H297" s="12"/>
      <c r="I297" s="12"/>
      <c r="J297" s="5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5.75" customHeight="1">
      <c r="A298" s="12"/>
      <c r="B298" s="2"/>
      <c r="C298" s="12"/>
      <c r="D298" s="12"/>
      <c r="E298" s="9"/>
      <c r="F298" s="12"/>
      <c r="G298" s="12"/>
      <c r="H298" s="12"/>
      <c r="I298" s="12"/>
      <c r="J298" s="5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5.75" customHeight="1">
      <c r="A299" s="12"/>
      <c r="B299" s="2"/>
      <c r="C299" s="12"/>
      <c r="D299" s="12"/>
      <c r="E299" s="9"/>
      <c r="F299" s="12"/>
      <c r="G299" s="12"/>
      <c r="H299" s="12"/>
      <c r="I299" s="12"/>
      <c r="J299" s="5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5.75" customHeight="1">
      <c r="A300" s="12"/>
      <c r="B300" s="2"/>
      <c r="C300" s="12"/>
      <c r="D300" s="12"/>
      <c r="E300" s="9"/>
      <c r="F300" s="12"/>
      <c r="G300" s="12"/>
      <c r="H300" s="12"/>
      <c r="I300" s="12"/>
      <c r="J300" s="5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5.75" customHeight="1">
      <c r="A301" s="12"/>
      <c r="B301" s="2"/>
      <c r="C301" s="12"/>
      <c r="D301" s="12"/>
      <c r="E301" s="9"/>
      <c r="F301" s="12"/>
      <c r="G301" s="12"/>
      <c r="H301" s="12"/>
      <c r="I301" s="12"/>
      <c r="J301" s="5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5.75" customHeight="1">
      <c r="A302" s="12"/>
      <c r="B302" s="2"/>
      <c r="C302" s="12"/>
      <c r="D302" s="12"/>
      <c r="E302" s="9"/>
      <c r="F302" s="12"/>
      <c r="G302" s="12"/>
      <c r="H302" s="12"/>
      <c r="I302" s="12"/>
      <c r="J302" s="5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5.75" customHeight="1">
      <c r="A303" s="12"/>
      <c r="B303" s="2"/>
      <c r="C303" s="12"/>
      <c r="D303" s="12"/>
      <c r="E303" s="9"/>
      <c r="F303" s="12"/>
      <c r="G303" s="12"/>
      <c r="H303" s="12"/>
      <c r="I303" s="12"/>
      <c r="J303" s="5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5.75" customHeight="1">
      <c r="A304" s="12"/>
      <c r="B304" s="2"/>
      <c r="C304" s="12"/>
      <c r="D304" s="12"/>
      <c r="E304" s="9"/>
      <c r="F304" s="12"/>
      <c r="G304" s="12"/>
      <c r="H304" s="12"/>
      <c r="I304" s="12"/>
      <c r="J304" s="5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5.75" customHeight="1">
      <c r="A305" s="12"/>
      <c r="B305" s="2"/>
      <c r="C305" s="12"/>
      <c r="D305" s="12"/>
      <c r="E305" s="9"/>
      <c r="F305" s="12"/>
      <c r="G305" s="12"/>
      <c r="H305" s="12"/>
      <c r="I305" s="12"/>
      <c r="J305" s="5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5.75" customHeight="1">
      <c r="A306" s="12"/>
      <c r="B306" s="2"/>
      <c r="C306" s="12"/>
      <c r="D306" s="12"/>
      <c r="E306" s="9"/>
      <c r="F306" s="12"/>
      <c r="G306" s="12"/>
      <c r="H306" s="12"/>
      <c r="I306" s="12"/>
      <c r="J306" s="5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5.75" customHeight="1">
      <c r="A307" s="12"/>
      <c r="B307" s="2"/>
      <c r="C307" s="12"/>
      <c r="D307" s="12"/>
      <c r="E307" s="9"/>
      <c r="F307" s="12"/>
      <c r="G307" s="12"/>
      <c r="H307" s="12"/>
      <c r="I307" s="12"/>
      <c r="J307" s="5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5.75" customHeight="1">
      <c r="A308" s="12"/>
      <c r="B308" s="2"/>
      <c r="C308" s="12"/>
      <c r="D308" s="12"/>
      <c r="E308" s="9"/>
      <c r="F308" s="12"/>
      <c r="G308" s="12"/>
      <c r="H308" s="12"/>
      <c r="I308" s="12"/>
      <c r="J308" s="5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5.75" customHeight="1">
      <c r="A309" s="12"/>
      <c r="B309" s="2"/>
      <c r="C309" s="12"/>
      <c r="D309" s="12"/>
      <c r="E309" s="9"/>
      <c r="F309" s="12"/>
      <c r="G309" s="12"/>
      <c r="H309" s="12"/>
      <c r="I309" s="12"/>
      <c r="J309" s="5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5.75" customHeight="1">
      <c r="A310" s="12"/>
      <c r="B310" s="2"/>
      <c r="C310" s="12"/>
      <c r="D310" s="12"/>
      <c r="E310" s="9"/>
      <c r="F310" s="12"/>
      <c r="G310" s="12"/>
      <c r="H310" s="12"/>
      <c r="I310" s="12"/>
      <c r="J310" s="5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5.75" customHeight="1">
      <c r="A311" s="12"/>
      <c r="B311" s="2"/>
      <c r="C311" s="12"/>
      <c r="D311" s="12"/>
      <c r="E311" s="9"/>
      <c r="F311" s="12"/>
      <c r="G311" s="12"/>
      <c r="H311" s="12"/>
      <c r="I311" s="12"/>
      <c r="J311" s="5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5.75" customHeight="1">
      <c r="A312" s="12"/>
      <c r="B312" s="2"/>
      <c r="C312" s="12"/>
      <c r="D312" s="12"/>
      <c r="E312" s="9"/>
      <c r="F312" s="12"/>
      <c r="G312" s="12"/>
      <c r="H312" s="12"/>
      <c r="I312" s="12"/>
      <c r="J312" s="5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5.75" customHeight="1">
      <c r="A313" s="12"/>
      <c r="B313" s="2"/>
      <c r="C313" s="12"/>
      <c r="D313" s="12"/>
      <c r="E313" s="9"/>
      <c r="F313" s="12"/>
      <c r="G313" s="12"/>
      <c r="H313" s="12"/>
      <c r="I313" s="12"/>
      <c r="J313" s="5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5.75" customHeight="1">
      <c r="A314" s="12"/>
      <c r="B314" s="2"/>
      <c r="C314" s="12"/>
      <c r="D314" s="12"/>
      <c r="E314" s="9"/>
      <c r="F314" s="12"/>
      <c r="G314" s="12"/>
      <c r="H314" s="12"/>
      <c r="I314" s="12"/>
      <c r="J314" s="5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5.75" customHeight="1">
      <c r="A315" s="12"/>
      <c r="B315" s="2"/>
      <c r="C315" s="12"/>
      <c r="D315" s="12"/>
      <c r="E315" s="9"/>
      <c r="F315" s="12"/>
      <c r="G315" s="12"/>
      <c r="H315" s="12"/>
      <c r="I315" s="12"/>
      <c r="J315" s="5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5.75" customHeight="1">
      <c r="A316" s="12"/>
      <c r="B316" s="2"/>
      <c r="C316" s="12"/>
      <c r="D316" s="12"/>
      <c r="E316" s="9"/>
      <c r="F316" s="12"/>
      <c r="G316" s="12"/>
      <c r="H316" s="12"/>
      <c r="I316" s="12"/>
      <c r="J316" s="5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5.75" customHeight="1">
      <c r="A317" s="12"/>
      <c r="B317" s="2"/>
      <c r="C317" s="12"/>
      <c r="D317" s="12"/>
      <c r="E317" s="9"/>
      <c r="F317" s="12"/>
      <c r="G317" s="12"/>
      <c r="H317" s="12"/>
      <c r="I317" s="12"/>
      <c r="J317" s="5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5.75" customHeight="1">
      <c r="A318" s="12"/>
      <c r="B318" s="2"/>
      <c r="C318" s="12"/>
      <c r="D318" s="12"/>
      <c r="E318" s="9"/>
      <c r="F318" s="12"/>
      <c r="G318" s="12"/>
      <c r="H318" s="12"/>
      <c r="I318" s="12"/>
      <c r="J318" s="5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5.75" customHeight="1">
      <c r="A319" s="12"/>
      <c r="B319" s="2"/>
      <c r="C319" s="12"/>
      <c r="D319" s="12"/>
      <c r="E319" s="9"/>
      <c r="F319" s="12"/>
      <c r="G319" s="12"/>
      <c r="H319" s="12"/>
      <c r="I319" s="12"/>
      <c r="J319" s="5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5.75" customHeight="1">
      <c r="A320" s="12"/>
      <c r="B320" s="2"/>
      <c r="C320" s="12"/>
      <c r="D320" s="12"/>
      <c r="E320" s="9"/>
      <c r="F320" s="12"/>
      <c r="G320" s="12"/>
      <c r="H320" s="12"/>
      <c r="I320" s="12"/>
      <c r="J320" s="5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5.75" customHeight="1">
      <c r="A321" s="12"/>
      <c r="B321" s="2"/>
      <c r="C321" s="12"/>
      <c r="D321" s="12"/>
      <c r="E321" s="9"/>
      <c r="F321" s="12"/>
      <c r="G321" s="12"/>
      <c r="H321" s="12"/>
      <c r="I321" s="12"/>
      <c r="J321" s="5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5.75" customHeight="1">
      <c r="A322" s="12"/>
      <c r="B322" s="2"/>
      <c r="C322" s="12"/>
      <c r="D322" s="12"/>
      <c r="E322" s="9"/>
      <c r="F322" s="12"/>
      <c r="G322" s="12"/>
      <c r="H322" s="12"/>
      <c r="I322" s="12"/>
      <c r="J322" s="5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5.75" customHeight="1">
      <c r="A323" s="12"/>
      <c r="B323" s="2"/>
      <c r="C323" s="12"/>
      <c r="D323" s="12"/>
      <c r="E323" s="9"/>
      <c r="F323" s="12"/>
      <c r="G323" s="12"/>
      <c r="H323" s="12"/>
      <c r="I323" s="12"/>
      <c r="J323" s="5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5.75" customHeight="1">
      <c r="A324" s="12"/>
      <c r="B324" s="2"/>
      <c r="C324" s="12"/>
      <c r="D324" s="12"/>
      <c r="E324" s="9"/>
      <c r="F324" s="12"/>
      <c r="G324" s="12"/>
      <c r="H324" s="12"/>
      <c r="I324" s="12"/>
      <c r="J324" s="5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5.75" customHeight="1">
      <c r="A325" s="12"/>
      <c r="B325" s="2"/>
      <c r="C325" s="12"/>
      <c r="D325" s="12"/>
      <c r="E325" s="9"/>
      <c r="F325" s="12"/>
      <c r="G325" s="12"/>
      <c r="H325" s="12"/>
      <c r="I325" s="12"/>
      <c r="J325" s="5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5.75" customHeight="1">
      <c r="A326" s="12"/>
      <c r="B326" s="2"/>
      <c r="C326" s="12"/>
      <c r="D326" s="12"/>
      <c r="E326" s="9"/>
      <c r="F326" s="12"/>
      <c r="G326" s="12"/>
      <c r="H326" s="12"/>
      <c r="I326" s="12"/>
      <c r="J326" s="5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5.75" customHeight="1">
      <c r="A327" s="12"/>
      <c r="B327" s="2"/>
      <c r="C327" s="12"/>
      <c r="D327" s="12"/>
      <c r="E327" s="9"/>
      <c r="F327" s="12"/>
      <c r="G327" s="12"/>
      <c r="H327" s="12"/>
      <c r="I327" s="12"/>
      <c r="J327" s="5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ht="15.75" customHeight="1">
      <c r="A328" s="12"/>
      <c r="B328" s="2"/>
      <c r="C328" s="12"/>
      <c r="D328" s="12"/>
      <c r="E328" s="9"/>
      <c r="F328" s="12"/>
      <c r="G328" s="12"/>
      <c r="H328" s="12"/>
      <c r="I328" s="12"/>
      <c r="J328" s="5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ht="15.75" customHeight="1">
      <c r="A329" s="12"/>
      <c r="B329" s="2"/>
      <c r="C329" s="12"/>
      <c r="D329" s="12"/>
      <c r="E329" s="9"/>
      <c r="F329" s="12"/>
      <c r="G329" s="12"/>
      <c r="H329" s="12"/>
      <c r="I329" s="12"/>
      <c r="J329" s="5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15.75" customHeight="1">
      <c r="A330" s="12"/>
      <c r="B330" s="2"/>
      <c r="C330" s="12"/>
      <c r="D330" s="12"/>
      <c r="E330" s="9"/>
      <c r="F330" s="12"/>
      <c r="G330" s="12"/>
      <c r="H330" s="12"/>
      <c r="I330" s="12"/>
      <c r="J330" s="5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15.75" customHeight="1">
      <c r="A331" s="12"/>
      <c r="B331" s="2"/>
      <c r="C331" s="12"/>
      <c r="D331" s="12"/>
      <c r="E331" s="9"/>
      <c r="F331" s="12"/>
      <c r="G331" s="12"/>
      <c r="H331" s="12"/>
      <c r="I331" s="12"/>
      <c r="J331" s="5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15.75" customHeight="1">
      <c r="A332" s="12"/>
      <c r="B332" s="2"/>
      <c r="C332" s="12"/>
      <c r="D332" s="12"/>
      <c r="E332" s="9"/>
      <c r="F332" s="12"/>
      <c r="G332" s="12"/>
      <c r="H332" s="12"/>
      <c r="I332" s="12"/>
      <c r="J332" s="5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15.75" customHeight="1">
      <c r="A333" s="12"/>
      <c r="B333" s="2"/>
      <c r="C333" s="12"/>
      <c r="D333" s="12"/>
      <c r="E333" s="9"/>
      <c r="F333" s="12"/>
      <c r="G333" s="12"/>
      <c r="H333" s="12"/>
      <c r="I333" s="12"/>
      <c r="J333" s="5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ht="15.75" customHeight="1">
      <c r="A334" s="12"/>
      <c r="B334" s="2"/>
      <c r="C334" s="12"/>
      <c r="D334" s="12"/>
      <c r="E334" s="9"/>
      <c r="F334" s="12"/>
      <c r="G334" s="12"/>
      <c r="H334" s="12"/>
      <c r="I334" s="12"/>
      <c r="J334" s="5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ht="15.75" customHeight="1">
      <c r="A335" s="12"/>
      <c r="B335" s="2"/>
      <c r="C335" s="12"/>
      <c r="D335" s="12"/>
      <c r="E335" s="9"/>
      <c r="F335" s="12"/>
      <c r="G335" s="12"/>
      <c r="H335" s="12"/>
      <c r="I335" s="12"/>
      <c r="J335" s="5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15.75" customHeight="1">
      <c r="A336" s="12"/>
      <c r="B336" s="2"/>
      <c r="C336" s="12"/>
      <c r="D336" s="12"/>
      <c r="E336" s="9"/>
      <c r="F336" s="12"/>
      <c r="G336" s="12"/>
      <c r="H336" s="12"/>
      <c r="I336" s="12"/>
      <c r="J336" s="5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15.75" customHeight="1">
      <c r="A337" s="12"/>
      <c r="B337" s="2"/>
      <c r="C337" s="12"/>
      <c r="D337" s="12"/>
      <c r="E337" s="9"/>
      <c r="F337" s="12"/>
      <c r="G337" s="12"/>
      <c r="H337" s="12"/>
      <c r="I337" s="12"/>
      <c r="J337" s="5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15.75" customHeight="1">
      <c r="A338" s="12"/>
      <c r="B338" s="2"/>
      <c r="C338" s="12"/>
      <c r="D338" s="12"/>
      <c r="E338" s="9"/>
      <c r="F338" s="12"/>
      <c r="G338" s="12"/>
      <c r="H338" s="12"/>
      <c r="I338" s="12"/>
      <c r="J338" s="5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15.75" customHeight="1">
      <c r="A339" s="12"/>
      <c r="B339" s="2"/>
      <c r="C339" s="12"/>
      <c r="D339" s="12"/>
      <c r="E339" s="9"/>
      <c r="F339" s="12"/>
      <c r="G339" s="12"/>
      <c r="H339" s="12"/>
      <c r="I339" s="12"/>
      <c r="J339" s="5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15.75" customHeight="1">
      <c r="A340" s="12"/>
      <c r="B340" s="2"/>
      <c r="C340" s="12"/>
      <c r="D340" s="12"/>
      <c r="E340" s="9"/>
      <c r="F340" s="12"/>
      <c r="G340" s="12"/>
      <c r="H340" s="12"/>
      <c r="I340" s="12"/>
      <c r="J340" s="5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15.75" customHeight="1">
      <c r="A341" s="12"/>
      <c r="B341" s="2"/>
      <c r="C341" s="12"/>
      <c r="D341" s="12"/>
      <c r="E341" s="9"/>
      <c r="F341" s="12"/>
      <c r="G341" s="12"/>
      <c r="H341" s="12"/>
      <c r="I341" s="12"/>
      <c r="J341" s="5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15.75" customHeight="1">
      <c r="A342" s="12"/>
      <c r="B342" s="2"/>
      <c r="C342" s="12"/>
      <c r="D342" s="12"/>
      <c r="E342" s="9"/>
      <c r="F342" s="12"/>
      <c r="G342" s="12"/>
      <c r="H342" s="12"/>
      <c r="I342" s="12"/>
      <c r="J342" s="5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ht="15.75" customHeight="1">
      <c r="A343" s="12"/>
      <c r="B343" s="2"/>
      <c r="C343" s="12"/>
      <c r="D343" s="12"/>
      <c r="E343" s="9"/>
      <c r="F343" s="12"/>
      <c r="G343" s="12"/>
      <c r="H343" s="12"/>
      <c r="I343" s="12"/>
      <c r="J343" s="5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ht="15.75" customHeight="1">
      <c r="A344" s="12"/>
      <c r="B344" s="2"/>
      <c r="C344" s="12"/>
      <c r="D344" s="12"/>
      <c r="E344" s="9"/>
      <c r="F344" s="12"/>
      <c r="G344" s="12"/>
      <c r="H344" s="12"/>
      <c r="I344" s="12"/>
      <c r="J344" s="5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ht="15.75" customHeight="1">
      <c r="A345" s="12"/>
      <c r="B345" s="2"/>
      <c r="C345" s="12"/>
      <c r="D345" s="12"/>
      <c r="E345" s="9"/>
      <c r="F345" s="12"/>
      <c r="G345" s="12"/>
      <c r="H345" s="12"/>
      <c r="I345" s="12"/>
      <c r="J345" s="5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ht="15.75" customHeight="1">
      <c r="A346" s="12"/>
      <c r="B346" s="2"/>
      <c r="C346" s="12"/>
      <c r="D346" s="12"/>
      <c r="E346" s="9"/>
      <c r="F346" s="12"/>
      <c r="G346" s="12"/>
      <c r="H346" s="12"/>
      <c r="I346" s="12"/>
      <c r="J346" s="5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ht="15.75" customHeight="1">
      <c r="A347" s="12"/>
      <c r="B347" s="2"/>
      <c r="C347" s="12"/>
      <c r="D347" s="12"/>
      <c r="E347" s="9"/>
      <c r="F347" s="12"/>
      <c r="G347" s="12"/>
      <c r="H347" s="12"/>
      <c r="I347" s="12"/>
      <c r="J347" s="5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15.75" customHeight="1">
      <c r="A348" s="12"/>
      <c r="B348" s="2"/>
      <c r="C348" s="12"/>
      <c r="D348" s="12"/>
      <c r="E348" s="9"/>
      <c r="F348" s="12"/>
      <c r="G348" s="12"/>
      <c r="H348" s="12"/>
      <c r="I348" s="12"/>
      <c r="J348" s="5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15.75" customHeight="1">
      <c r="A349" s="12"/>
      <c r="B349" s="2"/>
      <c r="C349" s="12"/>
      <c r="D349" s="12"/>
      <c r="E349" s="9"/>
      <c r="F349" s="12"/>
      <c r="G349" s="12"/>
      <c r="H349" s="12"/>
      <c r="I349" s="12"/>
      <c r="J349" s="5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ht="15.75" customHeight="1">
      <c r="A350" s="12"/>
      <c r="B350" s="2"/>
      <c r="C350" s="12"/>
      <c r="D350" s="12"/>
      <c r="E350" s="9"/>
      <c r="F350" s="12"/>
      <c r="G350" s="12"/>
      <c r="H350" s="12"/>
      <c r="I350" s="12"/>
      <c r="J350" s="5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15.75" customHeight="1">
      <c r="A351" s="12"/>
      <c r="B351" s="2"/>
      <c r="C351" s="12"/>
      <c r="D351" s="12"/>
      <c r="E351" s="9"/>
      <c r="F351" s="12"/>
      <c r="G351" s="12"/>
      <c r="H351" s="12"/>
      <c r="I351" s="12"/>
      <c r="J351" s="5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15.75" customHeight="1">
      <c r="A352" s="12"/>
      <c r="B352" s="2"/>
      <c r="C352" s="12"/>
      <c r="D352" s="12"/>
      <c r="E352" s="9"/>
      <c r="F352" s="12"/>
      <c r="G352" s="12"/>
      <c r="H352" s="12"/>
      <c r="I352" s="12"/>
      <c r="J352" s="5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15.75" customHeight="1">
      <c r="A353" s="12"/>
      <c r="B353" s="2"/>
      <c r="C353" s="12"/>
      <c r="D353" s="12"/>
      <c r="E353" s="9"/>
      <c r="F353" s="12"/>
      <c r="G353" s="12"/>
      <c r="H353" s="12"/>
      <c r="I353" s="12"/>
      <c r="J353" s="5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ht="15.75" customHeight="1">
      <c r="A354" s="12"/>
      <c r="B354" s="2"/>
      <c r="C354" s="12"/>
      <c r="D354" s="12"/>
      <c r="E354" s="9"/>
      <c r="F354" s="12"/>
      <c r="G354" s="12"/>
      <c r="H354" s="12"/>
      <c r="I354" s="12"/>
      <c r="J354" s="5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15.75" customHeight="1">
      <c r="A355" s="12"/>
      <c r="B355" s="2"/>
      <c r="C355" s="12"/>
      <c r="D355" s="12"/>
      <c r="E355" s="9"/>
      <c r="F355" s="12"/>
      <c r="G355" s="12"/>
      <c r="H355" s="12"/>
      <c r="I355" s="12"/>
      <c r="J355" s="5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15.75" customHeight="1">
      <c r="A356" s="12"/>
      <c r="B356" s="2"/>
      <c r="C356" s="12"/>
      <c r="D356" s="12"/>
      <c r="E356" s="9"/>
      <c r="F356" s="12"/>
      <c r="G356" s="12"/>
      <c r="H356" s="12"/>
      <c r="I356" s="12"/>
      <c r="J356" s="5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15.75" customHeight="1">
      <c r="A357" s="12"/>
      <c r="B357" s="2"/>
      <c r="C357" s="12"/>
      <c r="D357" s="12"/>
      <c r="E357" s="9"/>
      <c r="F357" s="12"/>
      <c r="G357" s="12"/>
      <c r="H357" s="12"/>
      <c r="I357" s="12"/>
      <c r="J357" s="5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15.75" customHeight="1">
      <c r="A358" s="12"/>
      <c r="B358" s="2"/>
      <c r="C358" s="12"/>
      <c r="D358" s="12"/>
      <c r="E358" s="9"/>
      <c r="F358" s="12"/>
      <c r="G358" s="12"/>
      <c r="H358" s="12"/>
      <c r="I358" s="12"/>
      <c r="J358" s="5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15.75" customHeight="1">
      <c r="A359" s="12"/>
      <c r="B359" s="2"/>
      <c r="C359" s="12"/>
      <c r="D359" s="12"/>
      <c r="E359" s="9"/>
      <c r="F359" s="12"/>
      <c r="G359" s="12"/>
      <c r="H359" s="12"/>
      <c r="I359" s="12"/>
      <c r="J359" s="5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15.75" customHeight="1">
      <c r="A360" s="12"/>
      <c r="B360" s="2"/>
      <c r="C360" s="12"/>
      <c r="D360" s="12"/>
      <c r="E360" s="9"/>
      <c r="F360" s="12"/>
      <c r="G360" s="12"/>
      <c r="H360" s="12"/>
      <c r="I360" s="12"/>
      <c r="J360" s="5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15.75" customHeight="1">
      <c r="A361" s="12"/>
      <c r="B361" s="2"/>
      <c r="C361" s="12"/>
      <c r="D361" s="12"/>
      <c r="E361" s="9"/>
      <c r="F361" s="12"/>
      <c r="G361" s="12"/>
      <c r="H361" s="12"/>
      <c r="I361" s="12"/>
      <c r="J361" s="5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ht="15.75" customHeight="1">
      <c r="A362" s="12"/>
      <c r="B362" s="2"/>
      <c r="C362" s="12"/>
      <c r="D362" s="12"/>
      <c r="E362" s="9"/>
      <c r="F362" s="12"/>
      <c r="G362" s="12"/>
      <c r="H362" s="12"/>
      <c r="I362" s="12"/>
      <c r="J362" s="5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15.75" customHeight="1">
      <c r="A363" s="12"/>
      <c r="B363" s="2"/>
      <c r="C363" s="12"/>
      <c r="D363" s="12"/>
      <c r="E363" s="9"/>
      <c r="F363" s="12"/>
      <c r="G363" s="12"/>
      <c r="H363" s="12"/>
      <c r="I363" s="12"/>
      <c r="J363" s="5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15.75" customHeight="1">
      <c r="A364" s="12"/>
      <c r="B364" s="2"/>
      <c r="C364" s="12"/>
      <c r="D364" s="12"/>
      <c r="E364" s="9"/>
      <c r="F364" s="12"/>
      <c r="G364" s="12"/>
      <c r="H364" s="12"/>
      <c r="I364" s="12"/>
      <c r="J364" s="5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ht="15.75" customHeight="1">
      <c r="A365" s="12"/>
      <c r="B365" s="2"/>
      <c r="C365" s="12"/>
      <c r="D365" s="12"/>
      <c r="E365" s="9"/>
      <c r="F365" s="12"/>
      <c r="G365" s="12"/>
      <c r="H365" s="12"/>
      <c r="I365" s="12"/>
      <c r="J365" s="5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15.75" customHeight="1">
      <c r="A366" s="12"/>
      <c r="B366" s="2"/>
      <c r="C366" s="12"/>
      <c r="D366" s="12"/>
      <c r="E366" s="9"/>
      <c r="F366" s="12"/>
      <c r="G366" s="12"/>
      <c r="H366" s="12"/>
      <c r="I366" s="12"/>
      <c r="J366" s="5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ht="15.75" customHeight="1">
      <c r="A367" s="12"/>
      <c r="B367" s="2"/>
      <c r="C367" s="12"/>
      <c r="D367" s="12"/>
      <c r="E367" s="9"/>
      <c r="F367" s="12"/>
      <c r="G367" s="12"/>
      <c r="H367" s="12"/>
      <c r="I367" s="12"/>
      <c r="J367" s="5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ht="15.75" customHeight="1">
      <c r="A368" s="12"/>
      <c r="B368" s="2"/>
      <c r="C368" s="12"/>
      <c r="D368" s="12"/>
      <c r="E368" s="9"/>
      <c r="F368" s="12"/>
      <c r="G368" s="12"/>
      <c r="H368" s="12"/>
      <c r="I368" s="12"/>
      <c r="J368" s="5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ht="15.75" customHeight="1">
      <c r="A369" s="12"/>
      <c r="B369" s="2"/>
      <c r="C369" s="12"/>
      <c r="D369" s="12"/>
      <c r="E369" s="9"/>
      <c r="F369" s="12"/>
      <c r="G369" s="12"/>
      <c r="H369" s="12"/>
      <c r="I369" s="12"/>
      <c r="J369" s="5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ht="15.75" customHeight="1">
      <c r="A370" s="12"/>
      <c r="B370" s="2"/>
      <c r="C370" s="12"/>
      <c r="D370" s="12"/>
      <c r="E370" s="9"/>
      <c r="F370" s="12"/>
      <c r="G370" s="12"/>
      <c r="H370" s="12"/>
      <c r="I370" s="12"/>
      <c r="J370" s="5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15.75" customHeight="1">
      <c r="A371" s="12"/>
      <c r="B371" s="2"/>
      <c r="C371" s="12"/>
      <c r="D371" s="12"/>
      <c r="E371" s="9"/>
      <c r="F371" s="12"/>
      <c r="G371" s="12"/>
      <c r="H371" s="12"/>
      <c r="I371" s="12"/>
      <c r="J371" s="5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15.75" customHeight="1">
      <c r="A372" s="12"/>
      <c r="B372" s="2"/>
      <c r="C372" s="12"/>
      <c r="D372" s="12"/>
      <c r="E372" s="9"/>
      <c r="F372" s="12"/>
      <c r="G372" s="12"/>
      <c r="H372" s="12"/>
      <c r="I372" s="12"/>
      <c r="J372" s="5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15.75" customHeight="1">
      <c r="A373" s="12"/>
      <c r="B373" s="2"/>
      <c r="C373" s="12"/>
      <c r="D373" s="12"/>
      <c r="E373" s="9"/>
      <c r="F373" s="12"/>
      <c r="G373" s="12"/>
      <c r="H373" s="12"/>
      <c r="I373" s="12"/>
      <c r="J373" s="5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15.75" customHeight="1">
      <c r="A374" s="12"/>
      <c r="B374" s="2"/>
      <c r="C374" s="12"/>
      <c r="D374" s="12"/>
      <c r="E374" s="9"/>
      <c r="F374" s="12"/>
      <c r="G374" s="12"/>
      <c r="H374" s="12"/>
      <c r="I374" s="12"/>
      <c r="J374" s="5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ht="15.75" customHeight="1">
      <c r="A375" s="12"/>
      <c r="B375" s="2"/>
      <c r="C375" s="12"/>
      <c r="D375" s="12"/>
      <c r="E375" s="9"/>
      <c r="F375" s="12"/>
      <c r="G375" s="12"/>
      <c r="H375" s="12"/>
      <c r="I375" s="12"/>
      <c r="J375" s="5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15.75" customHeight="1">
      <c r="A376" s="12"/>
      <c r="B376" s="2"/>
      <c r="C376" s="12"/>
      <c r="D376" s="12"/>
      <c r="E376" s="9"/>
      <c r="F376" s="12"/>
      <c r="G376" s="12"/>
      <c r="H376" s="12"/>
      <c r="I376" s="12"/>
      <c r="J376" s="5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ht="15.75" customHeight="1">
      <c r="A377" s="12"/>
      <c r="B377" s="2"/>
      <c r="C377" s="12"/>
      <c r="D377" s="12"/>
      <c r="E377" s="9"/>
      <c r="F377" s="12"/>
      <c r="G377" s="12"/>
      <c r="H377" s="12"/>
      <c r="I377" s="12"/>
      <c r="J377" s="5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15.75" customHeight="1">
      <c r="A378" s="12"/>
      <c r="B378" s="2"/>
      <c r="C378" s="12"/>
      <c r="D378" s="12"/>
      <c r="E378" s="9"/>
      <c r="F378" s="12"/>
      <c r="G378" s="12"/>
      <c r="H378" s="12"/>
      <c r="I378" s="12"/>
      <c r="J378" s="5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ht="15.75" customHeight="1">
      <c r="A379" s="12"/>
      <c r="B379" s="2"/>
      <c r="C379" s="12"/>
      <c r="D379" s="12"/>
      <c r="E379" s="9"/>
      <c r="F379" s="12"/>
      <c r="G379" s="12"/>
      <c r="H379" s="12"/>
      <c r="I379" s="12"/>
      <c r="J379" s="5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ht="15.75" customHeight="1">
      <c r="A380" s="12"/>
      <c r="B380" s="2"/>
      <c r="C380" s="12"/>
      <c r="D380" s="12"/>
      <c r="E380" s="9"/>
      <c r="F380" s="12"/>
      <c r="G380" s="12"/>
      <c r="H380" s="12"/>
      <c r="I380" s="12"/>
      <c r="J380" s="5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ht="15.75" customHeight="1">
      <c r="A381" s="12"/>
      <c r="B381" s="2"/>
      <c r="C381" s="12"/>
      <c r="D381" s="12"/>
      <c r="E381" s="9"/>
      <c r="F381" s="12"/>
      <c r="G381" s="12"/>
      <c r="H381" s="12"/>
      <c r="I381" s="12"/>
      <c r="J381" s="5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ht="15.75" customHeight="1">
      <c r="A382" s="12"/>
      <c r="B382" s="2"/>
      <c r="C382" s="12"/>
      <c r="D382" s="12"/>
      <c r="E382" s="9"/>
      <c r="F382" s="12"/>
      <c r="G382" s="12"/>
      <c r="H382" s="12"/>
      <c r="I382" s="12"/>
      <c r="J382" s="5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15.75" customHeight="1">
      <c r="A383" s="12"/>
      <c r="B383" s="2"/>
      <c r="C383" s="12"/>
      <c r="D383" s="12"/>
      <c r="E383" s="9"/>
      <c r="F383" s="12"/>
      <c r="G383" s="12"/>
      <c r="H383" s="12"/>
      <c r="I383" s="12"/>
      <c r="J383" s="5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15.75" customHeight="1">
      <c r="A384" s="12"/>
      <c r="B384" s="2"/>
      <c r="C384" s="12"/>
      <c r="D384" s="12"/>
      <c r="E384" s="9"/>
      <c r="F384" s="12"/>
      <c r="G384" s="12"/>
      <c r="H384" s="12"/>
      <c r="I384" s="12"/>
      <c r="J384" s="5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15.75" customHeight="1">
      <c r="A385" s="12"/>
      <c r="B385" s="2"/>
      <c r="C385" s="12"/>
      <c r="D385" s="12"/>
      <c r="E385" s="9"/>
      <c r="F385" s="12"/>
      <c r="G385" s="12"/>
      <c r="H385" s="12"/>
      <c r="I385" s="12"/>
      <c r="J385" s="5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ht="15.75" customHeight="1">
      <c r="A386" s="12"/>
      <c r="B386" s="2"/>
      <c r="C386" s="12"/>
      <c r="D386" s="12"/>
      <c r="E386" s="9"/>
      <c r="F386" s="12"/>
      <c r="G386" s="12"/>
      <c r="H386" s="12"/>
      <c r="I386" s="12"/>
      <c r="J386" s="5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15.75" customHeight="1">
      <c r="A387" s="12"/>
      <c r="B387" s="2"/>
      <c r="C387" s="12"/>
      <c r="D387" s="12"/>
      <c r="E387" s="9"/>
      <c r="F387" s="12"/>
      <c r="G387" s="12"/>
      <c r="H387" s="12"/>
      <c r="I387" s="12"/>
      <c r="J387" s="5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15.75" customHeight="1">
      <c r="A388" s="12"/>
      <c r="B388" s="2"/>
      <c r="C388" s="12"/>
      <c r="D388" s="12"/>
      <c r="E388" s="9"/>
      <c r="F388" s="12"/>
      <c r="G388" s="12"/>
      <c r="H388" s="12"/>
      <c r="I388" s="12"/>
      <c r="J388" s="5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15.75" customHeight="1">
      <c r="A389" s="12"/>
      <c r="B389" s="2"/>
      <c r="C389" s="12"/>
      <c r="D389" s="12"/>
      <c r="E389" s="9"/>
      <c r="F389" s="12"/>
      <c r="G389" s="12"/>
      <c r="H389" s="12"/>
      <c r="I389" s="12"/>
      <c r="J389" s="5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15.75" customHeight="1">
      <c r="A390" s="12"/>
      <c r="B390" s="2"/>
      <c r="C390" s="12"/>
      <c r="D390" s="12"/>
      <c r="E390" s="9"/>
      <c r="F390" s="12"/>
      <c r="G390" s="12"/>
      <c r="H390" s="12"/>
      <c r="I390" s="12"/>
      <c r="J390" s="5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ht="15.75" customHeight="1">
      <c r="A391" s="12"/>
      <c r="B391" s="2"/>
      <c r="C391" s="12"/>
      <c r="D391" s="12"/>
      <c r="E391" s="9"/>
      <c r="F391" s="12"/>
      <c r="G391" s="12"/>
      <c r="H391" s="12"/>
      <c r="I391" s="12"/>
      <c r="J391" s="5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ht="15.75" customHeight="1">
      <c r="A392" s="12"/>
      <c r="B392" s="2"/>
      <c r="C392" s="12"/>
      <c r="D392" s="12"/>
      <c r="E392" s="9"/>
      <c r="F392" s="12"/>
      <c r="G392" s="12"/>
      <c r="H392" s="12"/>
      <c r="I392" s="12"/>
      <c r="J392" s="5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ht="15.75" customHeight="1">
      <c r="A393" s="12"/>
      <c r="B393" s="2"/>
      <c r="C393" s="12"/>
      <c r="D393" s="12"/>
      <c r="E393" s="9"/>
      <c r="F393" s="12"/>
      <c r="G393" s="12"/>
      <c r="H393" s="12"/>
      <c r="I393" s="12"/>
      <c r="J393" s="5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ht="15.75" customHeight="1">
      <c r="A394" s="12"/>
      <c r="B394" s="2"/>
      <c r="C394" s="12"/>
      <c r="D394" s="12"/>
      <c r="E394" s="9"/>
      <c r="F394" s="12"/>
      <c r="G394" s="12"/>
      <c r="H394" s="12"/>
      <c r="I394" s="12"/>
      <c r="J394" s="5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ht="15.75" customHeight="1">
      <c r="A395" s="12"/>
      <c r="B395" s="2"/>
      <c r="C395" s="12"/>
      <c r="D395" s="12"/>
      <c r="E395" s="9"/>
      <c r="F395" s="12"/>
      <c r="G395" s="12"/>
      <c r="H395" s="12"/>
      <c r="I395" s="12"/>
      <c r="J395" s="5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ht="15.75" customHeight="1">
      <c r="A396" s="12"/>
      <c r="B396" s="2"/>
      <c r="C396" s="12"/>
      <c r="D396" s="12"/>
      <c r="E396" s="9"/>
      <c r="F396" s="12"/>
      <c r="G396" s="12"/>
      <c r="H396" s="12"/>
      <c r="I396" s="12"/>
      <c r="J396" s="5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ht="15.75" customHeight="1">
      <c r="A397" s="12"/>
      <c r="B397" s="2"/>
      <c r="C397" s="12"/>
      <c r="D397" s="12"/>
      <c r="E397" s="9"/>
      <c r="F397" s="12"/>
      <c r="G397" s="12"/>
      <c r="H397" s="12"/>
      <c r="I397" s="12"/>
      <c r="J397" s="5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ht="15.75" customHeight="1">
      <c r="A398" s="12"/>
      <c r="B398" s="2"/>
      <c r="C398" s="12"/>
      <c r="D398" s="12"/>
      <c r="E398" s="9"/>
      <c r="F398" s="12"/>
      <c r="G398" s="12"/>
      <c r="H398" s="12"/>
      <c r="I398" s="12"/>
      <c r="J398" s="5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ht="15.75" customHeight="1">
      <c r="A399" s="12"/>
      <c r="B399" s="2"/>
      <c r="C399" s="12"/>
      <c r="D399" s="12"/>
      <c r="E399" s="9"/>
      <c r="F399" s="12"/>
      <c r="G399" s="12"/>
      <c r="H399" s="12"/>
      <c r="I399" s="12"/>
      <c r="J399" s="5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ht="15.75" customHeight="1">
      <c r="A400" s="12"/>
      <c r="B400" s="2"/>
      <c r="C400" s="12"/>
      <c r="D400" s="12"/>
      <c r="E400" s="9"/>
      <c r="F400" s="12"/>
      <c r="G400" s="12"/>
      <c r="H400" s="12"/>
      <c r="I400" s="12"/>
      <c r="J400" s="5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ht="15.75" customHeight="1">
      <c r="A401" s="12"/>
      <c r="B401" s="2"/>
      <c r="C401" s="12"/>
      <c r="D401" s="12"/>
      <c r="E401" s="9"/>
      <c r="F401" s="12"/>
      <c r="G401" s="12"/>
      <c r="H401" s="12"/>
      <c r="I401" s="12"/>
      <c r="J401" s="5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ht="15.75" customHeight="1">
      <c r="A402" s="12"/>
      <c r="B402" s="2"/>
      <c r="C402" s="12"/>
      <c r="D402" s="12"/>
      <c r="E402" s="9"/>
      <c r="F402" s="12"/>
      <c r="G402" s="12"/>
      <c r="H402" s="12"/>
      <c r="I402" s="12"/>
      <c r="J402" s="5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ht="15.75" customHeight="1">
      <c r="A403" s="12"/>
      <c r="B403" s="2"/>
      <c r="C403" s="12"/>
      <c r="D403" s="12"/>
      <c r="E403" s="9"/>
      <c r="F403" s="12"/>
      <c r="G403" s="12"/>
      <c r="H403" s="12"/>
      <c r="I403" s="12"/>
      <c r="J403" s="5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ht="15.75" customHeight="1">
      <c r="A404" s="12"/>
      <c r="B404" s="2"/>
      <c r="C404" s="12"/>
      <c r="D404" s="12"/>
      <c r="E404" s="9"/>
      <c r="F404" s="12"/>
      <c r="G404" s="12"/>
      <c r="H404" s="12"/>
      <c r="I404" s="12"/>
      <c r="J404" s="5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ht="15.75" customHeight="1">
      <c r="A405" s="12"/>
      <c r="B405" s="2"/>
      <c r="C405" s="12"/>
      <c r="D405" s="12"/>
      <c r="E405" s="9"/>
      <c r="F405" s="12"/>
      <c r="G405" s="12"/>
      <c r="H405" s="12"/>
      <c r="I405" s="12"/>
      <c r="J405" s="5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ht="15.75" customHeight="1">
      <c r="A406" s="12"/>
      <c r="B406" s="2"/>
      <c r="C406" s="12"/>
      <c r="D406" s="12"/>
      <c r="E406" s="9"/>
      <c r="F406" s="12"/>
      <c r="G406" s="12"/>
      <c r="H406" s="12"/>
      <c r="I406" s="12"/>
      <c r="J406" s="5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ht="15.75" customHeight="1">
      <c r="A407" s="12"/>
      <c r="B407" s="2"/>
      <c r="C407" s="12"/>
      <c r="D407" s="12"/>
      <c r="E407" s="9"/>
      <c r="F407" s="12"/>
      <c r="G407" s="12"/>
      <c r="H407" s="12"/>
      <c r="I407" s="12"/>
      <c r="J407" s="5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ht="15.75" customHeight="1">
      <c r="A408" s="12"/>
      <c r="B408" s="2"/>
      <c r="C408" s="12"/>
      <c r="D408" s="12"/>
      <c r="E408" s="9"/>
      <c r="F408" s="12"/>
      <c r="G408" s="12"/>
      <c r="H408" s="12"/>
      <c r="I408" s="12"/>
      <c r="J408" s="5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ht="15.75" customHeight="1">
      <c r="A409" s="12"/>
      <c r="B409" s="2"/>
      <c r="C409" s="12"/>
      <c r="D409" s="12"/>
      <c r="E409" s="9"/>
      <c r="F409" s="12"/>
      <c r="G409" s="12"/>
      <c r="H409" s="12"/>
      <c r="I409" s="12"/>
      <c r="J409" s="5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ht="15.75" customHeight="1">
      <c r="A410" s="12"/>
      <c r="B410" s="2"/>
      <c r="C410" s="12"/>
      <c r="D410" s="12"/>
      <c r="E410" s="9"/>
      <c r="F410" s="12"/>
      <c r="G410" s="12"/>
      <c r="H410" s="12"/>
      <c r="I410" s="12"/>
      <c r="J410" s="5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ht="15.75" customHeight="1">
      <c r="A411" s="12"/>
      <c r="B411" s="2"/>
      <c r="C411" s="12"/>
      <c r="D411" s="12"/>
      <c r="E411" s="9"/>
      <c r="F411" s="12"/>
      <c r="G411" s="12"/>
      <c r="H411" s="12"/>
      <c r="I411" s="12"/>
      <c r="J411" s="5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15.75" customHeight="1">
      <c r="A412" s="12"/>
      <c r="B412" s="2"/>
      <c r="C412" s="12"/>
      <c r="D412" s="12"/>
      <c r="E412" s="9"/>
      <c r="F412" s="12"/>
      <c r="G412" s="12"/>
      <c r="H412" s="12"/>
      <c r="I412" s="12"/>
      <c r="J412" s="5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15.75" customHeight="1">
      <c r="A413" s="12"/>
      <c r="B413" s="2"/>
      <c r="C413" s="12"/>
      <c r="D413" s="12"/>
      <c r="E413" s="9"/>
      <c r="F413" s="12"/>
      <c r="G413" s="12"/>
      <c r="H413" s="12"/>
      <c r="I413" s="12"/>
      <c r="J413" s="5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15.75" customHeight="1">
      <c r="A414" s="12"/>
      <c r="B414" s="2"/>
      <c r="C414" s="12"/>
      <c r="D414" s="12"/>
      <c r="E414" s="9"/>
      <c r="F414" s="12"/>
      <c r="G414" s="12"/>
      <c r="H414" s="12"/>
      <c r="I414" s="12"/>
      <c r="J414" s="5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15.75" customHeight="1">
      <c r="A415" s="12"/>
      <c r="B415" s="2"/>
      <c r="C415" s="12"/>
      <c r="D415" s="12"/>
      <c r="E415" s="9"/>
      <c r="F415" s="12"/>
      <c r="G415" s="12"/>
      <c r="H415" s="12"/>
      <c r="I415" s="12"/>
      <c r="J415" s="5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15.75" customHeight="1">
      <c r="A416" s="12"/>
      <c r="B416" s="2"/>
      <c r="C416" s="12"/>
      <c r="D416" s="12"/>
      <c r="E416" s="9"/>
      <c r="F416" s="12"/>
      <c r="G416" s="12"/>
      <c r="H416" s="12"/>
      <c r="I416" s="12"/>
      <c r="J416" s="5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ht="15.75" customHeight="1">
      <c r="A417" s="12"/>
      <c r="B417" s="2"/>
      <c r="C417" s="12"/>
      <c r="D417" s="12"/>
      <c r="E417" s="9"/>
      <c r="F417" s="12"/>
      <c r="G417" s="12"/>
      <c r="H417" s="12"/>
      <c r="I417" s="12"/>
      <c r="J417" s="5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ht="15.75" customHeight="1">
      <c r="A418" s="12"/>
      <c r="B418" s="2"/>
      <c r="C418" s="12"/>
      <c r="D418" s="12"/>
      <c r="E418" s="9"/>
      <c r="F418" s="12"/>
      <c r="G418" s="12"/>
      <c r="H418" s="12"/>
      <c r="I418" s="12"/>
      <c r="J418" s="5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ht="15.75" customHeight="1">
      <c r="A419" s="12"/>
      <c r="B419" s="2"/>
      <c r="C419" s="12"/>
      <c r="D419" s="12"/>
      <c r="E419" s="9"/>
      <c r="F419" s="12"/>
      <c r="G419" s="12"/>
      <c r="H419" s="12"/>
      <c r="I419" s="12"/>
      <c r="J419" s="5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ht="15.75" customHeight="1">
      <c r="A420" s="12"/>
      <c r="B420" s="2"/>
      <c r="C420" s="12"/>
      <c r="D420" s="12"/>
      <c r="E420" s="9"/>
      <c r="F420" s="12"/>
      <c r="G420" s="12"/>
      <c r="H420" s="12"/>
      <c r="I420" s="12"/>
      <c r="J420" s="5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ht="15.75" customHeight="1">
      <c r="A421" s="12"/>
      <c r="B421" s="2"/>
      <c r="C421" s="12"/>
      <c r="D421" s="12"/>
      <c r="E421" s="9"/>
      <c r="F421" s="12"/>
      <c r="G421" s="12"/>
      <c r="H421" s="12"/>
      <c r="I421" s="12"/>
      <c r="J421" s="5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ht="15.75" customHeight="1">
      <c r="A422" s="12"/>
      <c r="B422" s="2"/>
      <c r="C422" s="12"/>
      <c r="D422" s="12"/>
      <c r="E422" s="9"/>
      <c r="F422" s="12"/>
      <c r="G422" s="12"/>
      <c r="H422" s="12"/>
      <c r="I422" s="12"/>
      <c r="J422" s="5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ht="15.75" customHeight="1">
      <c r="A423" s="12"/>
      <c r="B423" s="2"/>
      <c r="C423" s="12"/>
      <c r="D423" s="12"/>
      <c r="E423" s="9"/>
      <c r="F423" s="12"/>
      <c r="G423" s="12"/>
      <c r="H423" s="12"/>
      <c r="I423" s="12"/>
      <c r="J423" s="5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ht="15.75" customHeight="1">
      <c r="A424" s="12"/>
      <c r="B424" s="2"/>
      <c r="C424" s="12"/>
      <c r="D424" s="12"/>
      <c r="E424" s="9"/>
      <c r="F424" s="12"/>
      <c r="G424" s="12"/>
      <c r="H424" s="12"/>
      <c r="I424" s="12"/>
      <c r="J424" s="5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ht="15.75" customHeight="1">
      <c r="A425" s="12"/>
      <c r="B425" s="2"/>
      <c r="C425" s="12"/>
      <c r="D425" s="12"/>
      <c r="E425" s="9"/>
      <c r="F425" s="12"/>
      <c r="G425" s="12"/>
      <c r="H425" s="12"/>
      <c r="I425" s="12"/>
      <c r="J425" s="5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ht="15.75" customHeight="1">
      <c r="A426" s="12"/>
      <c r="B426" s="2"/>
      <c r="C426" s="12"/>
      <c r="D426" s="12"/>
      <c r="E426" s="9"/>
      <c r="F426" s="12"/>
      <c r="G426" s="12"/>
      <c r="H426" s="12"/>
      <c r="I426" s="12"/>
      <c r="J426" s="5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ht="15.75" customHeight="1">
      <c r="A427" s="12"/>
      <c r="B427" s="2"/>
      <c r="C427" s="12"/>
      <c r="D427" s="12"/>
      <c r="E427" s="9"/>
      <c r="F427" s="12"/>
      <c r="G427" s="12"/>
      <c r="H427" s="12"/>
      <c r="I427" s="12"/>
      <c r="J427" s="5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ht="15.75" customHeight="1">
      <c r="A428" s="12"/>
      <c r="B428" s="2"/>
      <c r="C428" s="12"/>
      <c r="D428" s="12"/>
      <c r="E428" s="9"/>
      <c r="F428" s="12"/>
      <c r="G428" s="12"/>
      <c r="H428" s="12"/>
      <c r="I428" s="12"/>
      <c r="J428" s="5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ht="15.75" customHeight="1">
      <c r="A429" s="12"/>
      <c r="B429" s="2"/>
      <c r="C429" s="12"/>
      <c r="D429" s="12"/>
      <c r="E429" s="9"/>
      <c r="F429" s="12"/>
      <c r="G429" s="12"/>
      <c r="H429" s="12"/>
      <c r="I429" s="12"/>
      <c r="J429" s="5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ht="15.75" customHeight="1">
      <c r="A430" s="12"/>
      <c r="B430" s="2"/>
      <c r="C430" s="12"/>
      <c r="D430" s="12"/>
      <c r="E430" s="9"/>
      <c r="F430" s="12"/>
      <c r="G430" s="12"/>
      <c r="H430" s="12"/>
      <c r="I430" s="12"/>
      <c r="J430" s="5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ht="15.75" customHeight="1">
      <c r="A431" s="12"/>
      <c r="B431" s="2"/>
      <c r="C431" s="12"/>
      <c r="D431" s="12"/>
      <c r="E431" s="9"/>
      <c r="F431" s="12"/>
      <c r="G431" s="12"/>
      <c r="H431" s="12"/>
      <c r="I431" s="12"/>
      <c r="J431" s="5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ht="15.75" customHeight="1">
      <c r="A432" s="12"/>
      <c r="B432" s="2"/>
      <c r="C432" s="12"/>
      <c r="D432" s="12"/>
      <c r="E432" s="9"/>
      <c r="F432" s="12"/>
      <c r="G432" s="12"/>
      <c r="H432" s="12"/>
      <c r="I432" s="12"/>
      <c r="J432" s="5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ht="15.75" customHeight="1">
      <c r="A433" s="12"/>
      <c r="B433" s="2"/>
      <c r="C433" s="12"/>
      <c r="D433" s="12"/>
      <c r="E433" s="9"/>
      <c r="F433" s="12"/>
      <c r="G433" s="12"/>
      <c r="H433" s="12"/>
      <c r="I433" s="12"/>
      <c r="J433" s="5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ht="15.75" customHeight="1">
      <c r="A434" s="12"/>
      <c r="B434" s="2"/>
      <c r="C434" s="12"/>
      <c r="D434" s="12"/>
      <c r="E434" s="9"/>
      <c r="F434" s="12"/>
      <c r="G434" s="12"/>
      <c r="H434" s="12"/>
      <c r="I434" s="12"/>
      <c r="J434" s="5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ht="15.75" customHeight="1">
      <c r="A435" s="12"/>
      <c r="B435" s="2"/>
      <c r="C435" s="12"/>
      <c r="D435" s="12"/>
      <c r="E435" s="9"/>
      <c r="F435" s="12"/>
      <c r="G435" s="12"/>
      <c r="H435" s="12"/>
      <c r="I435" s="12"/>
      <c r="J435" s="5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ht="15.75" customHeight="1">
      <c r="A436" s="12"/>
      <c r="B436" s="2"/>
      <c r="C436" s="12"/>
      <c r="D436" s="12"/>
      <c r="E436" s="9"/>
      <c r="F436" s="12"/>
      <c r="G436" s="12"/>
      <c r="H436" s="12"/>
      <c r="I436" s="12"/>
      <c r="J436" s="5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ht="15.75" customHeight="1">
      <c r="A437" s="12"/>
      <c r="B437" s="2"/>
      <c r="C437" s="12"/>
      <c r="D437" s="12"/>
      <c r="E437" s="9"/>
      <c r="F437" s="12"/>
      <c r="G437" s="12"/>
      <c r="H437" s="12"/>
      <c r="I437" s="12"/>
      <c r="J437" s="5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ht="15.75" customHeight="1">
      <c r="A438" s="12"/>
      <c r="B438" s="2"/>
      <c r="C438" s="12"/>
      <c r="D438" s="12"/>
      <c r="E438" s="9"/>
      <c r="F438" s="12"/>
      <c r="G438" s="12"/>
      <c r="H438" s="12"/>
      <c r="I438" s="12"/>
      <c r="J438" s="5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ht="15.75" customHeight="1">
      <c r="A439" s="12"/>
      <c r="B439" s="2"/>
      <c r="C439" s="12"/>
      <c r="D439" s="12"/>
      <c r="E439" s="9"/>
      <c r="F439" s="12"/>
      <c r="G439" s="12"/>
      <c r="H439" s="12"/>
      <c r="I439" s="12"/>
      <c r="J439" s="5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ht="15.75" customHeight="1">
      <c r="A440" s="12"/>
      <c r="B440" s="2"/>
      <c r="C440" s="12"/>
      <c r="D440" s="12"/>
      <c r="E440" s="9"/>
      <c r="F440" s="12"/>
      <c r="G440" s="12"/>
      <c r="H440" s="12"/>
      <c r="I440" s="12"/>
      <c r="J440" s="5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ht="15.75" customHeight="1">
      <c r="A441" s="12"/>
      <c r="B441" s="2"/>
      <c r="C441" s="12"/>
      <c r="D441" s="12"/>
      <c r="E441" s="9"/>
      <c r="F441" s="12"/>
      <c r="G441" s="12"/>
      <c r="H441" s="12"/>
      <c r="I441" s="12"/>
      <c r="J441" s="5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ht="15.75" customHeight="1">
      <c r="A442" s="12"/>
      <c r="B442" s="2"/>
      <c r="C442" s="12"/>
      <c r="D442" s="12"/>
      <c r="E442" s="9"/>
      <c r="F442" s="12"/>
      <c r="G442" s="12"/>
      <c r="H442" s="12"/>
      <c r="I442" s="12"/>
      <c r="J442" s="5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ht="15.75" customHeight="1">
      <c r="A443" s="12"/>
      <c r="B443" s="2"/>
      <c r="C443" s="12"/>
      <c r="D443" s="12"/>
      <c r="E443" s="9"/>
      <c r="F443" s="12"/>
      <c r="G443" s="12"/>
      <c r="H443" s="12"/>
      <c r="I443" s="12"/>
      <c r="J443" s="5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ht="15.75" customHeight="1">
      <c r="A444" s="12"/>
      <c r="B444" s="2"/>
      <c r="C444" s="12"/>
      <c r="D444" s="12"/>
      <c r="E444" s="9"/>
      <c r="F444" s="12"/>
      <c r="G444" s="12"/>
      <c r="H444" s="12"/>
      <c r="I444" s="12"/>
      <c r="J444" s="5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ht="15.75" customHeight="1">
      <c r="A445" s="12"/>
      <c r="B445" s="2"/>
      <c r="C445" s="12"/>
      <c r="D445" s="12"/>
      <c r="E445" s="9"/>
      <c r="F445" s="12"/>
      <c r="G445" s="12"/>
      <c r="H445" s="12"/>
      <c r="I445" s="12"/>
      <c r="J445" s="5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ht="15.75" customHeight="1">
      <c r="A446" s="12"/>
      <c r="B446" s="2"/>
      <c r="C446" s="12"/>
      <c r="D446" s="12"/>
      <c r="E446" s="9"/>
      <c r="F446" s="12"/>
      <c r="G446" s="12"/>
      <c r="H446" s="12"/>
      <c r="I446" s="12"/>
      <c r="J446" s="5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ht="15.75" customHeight="1">
      <c r="A447" s="12"/>
      <c r="B447" s="2"/>
      <c r="C447" s="12"/>
      <c r="D447" s="12"/>
      <c r="E447" s="9"/>
      <c r="F447" s="12"/>
      <c r="G447" s="12"/>
      <c r="H447" s="12"/>
      <c r="I447" s="12"/>
      <c r="J447" s="5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ht="15.75" customHeight="1">
      <c r="A448" s="12"/>
      <c r="B448" s="2"/>
      <c r="C448" s="12"/>
      <c r="D448" s="12"/>
      <c r="E448" s="9"/>
      <c r="F448" s="12"/>
      <c r="G448" s="12"/>
      <c r="H448" s="12"/>
      <c r="I448" s="12"/>
      <c r="J448" s="5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ht="15.75" customHeight="1">
      <c r="A449" s="12"/>
      <c r="B449" s="2"/>
      <c r="C449" s="12"/>
      <c r="D449" s="12"/>
      <c r="E449" s="9"/>
      <c r="F449" s="12"/>
      <c r="G449" s="12"/>
      <c r="H449" s="12"/>
      <c r="I449" s="12"/>
      <c r="J449" s="5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ht="15.75" customHeight="1">
      <c r="A450" s="12"/>
      <c r="B450" s="2"/>
      <c r="C450" s="12"/>
      <c r="D450" s="12"/>
      <c r="E450" s="9"/>
      <c r="F450" s="12"/>
      <c r="G450" s="12"/>
      <c r="H450" s="12"/>
      <c r="I450" s="12"/>
      <c r="J450" s="5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ht="15.75" customHeight="1">
      <c r="A451" s="12"/>
      <c r="B451" s="2"/>
      <c r="C451" s="12"/>
      <c r="D451" s="12"/>
      <c r="E451" s="9"/>
      <c r="F451" s="12"/>
      <c r="G451" s="12"/>
      <c r="H451" s="12"/>
      <c r="I451" s="12"/>
      <c r="J451" s="5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ht="15.75" customHeight="1">
      <c r="A452" s="12"/>
      <c r="B452" s="2"/>
      <c r="C452" s="12"/>
      <c r="D452" s="12"/>
      <c r="E452" s="9"/>
      <c r="F452" s="12"/>
      <c r="G452" s="12"/>
      <c r="H452" s="12"/>
      <c r="I452" s="12"/>
      <c r="J452" s="5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ht="15.75" customHeight="1">
      <c r="A453" s="12"/>
      <c r="B453" s="2"/>
      <c r="C453" s="12"/>
      <c r="D453" s="12"/>
      <c r="E453" s="9"/>
      <c r="F453" s="12"/>
      <c r="G453" s="12"/>
      <c r="H453" s="12"/>
      <c r="I453" s="12"/>
      <c r="J453" s="5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ht="15.75" customHeight="1">
      <c r="A454" s="12"/>
      <c r="B454" s="2"/>
      <c r="C454" s="12"/>
      <c r="D454" s="12"/>
      <c r="E454" s="9"/>
      <c r="F454" s="12"/>
      <c r="G454" s="12"/>
      <c r="H454" s="12"/>
      <c r="I454" s="12"/>
      <c r="J454" s="5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ht="15.75" customHeight="1">
      <c r="A455" s="12"/>
      <c r="B455" s="2"/>
      <c r="C455" s="12"/>
      <c r="D455" s="12"/>
      <c r="E455" s="9"/>
      <c r="F455" s="12"/>
      <c r="G455" s="12"/>
      <c r="H455" s="12"/>
      <c r="I455" s="12"/>
      <c r="J455" s="5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ht="15.75" customHeight="1">
      <c r="A456" s="12"/>
      <c r="B456" s="2"/>
      <c r="C456" s="12"/>
      <c r="D456" s="12"/>
      <c r="E456" s="9"/>
      <c r="F456" s="12"/>
      <c r="G456" s="12"/>
      <c r="H456" s="12"/>
      <c r="I456" s="12"/>
      <c r="J456" s="5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ht="15.75" customHeight="1">
      <c r="A457" s="12"/>
      <c r="B457" s="2"/>
      <c r="C457" s="12"/>
      <c r="D457" s="12"/>
      <c r="E457" s="9"/>
      <c r="F457" s="12"/>
      <c r="G457" s="12"/>
      <c r="H457" s="12"/>
      <c r="I457" s="12"/>
      <c r="J457" s="5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ht="15.75" customHeight="1">
      <c r="A458" s="12"/>
      <c r="B458" s="2"/>
      <c r="C458" s="12"/>
      <c r="D458" s="12"/>
      <c r="E458" s="9"/>
      <c r="F458" s="12"/>
      <c r="G458" s="12"/>
      <c r="H458" s="12"/>
      <c r="I458" s="12"/>
      <c r="J458" s="5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ht="15.75" customHeight="1">
      <c r="A459" s="12"/>
      <c r="B459" s="2"/>
      <c r="C459" s="12"/>
      <c r="D459" s="12"/>
      <c r="E459" s="9"/>
      <c r="F459" s="12"/>
      <c r="G459" s="12"/>
      <c r="H459" s="12"/>
      <c r="I459" s="12"/>
      <c r="J459" s="5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ht="15.75" customHeight="1">
      <c r="A460" s="12"/>
      <c r="B460" s="2"/>
      <c r="C460" s="12"/>
      <c r="D460" s="12"/>
      <c r="E460" s="9"/>
      <c r="F460" s="12"/>
      <c r="G460" s="12"/>
      <c r="H460" s="12"/>
      <c r="I460" s="12"/>
      <c r="J460" s="5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ht="15.75" customHeight="1">
      <c r="A461" s="12"/>
      <c r="B461" s="2"/>
      <c r="C461" s="12"/>
      <c r="D461" s="12"/>
      <c r="E461" s="9"/>
      <c r="F461" s="12"/>
      <c r="G461" s="12"/>
      <c r="H461" s="12"/>
      <c r="I461" s="12"/>
      <c r="J461" s="5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ht="15.75" customHeight="1">
      <c r="A462" s="12"/>
      <c r="B462" s="2"/>
      <c r="C462" s="12"/>
      <c r="D462" s="12"/>
      <c r="E462" s="9"/>
      <c r="F462" s="12"/>
      <c r="G462" s="12"/>
      <c r="H462" s="12"/>
      <c r="I462" s="12"/>
      <c r="J462" s="5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ht="15.75" customHeight="1">
      <c r="A463" s="12"/>
      <c r="B463" s="2"/>
      <c r="C463" s="12"/>
      <c r="D463" s="12"/>
      <c r="E463" s="9"/>
      <c r="F463" s="12"/>
      <c r="G463" s="12"/>
      <c r="H463" s="12"/>
      <c r="I463" s="12"/>
      <c r="J463" s="5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ht="15.75" customHeight="1">
      <c r="A464" s="12"/>
      <c r="B464" s="2"/>
      <c r="C464" s="12"/>
      <c r="D464" s="12"/>
      <c r="E464" s="9"/>
      <c r="F464" s="12"/>
      <c r="G464" s="12"/>
      <c r="H464" s="12"/>
      <c r="I464" s="12"/>
      <c r="J464" s="5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ht="15.75" customHeight="1">
      <c r="A465" s="12"/>
      <c r="B465" s="2"/>
      <c r="C465" s="12"/>
      <c r="D465" s="12"/>
      <c r="E465" s="9"/>
      <c r="F465" s="12"/>
      <c r="G465" s="12"/>
      <c r="H465" s="12"/>
      <c r="I465" s="12"/>
      <c r="J465" s="5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ht="15.75" customHeight="1">
      <c r="A466" s="12"/>
      <c r="B466" s="2"/>
      <c r="C466" s="12"/>
      <c r="D466" s="12"/>
      <c r="E466" s="9"/>
      <c r="F466" s="12"/>
      <c r="G466" s="12"/>
      <c r="H466" s="12"/>
      <c r="I466" s="12"/>
      <c r="J466" s="5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ht="15.75" customHeight="1">
      <c r="A467" s="12"/>
      <c r="B467" s="2"/>
      <c r="C467" s="12"/>
      <c r="D467" s="12"/>
      <c r="E467" s="9"/>
      <c r="F467" s="12"/>
      <c r="G467" s="12"/>
      <c r="H467" s="12"/>
      <c r="I467" s="12"/>
      <c r="J467" s="5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ht="15.75" customHeight="1">
      <c r="A468" s="12"/>
      <c r="B468" s="2"/>
      <c r="C468" s="12"/>
      <c r="D468" s="12"/>
      <c r="E468" s="9"/>
      <c r="F468" s="12"/>
      <c r="G468" s="12"/>
      <c r="H468" s="12"/>
      <c r="I468" s="12"/>
      <c r="J468" s="5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ht="15.75" customHeight="1">
      <c r="A469" s="12"/>
      <c r="B469" s="2"/>
      <c r="C469" s="12"/>
      <c r="D469" s="12"/>
      <c r="E469" s="9"/>
      <c r="F469" s="12"/>
      <c r="G469" s="12"/>
      <c r="H469" s="12"/>
      <c r="I469" s="12"/>
      <c r="J469" s="5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ht="15.75" customHeight="1">
      <c r="A470" s="12"/>
      <c r="B470" s="2"/>
      <c r="C470" s="12"/>
      <c r="D470" s="12"/>
      <c r="E470" s="9"/>
      <c r="F470" s="12"/>
      <c r="G470" s="12"/>
      <c r="H470" s="12"/>
      <c r="I470" s="12"/>
      <c r="J470" s="5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ht="15.75" customHeight="1">
      <c r="A471" s="12"/>
      <c r="B471" s="2"/>
      <c r="C471" s="12"/>
      <c r="D471" s="12"/>
      <c r="E471" s="9"/>
      <c r="F471" s="12"/>
      <c r="G471" s="12"/>
      <c r="H471" s="12"/>
      <c r="I471" s="12"/>
      <c r="J471" s="5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ht="15.75" customHeight="1">
      <c r="A472" s="12"/>
      <c r="B472" s="2"/>
      <c r="C472" s="12"/>
      <c r="D472" s="12"/>
      <c r="E472" s="9"/>
      <c r="F472" s="12"/>
      <c r="G472" s="12"/>
      <c r="H472" s="12"/>
      <c r="I472" s="12"/>
      <c r="J472" s="5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ht="15.75" customHeight="1">
      <c r="A473" s="12"/>
      <c r="B473" s="2"/>
      <c r="C473" s="12"/>
      <c r="D473" s="12"/>
      <c r="E473" s="9"/>
      <c r="F473" s="12"/>
      <c r="G473" s="12"/>
      <c r="H473" s="12"/>
      <c r="I473" s="12"/>
      <c r="J473" s="5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ht="15.75" customHeight="1">
      <c r="A474" s="12"/>
      <c r="B474" s="2"/>
      <c r="C474" s="12"/>
      <c r="D474" s="12"/>
      <c r="E474" s="9"/>
      <c r="F474" s="12"/>
      <c r="G474" s="12"/>
      <c r="H474" s="12"/>
      <c r="I474" s="12"/>
      <c r="J474" s="5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ht="15.75" customHeight="1">
      <c r="A475" s="12"/>
      <c r="B475" s="2"/>
      <c r="C475" s="12"/>
      <c r="D475" s="12"/>
      <c r="E475" s="9"/>
      <c r="F475" s="12"/>
      <c r="G475" s="12"/>
      <c r="H475" s="12"/>
      <c r="I475" s="12"/>
      <c r="J475" s="5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ht="15.75" customHeight="1">
      <c r="A476" s="12"/>
      <c r="B476" s="2"/>
      <c r="C476" s="12"/>
      <c r="D476" s="12"/>
      <c r="E476" s="9"/>
      <c r="F476" s="12"/>
      <c r="G476" s="12"/>
      <c r="H476" s="12"/>
      <c r="I476" s="12"/>
      <c r="J476" s="5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ht="15.75" customHeight="1">
      <c r="A477" s="12"/>
      <c r="B477" s="2"/>
      <c r="C477" s="12"/>
      <c r="D477" s="12"/>
      <c r="E477" s="9"/>
      <c r="F477" s="12"/>
      <c r="G477" s="12"/>
      <c r="H477" s="12"/>
      <c r="I477" s="12"/>
      <c r="J477" s="5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ht="15.75" customHeight="1">
      <c r="A478" s="12"/>
      <c r="B478" s="2"/>
      <c r="C478" s="12"/>
      <c r="D478" s="12"/>
      <c r="E478" s="9"/>
      <c r="F478" s="12"/>
      <c r="G478" s="12"/>
      <c r="H478" s="12"/>
      <c r="I478" s="12"/>
      <c r="J478" s="5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ht="15.75" customHeight="1">
      <c r="A479" s="12"/>
      <c r="B479" s="2"/>
      <c r="C479" s="12"/>
      <c r="D479" s="12"/>
      <c r="E479" s="9"/>
      <c r="F479" s="12"/>
      <c r="G479" s="12"/>
      <c r="H479" s="12"/>
      <c r="I479" s="12"/>
      <c r="J479" s="5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ht="15.75" customHeight="1">
      <c r="A480" s="12"/>
      <c r="B480" s="2"/>
      <c r="C480" s="12"/>
      <c r="D480" s="12"/>
      <c r="E480" s="9"/>
      <c r="F480" s="12"/>
      <c r="G480" s="12"/>
      <c r="H480" s="12"/>
      <c r="I480" s="12"/>
      <c r="J480" s="5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ht="15.75" customHeight="1">
      <c r="A481" s="12"/>
      <c r="B481" s="2"/>
      <c r="C481" s="12"/>
      <c r="D481" s="12"/>
      <c r="E481" s="9"/>
      <c r="F481" s="12"/>
      <c r="G481" s="12"/>
      <c r="H481" s="12"/>
      <c r="I481" s="12"/>
      <c r="J481" s="5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ht="15.75" customHeight="1">
      <c r="A482" s="12"/>
      <c r="B482" s="2"/>
      <c r="C482" s="12"/>
      <c r="D482" s="12"/>
      <c r="E482" s="9"/>
      <c r="F482" s="12"/>
      <c r="G482" s="12"/>
      <c r="H482" s="12"/>
      <c r="I482" s="12"/>
      <c r="J482" s="5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ht="15.75" customHeight="1">
      <c r="A483" s="12"/>
      <c r="B483" s="2"/>
      <c r="C483" s="12"/>
      <c r="D483" s="12"/>
      <c r="E483" s="9"/>
      <c r="F483" s="12"/>
      <c r="G483" s="12"/>
      <c r="H483" s="12"/>
      <c r="I483" s="12"/>
      <c r="J483" s="5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ht="15.75" customHeight="1">
      <c r="A484" s="12"/>
      <c r="B484" s="2"/>
      <c r="C484" s="12"/>
      <c r="D484" s="12"/>
      <c r="E484" s="9"/>
      <c r="F484" s="12"/>
      <c r="G484" s="12"/>
      <c r="H484" s="12"/>
      <c r="I484" s="12"/>
      <c r="J484" s="5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ht="15.75" customHeight="1">
      <c r="A485" s="12"/>
      <c r="B485" s="2"/>
      <c r="C485" s="12"/>
      <c r="D485" s="12"/>
      <c r="E485" s="9"/>
      <c r="F485" s="12"/>
      <c r="G485" s="12"/>
      <c r="H485" s="12"/>
      <c r="I485" s="12"/>
      <c r="J485" s="5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ht="15.75" customHeight="1">
      <c r="A486" s="12"/>
      <c r="B486" s="2"/>
      <c r="C486" s="12"/>
      <c r="D486" s="12"/>
      <c r="E486" s="9"/>
      <c r="F486" s="12"/>
      <c r="G486" s="12"/>
      <c r="H486" s="12"/>
      <c r="I486" s="12"/>
      <c r="J486" s="5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ht="15.75" customHeight="1">
      <c r="A487" s="12"/>
      <c r="B487" s="2"/>
      <c r="C487" s="12"/>
      <c r="D487" s="12"/>
      <c r="E487" s="9"/>
      <c r="F487" s="12"/>
      <c r="G487" s="12"/>
      <c r="H487" s="12"/>
      <c r="I487" s="12"/>
      <c r="J487" s="5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ht="15.75" customHeight="1">
      <c r="A488" s="12"/>
      <c r="B488" s="2"/>
      <c r="C488" s="12"/>
      <c r="D488" s="12"/>
      <c r="E488" s="9"/>
      <c r="F488" s="12"/>
      <c r="G488" s="12"/>
      <c r="H488" s="12"/>
      <c r="I488" s="12"/>
      <c r="J488" s="5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ht="15.75" customHeight="1">
      <c r="A489" s="12"/>
      <c r="B489" s="2"/>
      <c r="C489" s="12"/>
      <c r="D489" s="12"/>
      <c r="E489" s="9"/>
      <c r="F489" s="12"/>
      <c r="G489" s="12"/>
      <c r="H489" s="12"/>
      <c r="I489" s="12"/>
      <c r="J489" s="5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ht="15.75" customHeight="1">
      <c r="A490" s="12"/>
      <c r="B490" s="2"/>
      <c r="C490" s="12"/>
      <c r="D490" s="12"/>
      <c r="E490" s="9"/>
      <c r="F490" s="12"/>
      <c r="G490" s="12"/>
      <c r="H490" s="12"/>
      <c r="I490" s="12"/>
      <c r="J490" s="5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ht="15.75" customHeight="1">
      <c r="A491" s="12"/>
      <c r="B491" s="2"/>
      <c r="C491" s="12"/>
      <c r="D491" s="12"/>
      <c r="E491" s="9"/>
      <c r="F491" s="12"/>
      <c r="G491" s="12"/>
      <c r="H491" s="12"/>
      <c r="I491" s="12"/>
      <c r="J491" s="5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ht="15.75" customHeight="1">
      <c r="A492" s="12"/>
      <c r="B492" s="2"/>
      <c r="C492" s="12"/>
      <c r="D492" s="12"/>
      <c r="E492" s="9"/>
      <c r="F492" s="12"/>
      <c r="G492" s="12"/>
      <c r="H492" s="12"/>
      <c r="I492" s="12"/>
      <c r="J492" s="5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ht="15.75" customHeight="1">
      <c r="A493" s="12"/>
      <c r="B493" s="2"/>
      <c r="C493" s="12"/>
      <c r="D493" s="12"/>
      <c r="E493" s="9"/>
      <c r="F493" s="12"/>
      <c r="G493" s="12"/>
      <c r="H493" s="12"/>
      <c r="I493" s="12"/>
      <c r="J493" s="5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ht="15.75" customHeight="1">
      <c r="A494" s="12"/>
      <c r="B494" s="2"/>
      <c r="C494" s="12"/>
      <c r="D494" s="12"/>
      <c r="E494" s="9"/>
      <c r="F494" s="12"/>
      <c r="G494" s="12"/>
      <c r="H494" s="12"/>
      <c r="I494" s="12"/>
      <c r="J494" s="5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ht="15.75" customHeight="1">
      <c r="A495" s="12"/>
      <c r="B495" s="2"/>
      <c r="C495" s="12"/>
      <c r="D495" s="12"/>
      <c r="E495" s="9"/>
      <c r="F495" s="12"/>
      <c r="G495" s="12"/>
      <c r="H495" s="12"/>
      <c r="I495" s="12"/>
      <c r="J495" s="5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ht="15.75" customHeight="1">
      <c r="A496" s="12"/>
      <c r="B496" s="2"/>
      <c r="C496" s="12"/>
      <c r="D496" s="12"/>
      <c r="E496" s="9"/>
      <c r="F496" s="12"/>
      <c r="G496" s="12"/>
      <c r="H496" s="12"/>
      <c r="I496" s="12"/>
      <c r="J496" s="5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ht="15.75" customHeight="1">
      <c r="A497" s="12"/>
      <c r="B497" s="2"/>
      <c r="C497" s="12"/>
      <c r="D497" s="12"/>
      <c r="E497" s="9"/>
      <c r="F497" s="12"/>
      <c r="G497" s="12"/>
      <c r="H497" s="12"/>
      <c r="I497" s="12"/>
      <c r="J497" s="5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ht="15.75" customHeight="1">
      <c r="A498" s="12"/>
      <c r="B498" s="2"/>
      <c r="C498" s="12"/>
      <c r="D498" s="12"/>
      <c r="E498" s="9"/>
      <c r="F498" s="12"/>
      <c r="G498" s="12"/>
      <c r="H498" s="12"/>
      <c r="I498" s="12"/>
      <c r="J498" s="5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ht="15.75" customHeight="1">
      <c r="A499" s="12"/>
      <c r="B499" s="2"/>
      <c r="C499" s="12"/>
      <c r="D499" s="12"/>
      <c r="E499" s="9"/>
      <c r="F499" s="12"/>
      <c r="G499" s="12"/>
      <c r="H499" s="12"/>
      <c r="I499" s="12"/>
      <c r="J499" s="5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ht="15.75" customHeight="1">
      <c r="A500" s="12"/>
      <c r="B500" s="2"/>
      <c r="C500" s="12"/>
      <c r="D500" s="12"/>
      <c r="E500" s="9"/>
      <c r="F500" s="12"/>
      <c r="G500" s="12"/>
      <c r="H500" s="12"/>
      <c r="I500" s="12"/>
      <c r="J500" s="5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ht="15.75" customHeight="1">
      <c r="A501" s="12"/>
      <c r="B501" s="2"/>
      <c r="C501" s="12"/>
      <c r="D501" s="12"/>
      <c r="E501" s="9"/>
      <c r="F501" s="12"/>
      <c r="G501" s="12"/>
      <c r="H501" s="12"/>
      <c r="I501" s="12"/>
      <c r="J501" s="5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ht="15.75" customHeight="1">
      <c r="A502" s="12"/>
      <c r="B502" s="2"/>
      <c r="C502" s="12"/>
      <c r="D502" s="12"/>
      <c r="E502" s="9"/>
      <c r="F502" s="12"/>
      <c r="G502" s="12"/>
      <c r="H502" s="12"/>
      <c r="I502" s="12"/>
      <c r="J502" s="5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ht="15.75" customHeight="1">
      <c r="A503" s="12"/>
      <c r="B503" s="2"/>
      <c r="C503" s="12"/>
      <c r="D503" s="12"/>
      <c r="E503" s="9"/>
      <c r="F503" s="12"/>
      <c r="G503" s="12"/>
      <c r="H503" s="12"/>
      <c r="I503" s="12"/>
      <c r="J503" s="5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ht="15.75" customHeight="1">
      <c r="A504" s="12"/>
      <c r="B504" s="2"/>
      <c r="C504" s="12"/>
      <c r="D504" s="12"/>
      <c r="E504" s="9"/>
      <c r="F504" s="12"/>
      <c r="G504" s="12"/>
      <c r="H504" s="12"/>
      <c r="I504" s="12"/>
      <c r="J504" s="5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ht="15.75" customHeight="1">
      <c r="A505" s="12"/>
      <c r="B505" s="2"/>
      <c r="C505" s="12"/>
      <c r="D505" s="12"/>
      <c r="E505" s="9"/>
      <c r="F505" s="12"/>
      <c r="G505" s="12"/>
      <c r="H505" s="12"/>
      <c r="I505" s="12"/>
      <c r="J505" s="5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ht="15.75" customHeight="1">
      <c r="A506" s="12"/>
      <c r="B506" s="2"/>
      <c r="C506" s="12"/>
      <c r="D506" s="12"/>
      <c r="E506" s="9"/>
      <c r="F506" s="12"/>
      <c r="G506" s="12"/>
      <c r="H506" s="12"/>
      <c r="I506" s="12"/>
      <c r="J506" s="5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ht="15.75" customHeight="1">
      <c r="A507" s="12"/>
      <c r="B507" s="2"/>
      <c r="C507" s="12"/>
      <c r="D507" s="12"/>
      <c r="E507" s="9"/>
      <c r="F507" s="12"/>
      <c r="G507" s="12"/>
      <c r="H507" s="12"/>
      <c r="I507" s="12"/>
      <c r="J507" s="5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ht="15.75" customHeight="1">
      <c r="A508" s="12"/>
      <c r="B508" s="2"/>
      <c r="C508" s="12"/>
      <c r="D508" s="12"/>
      <c r="E508" s="9"/>
      <c r="F508" s="12"/>
      <c r="G508" s="12"/>
      <c r="H508" s="12"/>
      <c r="I508" s="12"/>
      <c r="J508" s="5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ht="15.75" customHeight="1">
      <c r="A509" s="12"/>
      <c r="B509" s="2"/>
      <c r="C509" s="12"/>
      <c r="D509" s="12"/>
      <c r="E509" s="9"/>
      <c r="F509" s="12"/>
      <c r="G509" s="12"/>
      <c r="H509" s="12"/>
      <c r="I509" s="12"/>
      <c r="J509" s="5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ht="15.75" customHeight="1">
      <c r="A510" s="12"/>
      <c r="B510" s="2"/>
      <c r="C510" s="12"/>
      <c r="D510" s="12"/>
      <c r="E510" s="9"/>
      <c r="F510" s="12"/>
      <c r="G510" s="12"/>
      <c r="H510" s="12"/>
      <c r="I510" s="12"/>
      <c r="J510" s="5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ht="15.75" customHeight="1">
      <c r="A511" s="12"/>
      <c r="B511" s="2"/>
      <c r="C511" s="12"/>
      <c r="D511" s="12"/>
      <c r="E511" s="9"/>
      <c r="F511" s="12"/>
      <c r="G511" s="12"/>
      <c r="H511" s="12"/>
      <c r="I511" s="12"/>
      <c r="J511" s="5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ht="15.75" customHeight="1">
      <c r="A512" s="12"/>
      <c r="B512" s="2"/>
      <c r="C512" s="12"/>
      <c r="D512" s="12"/>
      <c r="E512" s="9"/>
      <c r="F512" s="12"/>
      <c r="G512" s="12"/>
      <c r="H512" s="12"/>
      <c r="I512" s="12"/>
      <c r="J512" s="5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ht="15.75" customHeight="1">
      <c r="A513" s="12"/>
      <c r="B513" s="2"/>
      <c r="C513" s="12"/>
      <c r="D513" s="12"/>
      <c r="E513" s="9"/>
      <c r="F513" s="12"/>
      <c r="G513" s="12"/>
      <c r="H513" s="12"/>
      <c r="I513" s="12"/>
      <c r="J513" s="5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ht="15.75" customHeight="1">
      <c r="A514" s="12"/>
      <c r="B514" s="2"/>
      <c r="C514" s="12"/>
      <c r="D514" s="12"/>
      <c r="E514" s="9"/>
      <c r="F514" s="12"/>
      <c r="G514" s="12"/>
      <c r="H514" s="12"/>
      <c r="I514" s="12"/>
      <c r="J514" s="5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ht="15.75" customHeight="1">
      <c r="A515" s="12"/>
      <c r="B515" s="2"/>
      <c r="C515" s="12"/>
      <c r="D515" s="12"/>
      <c r="E515" s="9"/>
      <c r="F515" s="12"/>
      <c r="G515" s="12"/>
      <c r="H515" s="12"/>
      <c r="I515" s="12"/>
      <c r="J515" s="5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ht="15.75" customHeight="1">
      <c r="A516" s="12"/>
      <c r="B516" s="2"/>
      <c r="C516" s="12"/>
      <c r="D516" s="12"/>
      <c r="E516" s="9"/>
      <c r="F516" s="12"/>
      <c r="G516" s="12"/>
      <c r="H516" s="12"/>
      <c r="I516" s="12"/>
      <c r="J516" s="5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ht="15.75" customHeight="1">
      <c r="A517" s="12"/>
      <c r="B517" s="2"/>
      <c r="C517" s="12"/>
      <c r="D517" s="12"/>
      <c r="E517" s="9"/>
      <c r="F517" s="12"/>
      <c r="G517" s="12"/>
      <c r="H517" s="12"/>
      <c r="I517" s="12"/>
      <c r="J517" s="5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ht="15.75" customHeight="1">
      <c r="A518" s="12"/>
      <c r="B518" s="2"/>
      <c r="C518" s="12"/>
      <c r="D518" s="12"/>
      <c r="E518" s="9"/>
      <c r="F518" s="12"/>
      <c r="G518" s="12"/>
      <c r="H518" s="12"/>
      <c r="I518" s="12"/>
      <c r="J518" s="5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ht="15.75" customHeight="1">
      <c r="A519" s="12"/>
      <c r="B519" s="2"/>
      <c r="C519" s="12"/>
      <c r="D519" s="12"/>
      <c r="E519" s="9"/>
      <c r="F519" s="12"/>
      <c r="G519" s="12"/>
      <c r="H519" s="12"/>
      <c r="I519" s="12"/>
      <c r="J519" s="5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ht="15.75" customHeight="1">
      <c r="A520" s="12"/>
      <c r="B520" s="2"/>
      <c r="C520" s="12"/>
      <c r="D520" s="12"/>
      <c r="E520" s="9"/>
      <c r="F520" s="12"/>
      <c r="G520" s="12"/>
      <c r="H520" s="12"/>
      <c r="I520" s="12"/>
      <c r="J520" s="5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ht="15.75" customHeight="1">
      <c r="A521" s="12"/>
      <c r="B521" s="2"/>
      <c r="C521" s="12"/>
      <c r="D521" s="12"/>
      <c r="E521" s="9"/>
      <c r="F521" s="12"/>
      <c r="G521" s="12"/>
      <c r="H521" s="12"/>
      <c r="I521" s="12"/>
      <c r="J521" s="5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ht="15.75" customHeight="1">
      <c r="A522" s="12"/>
      <c r="B522" s="2"/>
      <c r="C522" s="12"/>
      <c r="D522" s="12"/>
      <c r="E522" s="9"/>
      <c r="F522" s="12"/>
      <c r="G522" s="12"/>
      <c r="H522" s="12"/>
      <c r="I522" s="12"/>
      <c r="J522" s="5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ht="15.75" customHeight="1">
      <c r="A523" s="12"/>
      <c r="B523" s="2"/>
      <c r="C523" s="12"/>
      <c r="D523" s="12"/>
      <c r="E523" s="9"/>
      <c r="F523" s="12"/>
      <c r="G523" s="12"/>
      <c r="H523" s="12"/>
      <c r="I523" s="12"/>
      <c r="J523" s="5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ht="15.75" customHeight="1">
      <c r="A524" s="12"/>
      <c r="B524" s="2"/>
      <c r="C524" s="12"/>
      <c r="D524" s="12"/>
      <c r="E524" s="9"/>
      <c r="F524" s="12"/>
      <c r="G524" s="12"/>
      <c r="H524" s="12"/>
      <c r="I524" s="12"/>
      <c r="J524" s="5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ht="15.75" customHeight="1">
      <c r="A525" s="12"/>
      <c r="B525" s="2"/>
      <c r="C525" s="12"/>
      <c r="D525" s="12"/>
      <c r="E525" s="9"/>
      <c r="F525" s="12"/>
      <c r="G525" s="12"/>
      <c r="H525" s="12"/>
      <c r="I525" s="12"/>
      <c r="J525" s="5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ht="15.75" customHeight="1">
      <c r="A526" s="12"/>
      <c r="B526" s="2"/>
      <c r="C526" s="12"/>
      <c r="D526" s="12"/>
      <c r="E526" s="9"/>
      <c r="F526" s="12"/>
      <c r="G526" s="12"/>
      <c r="H526" s="12"/>
      <c r="I526" s="12"/>
      <c r="J526" s="5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ht="15.75" customHeight="1">
      <c r="A527" s="12"/>
      <c r="B527" s="2"/>
      <c r="C527" s="12"/>
      <c r="D527" s="12"/>
      <c r="E527" s="9"/>
      <c r="F527" s="12"/>
      <c r="G527" s="12"/>
      <c r="H527" s="12"/>
      <c r="I527" s="12"/>
      <c r="J527" s="5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ht="15.75" customHeight="1">
      <c r="A528" s="12"/>
      <c r="B528" s="2"/>
      <c r="C528" s="12"/>
      <c r="D528" s="12"/>
      <c r="E528" s="9"/>
      <c r="F528" s="12"/>
      <c r="G528" s="12"/>
      <c r="H528" s="12"/>
      <c r="I528" s="12"/>
      <c r="J528" s="5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ht="15.75" customHeight="1">
      <c r="A529" s="12"/>
      <c r="B529" s="2"/>
      <c r="C529" s="12"/>
      <c r="D529" s="12"/>
      <c r="E529" s="9"/>
      <c r="F529" s="12"/>
      <c r="G529" s="12"/>
      <c r="H529" s="12"/>
      <c r="I529" s="12"/>
      <c r="J529" s="5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ht="15.75" customHeight="1">
      <c r="A530" s="12"/>
      <c r="B530" s="2"/>
      <c r="C530" s="12"/>
      <c r="D530" s="12"/>
      <c r="E530" s="9"/>
      <c r="F530" s="12"/>
      <c r="G530" s="12"/>
      <c r="H530" s="12"/>
      <c r="I530" s="12"/>
      <c r="J530" s="5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ht="15.75" customHeight="1">
      <c r="A531" s="12"/>
      <c r="B531" s="2"/>
      <c r="C531" s="12"/>
      <c r="D531" s="12"/>
      <c r="E531" s="9"/>
      <c r="F531" s="12"/>
      <c r="G531" s="12"/>
      <c r="H531" s="12"/>
      <c r="I531" s="12"/>
      <c r="J531" s="5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ht="15.75" customHeight="1">
      <c r="A532" s="12"/>
      <c r="B532" s="2"/>
      <c r="C532" s="12"/>
      <c r="D532" s="12"/>
      <c r="E532" s="9"/>
      <c r="F532" s="12"/>
      <c r="G532" s="12"/>
      <c r="H532" s="12"/>
      <c r="I532" s="12"/>
      <c r="J532" s="5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ht="15.75" customHeight="1">
      <c r="A533" s="12"/>
      <c r="B533" s="2"/>
      <c r="C533" s="12"/>
      <c r="D533" s="12"/>
      <c r="E533" s="9"/>
      <c r="F533" s="12"/>
      <c r="G533" s="12"/>
      <c r="H533" s="12"/>
      <c r="I533" s="12"/>
      <c r="J533" s="5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ht="15.75" customHeight="1">
      <c r="A534" s="12"/>
      <c r="B534" s="2"/>
      <c r="C534" s="12"/>
      <c r="D534" s="12"/>
      <c r="E534" s="9"/>
      <c r="F534" s="12"/>
      <c r="G534" s="12"/>
      <c r="H534" s="12"/>
      <c r="I534" s="12"/>
      <c r="J534" s="5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ht="15.75" customHeight="1">
      <c r="A535" s="12"/>
      <c r="B535" s="2"/>
      <c r="C535" s="12"/>
      <c r="D535" s="12"/>
      <c r="E535" s="9"/>
      <c r="F535" s="12"/>
      <c r="G535" s="12"/>
      <c r="H535" s="12"/>
      <c r="I535" s="12"/>
      <c r="J535" s="5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ht="15.75" customHeight="1">
      <c r="A536" s="12"/>
      <c r="B536" s="2"/>
      <c r="C536" s="12"/>
      <c r="D536" s="12"/>
      <c r="E536" s="9"/>
      <c r="F536" s="12"/>
      <c r="G536" s="12"/>
      <c r="H536" s="12"/>
      <c r="I536" s="12"/>
      <c r="J536" s="5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ht="15.75" customHeight="1">
      <c r="A537" s="12"/>
      <c r="B537" s="2"/>
      <c r="C537" s="12"/>
      <c r="D537" s="12"/>
      <c r="E537" s="9"/>
      <c r="F537" s="12"/>
      <c r="G537" s="12"/>
      <c r="H537" s="12"/>
      <c r="I537" s="12"/>
      <c r="J537" s="5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ht="15.75" customHeight="1">
      <c r="A538" s="12"/>
      <c r="B538" s="2"/>
      <c r="C538" s="12"/>
      <c r="D538" s="12"/>
      <c r="E538" s="9"/>
      <c r="F538" s="12"/>
      <c r="G538" s="12"/>
      <c r="H538" s="12"/>
      <c r="I538" s="12"/>
      <c r="J538" s="5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ht="15.75" customHeight="1">
      <c r="A539" s="12"/>
      <c r="B539" s="2"/>
      <c r="C539" s="12"/>
      <c r="D539" s="12"/>
      <c r="E539" s="9"/>
      <c r="F539" s="12"/>
      <c r="G539" s="12"/>
      <c r="H539" s="12"/>
      <c r="I539" s="12"/>
      <c r="J539" s="5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ht="15.75" customHeight="1">
      <c r="A540" s="12"/>
      <c r="B540" s="2"/>
      <c r="C540" s="12"/>
      <c r="D540" s="12"/>
      <c r="E540" s="9"/>
      <c r="F540" s="12"/>
      <c r="G540" s="12"/>
      <c r="H540" s="12"/>
      <c r="I540" s="12"/>
      <c r="J540" s="5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ht="15.75" customHeight="1">
      <c r="A541" s="12"/>
      <c r="B541" s="2"/>
      <c r="C541" s="12"/>
      <c r="D541" s="12"/>
      <c r="E541" s="9"/>
      <c r="F541" s="12"/>
      <c r="G541" s="12"/>
      <c r="H541" s="12"/>
      <c r="I541" s="12"/>
      <c r="J541" s="5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ht="15.75" customHeight="1">
      <c r="A542" s="12"/>
      <c r="B542" s="2"/>
      <c r="C542" s="12"/>
      <c r="D542" s="12"/>
      <c r="E542" s="9"/>
      <c r="F542" s="12"/>
      <c r="G542" s="12"/>
      <c r="H542" s="12"/>
      <c r="I542" s="12"/>
      <c r="J542" s="5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ht="15.75" customHeight="1">
      <c r="A543" s="12"/>
      <c r="B543" s="2"/>
      <c r="C543" s="12"/>
      <c r="D543" s="12"/>
      <c r="E543" s="9"/>
      <c r="F543" s="12"/>
      <c r="G543" s="12"/>
      <c r="H543" s="12"/>
      <c r="I543" s="12"/>
      <c r="J543" s="5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ht="15.75" customHeight="1">
      <c r="A544" s="12"/>
      <c r="B544" s="2"/>
      <c r="C544" s="12"/>
      <c r="D544" s="12"/>
      <c r="E544" s="9"/>
      <c r="F544" s="12"/>
      <c r="G544" s="12"/>
      <c r="H544" s="12"/>
      <c r="I544" s="12"/>
      <c r="J544" s="5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ht="15.75" customHeight="1">
      <c r="A545" s="12"/>
      <c r="B545" s="2"/>
      <c r="C545" s="12"/>
      <c r="D545" s="12"/>
      <c r="E545" s="9"/>
      <c r="F545" s="12"/>
      <c r="G545" s="12"/>
      <c r="H545" s="12"/>
      <c r="I545" s="12"/>
      <c r="J545" s="5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ht="15.75" customHeight="1">
      <c r="A546" s="12"/>
      <c r="B546" s="2"/>
      <c r="C546" s="12"/>
      <c r="D546" s="12"/>
      <c r="E546" s="9"/>
      <c r="F546" s="12"/>
      <c r="G546" s="12"/>
      <c r="H546" s="12"/>
      <c r="I546" s="12"/>
      <c r="J546" s="5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ht="15.75" customHeight="1">
      <c r="A547" s="12"/>
      <c r="B547" s="2"/>
      <c r="C547" s="12"/>
      <c r="D547" s="12"/>
      <c r="E547" s="9"/>
      <c r="F547" s="12"/>
      <c r="G547" s="12"/>
      <c r="H547" s="12"/>
      <c r="I547" s="12"/>
      <c r="J547" s="5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ht="15.75" customHeight="1">
      <c r="A548" s="12"/>
      <c r="B548" s="2"/>
      <c r="C548" s="12"/>
      <c r="D548" s="12"/>
      <c r="E548" s="9"/>
      <c r="F548" s="12"/>
      <c r="G548" s="12"/>
      <c r="H548" s="12"/>
      <c r="I548" s="12"/>
      <c r="J548" s="5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ht="15.75" customHeight="1">
      <c r="A549" s="12"/>
      <c r="B549" s="2"/>
      <c r="C549" s="12"/>
      <c r="D549" s="12"/>
      <c r="E549" s="9"/>
      <c r="F549" s="12"/>
      <c r="G549" s="12"/>
      <c r="H549" s="12"/>
      <c r="I549" s="12"/>
      <c r="J549" s="5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ht="15.75" customHeight="1">
      <c r="A550" s="12"/>
      <c r="B550" s="2"/>
      <c r="C550" s="12"/>
      <c r="D550" s="12"/>
      <c r="E550" s="9"/>
      <c r="F550" s="12"/>
      <c r="G550" s="12"/>
      <c r="H550" s="12"/>
      <c r="I550" s="12"/>
      <c r="J550" s="5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ht="15.75" customHeight="1">
      <c r="A551" s="12"/>
      <c r="B551" s="2"/>
      <c r="C551" s="12"/>
      <c r="D551" s="12"/>
      <c r="E551" s="9"/>
      <c r="F551" s="12"/>
      <c r="G551" s="12"/>
      <c r="H551" s="12"/>
      <c r="I551" s="12"/>
      <c r="J551" s="5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ht="15.75" customHeight="1">
      <c r="A552" s="12"/>
      <c r="B552" s="2"/>
      <c r="C552" s="12"/>
      <c r="D552" s="12"/>
      <c r="E552" s="9"/>
      <c r="F552" s="12"/>
      <c r="G552" s="12"/>
      <c r="H552" s="12"/>
      <c r="I552" s="12"/>
      <c r="J552" s="5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ht="15.75" customHeight="1">
      <c r="A553" s="12"/>
      <c r="B553" s="2"/>
      <c r="C553" s="12"/>
      <c r="D553" s="12"/>
      <c r="E553" s="9"/>
      <c r="F553" s="12"/>
      <c r="G553" s="12"/>
      <c r="H553" s="12"/>
      <c r="I553" s="12"/>
      <c r="J553" s="5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ht="15.75" customHeight="1">
      <c r="A554" s="12"/>
      <c r="B554" s="2"/>
      <c r="C554" s="12"/>
      <c r="D554" s="12"/>
      <c r="E554" s="9"/>
      <c r="F554" s="12"/>
      <c r="G554" s="12"/>
      <c r="H554" s="12"/>
      <c r="I554" s="12"/>
      <c r="J554" s="5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ht="15.75" customHeight="1">
      <c r="A555" s="12"/>
      <c r="B555" s="2"/>
      <c r="C555" s="12"/>
      <c r="D555" s="12"/>
      <c r="E555" s="9"/>
      <c r="F555" s="12"/>
      <c r="G555" s="12"/>
      <c r="H555" s="12"/>
      <c r="I555" s="12"/>
      <c r="J555" s="5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ht="15.75" customHeight="1">
      <c r="A556" s="12"/>
      <c r="B556" s="2"/>
      <c r="C556" s="12"/>
      <c r="D556" s="12"/>
      <c r="E556" s="9"/>
      <c r="F556" s="12"/>
      <c r="G556" s="12"/>
      <c r="H556" s="12"/>
      <c r="I556" s="12"/>
      <c r="J556" s="5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ht="15.75" customHeight="1">
      <c r="A557" s="12"/>
      <c r="B557" s="2"/>
      <c r="C557" s="12"/>
      <c r="D557" s="12"/>
      <c r="E557" s="9"/>
      <c r="F557" s="12"/>
      <c r="G557" s="12"/>
      <c r="H557" s="12"/>
      <c r="I557" s="12"/>
      <c r="J557" s="5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ht="15.75" customHeight="1">
      <c r="A558" s="12"/>
      <c r="B558" s="2"/>
      <c r="C558" s="12"/>
      <c r="D558" s="12"/>
      <c r="E558" s="9"/>
      <c r="F558" s="12"/>
      <c r="G558" s="12"/>
      <c r="H558" s="12"/>
      <c r="I558" s="12"/>
      <c r="J558" s="5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ht="15.75" customHeight="1">
      <c r="A559" s="12"/>
      <c r="B559" s="2"/>
      <c r="C559" s="12"/>
      <c r="D559" s="12"/>
      <c r="E559" s="9"/>
      <c r="F559" s="12"/>
      <c r="G559" s="12"/>
      <c r="H559" s="12"/>
      <c r="I559" s="12"/>
      <c r="J559" s="5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ht="15.75" customHeight="1">
      <c r="A560" s="12"/>
      <c r="B560" s="2"/>
      <c r="C560" s="12"/>
      <c r="D560" s="12"/>
      <c r="E560" s="9"/>
      <c r="F560" s="12"/>
      <c r="G560" s="12"/>
      <c r="H560" s="12"/>
      <c r="I560" s="12"/>
      <c r="J560" s="5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ht="15.75" customHeight="1">
      <c r="A561" s="12"/>
      <c r="B561" s="2"/>
      <c r="C561" s="12"/>
      <c r="D561" s="12"/>
      <c r="E561" s="9"/>
      <c r="F561" s="12"/>
      <c r="G561" s="12"/>
      <c r="H561" s="12"/>
      <c r="I561" s="12"/>
      <c r="J561" s="5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ht="15.75" customHeight="1">
      <c r="A562" s="12"/>
      <c r="B562" s="2"/>
      <c r="C562" s="12"/>
      <c r="D562" s="12"/>
      <c r="E562" s="9"/>
      <c r="F562" s="12"/>
      <c r="G562" s="12"/>
      <c r="H562" s="12"/>
      <c r="I562" s="12"/>
      <c r="J562" s="5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ht="15.75" customHeight="1">
      <c r="A563" s="12"/>
      <c r="B563" s="2"/>
      <c r="C563" s="12"/>
      <c r="D563" s="12"/>
      <c r="E563" s="9"/>
      <c r="F563" s="12"/>
      <c r="G563" s="12"/>
      <c r="H563" s="12"/>
      <c r="I563" s="12"/>
      <c r="J563" s="5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ht="15.75" customHeight="1">
      <c r="A564" s="12"/>
      <c r="B564" s="2"/>
      <c r="C564" s="12"/>
      <c r="D564" s="12"/>
      <c r="E564" s="9"/>
      <c r="F564" s="12"/>
      <c r="G564" s="12"/>
      <c r="H564" s="12"/>
      <c r="I564" s="12"/>
      <c r="J564" s="5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ht="15.75" customHeight="1">
      <c r="A565" s="12"/>
      <c r="B565" s="2"/>
      <c r="C565" s="12"/>
      <c r="D565" s="12"/>
      <c r="E565" s="9"/>
      <c r="F565" s="12"/>
      <c r="G565" s="12"/>
      <c r="H565" s="12"/>
      <c r="I565" s="12"/>
      <c r="J565" s="5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ht="15.75" customHeight="1">
      <c r="A566" s="12"/>
      <c r="B566" s="2"/>
      <c r="C566" s="12"/>
      <c r="D566" s="12"/>
      <c r="E566" s="9"/>
      <c r="F566" s="12"/>
      <c r="G566" s="12"/>
      <c r="H566" s="12"/>
      <c r="I566" s="12"/>
      <c r="J566" s="5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ht="15.75" customHeight="1">
      <c r="A567" s="12"/>
      <c r="B567" s="2"/>
      <c r="C567" s="12"/>
      <c r="D567" s="12"/>
      <c r="E567" s="9"/>
      <c r="F567" s="12"/>
      <c r="G567" s="12"/>
      <c r="H567" s="12"/>
      <c r="I567" s="12"/>
      <c r="J567" s="5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ht="15.75" customHeight="1">
      <c r="A568" s="12"/>
      <c r="B568" s="2"/>
      <c r="C568" s="12"/>
      <c r="D568" s="12"/>
      <c r="E568" s="9"/>
      <c r="F568" s="12"/>
      <c r="G568" s="12"/>
      <c r="H568" s="12"/>
      <c r="I568" s="12"/>
      <c r="J568" s="5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ht="15.75" customHeight="1">
      <c r="A569" s="12"/>
      <c r="B569" s="2"/>
      <c r="C569" s="12"/>
      <c r="D569" s="12"/>
      <c r="E569" s="9"/>
      <c r="F569" s="12"/>
      <c r="G569" s="12"/>
      <c r="H569" s="12"/>
      <c r="I569" s="12"/>
      <c r="J569" s="5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ht="15.75" customHeight="1">
      <c r="A570" s="12"/>
      <c r="B570" s="2"/>
      <c r="C570" s="12"/>
      <c r="D570" s="12"/>
      <c r="E570" s="9"/>
      <c r="F570" s="12"/>
      <c r="G570" s="12"/>
      <c r="H570" s="12"/>
      <c r="I570" s="12"/>
      <c r="J570" s="5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ht="15.75" customHeight="1">
      <c r="A571" s="12"/>
      <c r="B571" s="2"/>
      <c r="C571" s="12"/>
      <c r="D571" s="12"/>
      <c r="E571" s="9"/>
      <c r="F571" s="12"/>
      <c r="G571" s="12"/>
      <c r="H571" s="12"/>
      <c r="I571" s="12"/>
      <c r="J571" s="5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ht="15.75" customHeight="1">
      <c r="A572" s="12"/>
      <c r="B572" s="2"/>
      <c r="C572" s="12"/>
      <c r="D572" s="12"/>
      <c r="E572" s="9"/>
      <c r="F572" s="12"/>
      <c r="G572" s="12"/>
      <c r="H572" s="12"/>
      <c r="I572" s="12"/>
      <c r="J572" s="5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ht="15.75" customHeight="1">
      <c r="A573" s="12"/>
      <c r="B573" s="2"/>
      <c r="C573" s="12"/>
      <c r="D573" s="12"/>
      <c r="E573" s="9"/>
      <c r="F573" s="12"/>
      <c r="G573" s="12"/>
      <c r="H573" s="12"/>
      <c r="I573" s="12"/>
      <c r="J573" s="5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ht="15.75" customHeight="1">
      <c r="A574" s="12"/>
      <c r="B574" s="2"/>
      <c r="C574" s="12"/>
      <c r="D574" s="12"/>
      <c r="E574" s="9"/>
      <c r="F574" s="12"/>
      <c r="G574" s="12"/>
      <c r="H574" s="12"/>
      <c r="I574" s="12"/>
      <c r="J574" s="5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ht="15.75" customHeight="1">
      <c r="A575" s="12"/>
      <c r="B575" s="2"/>
      <c r="C575" s="12"/>
      <c r="D575" s="12"/>
      <c r="E575" s="9"/>
      <c r="F575" s="12"/>
      <c r="G575" s="12"/>
      <c r="H575" s="12"/>
      <c r="I575" s="12"/>
      <c r="J575" s="5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ht="15.75" customHeight="1">
      <c r="A576" s="12"/>
      <c r="B576" s="2"/>
      <c r="C576" s="12"/>
      <c r="D576" s="12"/>
      <c r="E576" s="9"/>
      <c r="F576" s="12"/>
      <c r="G576" s="12"/>
      <c r="H576" s="12"/>
      <c r="I576" s="12"/>
      <c r="J576" s="5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ht="15.75" customHeight="1">
      <c r="A577" s="12"/>
      <c r="B577" s="2"/>
      <c r="C577" s="12"/>
      <c r="D577" s="12"/>
      <c r="E577" s="9"/>
      <c r="F577" s="12"/>
      <c r="G577" s="12"/>
      <c r="H577" s="12"/>
      <c r="I577" s="12"/>
      <c r="J577" s="5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ht="15.75" customHeight="1">
      <c r="A578" s="12"/>
      <c r="B578" s="2"/>
      <c r="C578" s="12"/>
      <c r="D578" s="12"/>
      <c r="E578" s="9"/>
      <c r="F578" s="12"/>
      <c r="G578" s="12"/>
      <c r="H578" s="12"/>
      <c r="I578" s="12"/>
      <c r="J578" s="5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ht="15.75" customHeight="1">
      <c r="A579" s="12"/>
      <c r="B579" s="2"/>
      <c r="C579" s="12"/>
      <c r="D579" s="12"/>
      <c r="E579" s="9"/>
      <c r="F579" s="12"/>
      <c r="G579" s="12"/>
      <c r="H579" s="12"/>
      <c r="I579" s="12"/>
      <c r="J579" s="5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ht="15.75" customHeight="1">
      <c r="A580" s="12"/>
      <c r="B580" s="2"/>
      <c r="C580" s="12"/>
      <c r="D580" s="12"/>
      <c r="E580" s="9"/>
      <c r="F580" s="12"/>
      <c r="G580" s="12"/>
      <c r="H580" s="12"/>
      <c r="I580" s="12"/>
      <c r="J580" s="5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ht="15.75" customHeight="1">
      <c r="A581" s="12"/>
      <c r="B581" s="2"/>
      <c r="C581" s="12"/>
      <c r="D581" s="12"/>
      <c r="E581" s="9"/>
      <c r="F581" s="12"/>
      <c r="G581" s="12"/>
      <c r="H581" s="12"/>
      <c r="I581" s="12"/>
      <c r="J581" s="5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ht="15.75" customHeight="1">
      <c r="A582" s="12"/>
      <c r="B582" s="2"/>
      <c r="C582" s="12"/>
      <c r="D582" s="12"/>
      <c r="E582" s="9"/>
      <c r="F582" s="12"/>
      <c r="G582" s="12"/>
      <c r="H582" s="12"/>
      <c r="I582" s="12"/>
      <c r="J582" s="5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ht="15.75" customHeight="1">
      <c r="A583" s="12"/>
      <c r="B583" s="2"/>
      <c r="C583" s="12"/>
      <c r="D583" s="12"/>
      <c r="E583" s="9"/>
      <c r="F583" s="12"/>
      <c r="G583" s="12"/>
      <c r="H583" s="12"/>
      <c r="I583" s="12"/>
      <c r="J583" s="5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ht="15.75" customHeight="1">
      <c r="A584" s="12"/>
      <c r="B584" s="2"/>
      <c r="C584" s="12"/>
      <c r="D584" s="12"/>
      <c r="E584" s="9"/>
      <c r="F584" s="12"/>
      <c r="G584" s="12"/>
      <c r="H584" s="12"/>
      <c r="I584" s="12"/>
      <c r="J584" s="5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ht="15.75" customHeight="1">
      <c r="A585" s="12"/>
      <c r="B585" s="2"/>
      <c r="C585" s="12"/>
      <c r="D585" s="12"/>
      <c r="E585" s="9"/>
      <c r="F585" s="12"/>
      <c r="G585" s="12"/>
      <c r="H585" s="12"/>
      <c r="I585" s="12"/>
      <c r="J585" s="5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ht="15.75" customHeight="1">
      <c r="A586" s="12"/>
      <c r="B586" s="2"/>
      <c r="C586" s="12"/>
      <c r="D586" s="12"/>
      <c r="E586" s="9"/>
      <c r="F586" s="12"/>
      <c r="G586" s="12"/>
      <c r="H586" s="12"/>
      <c r="I586" s="12"/>
      <c r="J586" s="5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ht="15.75" customHeight="1">
      <c r="A587" s="12"/>
      <c r="B587" s="2"/>
      <c r="C587" s="12"/>
      <c r="D587" s="12"/>
      <c r="E587" s="9"/>
      <c r="F587" s="12"/>
      <c r="G587" s="12"/>
      <c r="H587" s="12"/>
      <c r="I587" s="12"/>
      <c r="J587" s="5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ht="15.75" customHeight="1">
      <c r="A588" s="12"/>
      <c r="B588" s="2"/>
      <c r="C588" s="12"/>
      <c r="D588" s="12"/>
      <c r="E588" s="9"/>
      <c r="F588" s="12"/>
      <c r="G588" s="12"/>
      <c r="H588" s="12"/>
      <c r="I588" s="12"/>
      <c r="J588" s="5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ht="15.75" customHeight="1">
      <c r="A589" s="12"/>
      <c r="B589" s="2"/>
      <c r="C589" s="12"/>
      <c r="D589" s="12"/>
      <c r="E589" s="9"/>
      <c r="F589" s="12"/>
      <c r="G589" s="12"/>
      <c r="H589" s="12"/>
      <c r="I589" s="12"/>
      <c r="J589" s="5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ht="15.75" customHeight="1">
      <c r="A590" s="12"/>
      <c r="B590" s="2"/>
      <c r="C590" s="12"/>
      <c r="D590" s="12"/>
      <c r="E590" s="9"/>
      <c r="F590" s="12"/>
      <c r="G590" s="12"/>
      <c r="H590" s="12"/>
      <c r="I590" s="12"/>
      <c r="J590" s="5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ht="15.75" customHeight="1">
      <c r="A591" s="12"/>
      <c r="B591" s="2"/>
      <c r="C591" s="12"/>
      <c r="D591" s="12"/>
      <c r="E591" s="9"/>
      <c r="F591" s="12"/>
      <c r="G591" s="12"/>
      <c r="H591" s="12"/>
      <c r="I591" s="12"/>
      <c r="J591" s="5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ht="15.75" customHeight="1">
      <c r="A592" s="12"/>
      <c r="B592" s="2"/>
      <c r="C592" s="12"/>
      <c r="D592" s="12"/>
      <c r="E592" s="9"/>
      <c r="F592" s="12"/>
      <c r="G592" s="12"/>
      <c r="H592" s="12"/>
      <c r="I592" s="12"/>
      <c r="J592" s="5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ht="15.75" customHeight="1">
      <c r="A593" s="12"/>
      <c r="B593" s="2"/>
      <c r="C593" s="12"/>
      <c r="D593" s="12"/>
      <c r="E593" s="9"/>
      <c r="F593" s="12"/>
      <c r="G593" s="12"/>
      <c r="H593" s="12"/>
      <c r="I593" s="12"/>
      <c r="J593" s="5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ht="15.75" customHeight="1">
      <c r="A594" s="12"/>
      <c r="B594" s="2"/>
      <c r="C594" s="12"/>
      <c r="D594" s="12"/>
      <c r="E594" s="9"/>
      <c r="F594" s="12"/>
      <c r="G594" s="12"/>
      <c r="H594" s="12"/>
      <c r="I594" s="12"/>
      <c r="J594" s="5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ht="15.75" customHeight="1">
      <c r="A595" s="12"/>
      <c r="B595" s="2"/>
      <c r="C595" s="12"/>
      <c r="D595" s="12"/>
      <c r="E595" s="9"/>
      <c r="F595" s="12"/>
      <c r="G595" s="12"/>
      <c r="H595" s="12"/>
      <c r="I595" s="12"/>
      <c r="J595" s="5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ht="15.75" customHeight="1">
      <c r="A596" s="12"/>
      <c r="B596" s="2"/>
      <c r="C596" s="12"/>
      <c r="D596" s="12"/>
      <c r="E596" s="9"/>
      <c r="F596" s="12"/>
      <c r="G596" s="12"/>
      <c r="H596" s="12"/>
      <c r="I596" s="12"/>
      <c r="J596" s="5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ht="15.75" customHeight="1">
      <c r="A597" s="12"/>
      <c r="B597" s="2"/>
      <c r="C597" s="12"/>
      <c r="D597" s="12"/>
      <c r="E597" s="9"/>
      <c r="F597" s="12"/>
      <c r="G597" s="12"/>
      <c r="H597" s="12"/>
      <c r="I597" s="12"/>
      <c r="J597" s="5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ht="15.75" customHeight="1">
      <c r="A598" s="12"/>
      <c r="B598" s="2"/>
      <c r="C598" s="12"/>
      <c r="D598" s="12"/>
      <c r="E598" s="9"/>
      <c r="F598" s="12"/>
      <c r="G598" s="12"/>
      <c r="H598" s="12"/>
      <c r="I598" s="12"/>
      <c r="J598" s="5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ht="15.75" customHeight="1">
      <c r="A599" s="12"/>
      <c r="B599" s="2"/>
      <c r="C599" s="12"/>
      <c r="D599" s="12"/>
      <c r="E599" s="9"/>
      <c r="F599" s="12"/>
      <c r="G599" s="12"/>
      <c r="H599" s="12"/>
      <c r="I599" s="12"/>
      <c r="J599" s="5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ht="15.75" customHeight="1">
      <c r="A600" s="12"/>
      <c r="B600" s="2"/>
      <c r="C600" s="12"/>
      <c r="D600" s="12"/>
      <c r="E600" s="9"/>
      <c r="F600" s="12"/>
      <c r="G600" s="12"/>
      <c r="H600" s="12"/>
      <c r="I600" s="12"/>
      <c r="J600" s="5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ht="15.75" customHeight="1">
      <c r="A601" s="12"/>
      <c r="B601" s="2"/>
      <c r="C601" s="12"/>
      <c r="D601" s="12"/>
      <c r="E601" s="9"/>
      <c r="F601" s="12"/>
      <c r="G601" s="12"/>
      <c r="H601" s="12"/>
      <c r="I601" s="12"/>
      <c r="J601" s="5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ht="15.75" customHeight="1">
      <c r="A602" s="12"/>
      <c r="B602" s="2"/>
      <c r="C602" s="12"/>
      <c r="D602" s="12"/>
      <c r="E602" s="9"/>
      <c r="F602" s="12"/>
      <c r="G602" s="12"/>
      <c r="H602" s="12"/>
      <c r="I602" s="12"/>
      <c r="J602" s="5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ht="15.75" customHeight="1">
      <c r="A603" s="12"/>
      <c r="B603" s="2"/>
      <c r="C603" s="12"/>
      <c r="D603" s="12"/>
      <c r="E603" s="9"/>
      <c r="F603" s="12"/>
      <c r="G603" s="12"/>
      <c r="H603" s="12"/>
      <c r="I603" s="12"/>
      <c r="J603" s="5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ht="15.75" customHeight="1">
      <c r="A604" s="12"/>
      <c r="B604" s="2"/>
      <c r="C604" s="12"/>
      <c r="D604" s="12"/>
      <c r="E604" s="9"/>
      <c r="F604" s="12"/>
      <c r="G604" s="12"/>
      <c r="H604" s="12"/>
      <c r="I604" s="12"/>
      <c r="J604" s="5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ht="15.75" customHeight="1">
      <c r="A605" s="12"/>
      <c r="B605" s="2"/>
      <c r="C605" s="12"/>
      <c r="D605" s="12"/>
      <c r="E605" s="9"/>
      <c r="F605" s="12"/>
      <c r="G605" s="12"/>
      <c r="H605" s="12"/>
      <c r="I605" s="12"/>
      <c r="J605" s="5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ht="15.75" customHeight="1">
      <c r="A606" s="12"/>
      <c r="B606" s="2"/>
      <c r="C606" s="12"/>
      <c r="D606" s="12"/>
      <c r="E606" s="9"/>
      <c r="F606" s="12"/>
      <c r="G606" s="12"/>
      <c r="H606" s="12"/>
      <c r="I606" s="12"/>
      <c r="J606" s="5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ht="15.75" customHeight="1">
      <c r="A607" s="12"/>
      <c r="B607" s="2"/>
      <c r="C607" s="12"/>
      <c r="D607" s="12"/>
      <c r="E607" s="9"/>
      <c r="F607" s="12"/>
      <c r="G607" s="12"/>
      <c r="H607" s="12"/>
      <c r="I607" s="12"/>
      <c r="J607" s="5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ht="15.75" customHeight="1">
      <c r="A608" s="12"/>
      <c r="B608" s="2"/>
      <c r="C608" s="12"/>
      <c r="D608" s="12"/>
      <c r="E608" s="9"/>
      <c r="F608" s="12"/>
      <c r="G608" s="12"/>
      <c r="H608" s="12"/>
      <c r="I608" s="12"/>
      <c r="J608" s="5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ht="15.75" customHeight="1">
      <c r="A609" s="12"/>
      <c r="B609" s="2"/>
      <c r="C609" s="12"/>
      <c r="D609" s="12"/>
      <c r="E609" s="9"/>
      <c r="F609" s="12"/>
      <c r="G609" s="12"/>
      <c r="H609" s="12"/>
      <c r="I609" s="12"/>
      <c r="J609" s="5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ht="15.75" customHeight="1">
      <c r="A610" s="12"/>
      <c r="B610" s="2"/>
      <c r="C610" s="12"/>
      <c r="D610" s="12"/>
      <c r="E610" s="9"/>
      <c r="F610" s="12"/>
      <c r="G610" s="12"/>
      <c r="H610" s="12"/>
      <c r="I610" s="12"/>
      <c r="J610" s="5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ht="15.75" customHeight="1">
      <c r="A611" s="12"/>
      <c r="B611" s="2"/>
      <c r="C611" s="12"/>
      <c r="D611" s="12"/>
      <c r="E611" s="9"/>
      <c r="F611" s="12"/>
      <c r="G611" s="12"/>
      <c r="H611" s="12"/>
      <c r="I611" s="12"/>
      <c r="J611" s="5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ht="15.75" customHeight="1">
      <c r="A612" s="12"/>
      <c r="B612" s="2"/>
      <c r="C612" s="12"/>
      <c r="D612" s="12"/>
      <c r="E612" s="9"/>
      <c r="F612" s="12"/>
      <c r="G612" s="12"/>
      <c r="H612" s="12"/>
      <c r="I612" s="12"/>
      <c r="J612" s="5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ht="15.75" customHeight="1">
      <c r="A613" s="12"/>
      <c r="B613" s="2"/>
      <c r="C613" s="12"/>
      <c r="D613" s="12"/>
      <c r="E613" s="9"/>
      <c r="F613" s="12"/>
      <c r="G613" s="12"/>
      <c r="H613" s="12"/>
      <c r="I613" s="12"/>
      <c r="J613" s="5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ht="15.75" customHeight="1">
      <c r="A614" s="12"/>
      <c r="B614" s="2"/>
      <c r="C614" s="12"/>
      <c r="D614" s="12"/>
      <c r="E614" s="9"/>
      <c r="F614" s="12"/>
      <c r="G614" s="12"/>
      <c r="H614" s="12"/>
      <c r="I614" s="12"/>
      <c r="J614" s="5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ht="15.75" customHeight="1">
      <c r="A615" s="12"/>
      <c r="B615" s="2"/>
      <c r="C615" s="12"/>
      <c r="D615" s="12"/>
      <c r="E615" s="9"/>
      <c r="F615" s="12"/>
      <c r="G615" s="12"/>
      <c r="H615" s="12"/>
      <c r="I615" s="12"/>
      <c r="J615" s="5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ht="15.75" customHeight="1">
      <c r="A616" s="12"/>
      <c r="B616" s="2"/>
      <c r="C616" s="12"/>
      <c r="D616" s="12"/>
      <c r="E616" s="9"/>
      <c r="F616" s="12"/>
      <c r="G616" s="12"/>
      <c r="H616" s="12"/>
      <c r="I616" s="12"/>
      <c r="J616" s="5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ht="15.75" customHeight="1">
      <c r="A617" s="12"/>
      <c r="B617" s="2"/>
      <c r="C617" s="12"/>
      <c r="D617" s="12"/>
      <c r="E617" s="9"/>
      <c r="F617" s="12"/>
      <c r="G617" s="12"/>
      <c r="H617" s="12"/>
      <c r="I617" s="12"/>
      <c r="J617" s="5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ht="15.75" customHeight="1">
      <c r="A618" s="12"/>
      <c r="B618" s="2"/>
      <c r="C618" s="12"/>
      <c r="D618" s="12"/>
      <c r="E618" s="9"/>
      <c r="F618" s="12"/>
      <c r="G618" s="12"/>
      <c r="H618" s="12"/>
      <c r="I618" s="12"/>
      <c r="J618" s="5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ht="15.75" customHeight="1">
      <c r="A619" s="12"/>
      <c r="B619" s="2"/>
      <c r="C619" s="12"/>
      <c r="D619" s="12"/>
      <c r="E619" s="9"/>
      <c r="F619" s="12"/>
      <c r="G619" s="12"/>
      <c r="H619" s="12"/>
      <c r="I619" s="12"/>
      <c r="J619" s="5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ht="15.75" customHeight="1">
      <c r="A620" s="12"/>
      <c r="B620" s="2"/>
      <c r="C620" s="12"/>
      <c r="D620" s="12"/>
      <c r="E620" s="9"/>
      <c r="F620" s="12"/>
      <c r="G620" s="12"/>
      <c r="H620" s="12"/>
      <c r="I620" s="12"/>
      <c r="J620" s="5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ht="15.75" customHeight="1">
      <c r="A621" s="12"/>
      <c r="B621" s="2"/>
      <c r="C621" s="12"/>
      <c r="D621" s="12"/>
      <c r="E621" s="9"/>
      <c r="F621" s="12"/>
      <c r="G621" s="12"/>
      <c r="H621" s="12"/>
      <c r="I621" s="12"/>
      <c r="J621" s="5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ht="15.75" customHeight="1">
      <c r="A622" s="12"/>
      <c r="B622" s="2"/>
      <c r="C622" s="12"/>
      <c r="D622" s="12"/>
      <c r="E622" s="9"/>
      <c r="F622" s="12"/>
      <c r="G622" s="12"/>
      <c r="H622" s="12"/>
      <c r="I622" s="12"/>
      <c r="J622" s="5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ht="15.75" customHeight="1">
      <c r="A623" s="12"/>
      <c r="B623" s="2"/>
      <c r="C623" s="12"/>
      <c r="D623" s="12"/>
      <c r="E623" s="9"/>
      <c r="F623" s="12"/>
      <c r="G623" s="12"/>
      <c r="H623" s="12"/>
      <c r="I623" s="12"/>
      <c r="J623" s="5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ht="15.75" customHeight="1">
      <c r="A624" s="12"/>
      <c r="B624" s="2"/>
      <c r="C624" s="12"/>
      <c r="D624" s="12"/>
      <c r="E624" s="9"/>
      <c r="F624" s="12"/>
      <c r="G624" s="12"/>
      <c r="H624" s="12"/>
      <c r="I624" s="12"/>
      <c r="J624" s="5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ht="15.75" customHeight="1">
      <c r="A625" s="12"/>
      <c r="B625" s="2"/>
      <c r="C625" s="12"/>
      <c r="D625" s="12"/>
      <c r="E625" s="9"/>
      <c r="F625" s="12"/>
      <c r="G625" s="12"/>
      <c r="H625" s="12"/>
      <c r="I625" s="12"/>
      <c r="J625" s="5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ht="15.75" customHeight="1">
      <c r="A626" s="12"/>
      <c r="B626" s="2"/>
      <c r="C626" s="12"/>
      <c r="D626" s="12"/>
      <c r="E626" s="9"/>
      <c r="F626" s="12"/>
      <c r="G626" s="12"/>
      <c r="H626" s="12"/>
      <c r="I626" s="12"/>
      <c r="J626" s="5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ht="15.75" customHeight="1">
      <c r="A627" s="12"/>
      <c r="B627" s="2"/>
      <c r="C627" s="12"/>
      <c r="D627" s="12"/>
      <c r="E627" s="9"/>
      <c r="F627" s="12"/>
      <c r="G627" s="12"/>
      <c r="H627" s="12"/>
      <c r="I627" s="12"/>
      <c r="J627" s="5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ht="15.75" customHeight="1">
      <c r="A628" s="12"/>
      <c r="B628" s="2"/>
      <c r="C628" s="12"/>
      <c r="D628" s="12"/>
      <c r="E628" s="9"/>
      <c r="F628" s="12"/>
      <c r="G628" s="12"/>
      <c r="H628" s="12"/>
      <c r="I628" s="12"/>
      <c r="J628" s="5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ht="15.75" customHeight="1">
      <c r="A629" s="12"/>
      <c r="B629" s="2"/>
      <c r="C629" s="12"/>
      <c r="D629" s="12"/>
      <c r="E629" s="9"/>
      <c r="F629" s="12"/>
      <c r="G629" s="12"/>
      <c r="H629" s="12"/>
      <c r="I629" s="12"/>
      <c r="J629" s="5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ht="15.75" customHeight="1">
      <c r="A630" s="12"/>
      <c r="B630" s="2"/>
      <c r="C630" s="12"/>
      <c r="D630" s="12"/>
      <c r="E630" s="9"/>
      <c r="F630" s="12"/>
      <c r="G630" s="12"/>
      <c r="H630" s="12"/>
      <c r="I630" s="12"/>
      <c r="J630" s="5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ht="15.75" customHeight="1">
      <c r="A631" s="12"/>
      <c r="B631" s="2"/>
      <c r="C631" s="12"/>
      <c r="D631" s="12"/>
      <c r="E631" s="9"/>
      <c r="F631" s="12"/>
      <c r="G631" s="12"/>
      <c r="H631" s="12"/>
      <c r="I631" s="12"/>
      <c r="J631" s="5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ht="15.75" customHeight="1">
      <c r="A632" s="12"/>
      <c r="B632" s="2"/>
      <c r="C632" s="12"/>
      <c r="D632" s="12"/>
      <c r="E632" s="9"/>
      <c r="F632" s="12"/>
      <c r="G632" s="12"/>
      <c r="H632" s="12"/>
      <c r="I632" s="12"/>
      <c r="J632" s="5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ht="15.75" customHeight="1">
      <c r="A633" s="12"/>
      <c r="B633" s="2"/>
      <c r="C633" s="12"/>
      <c r="D633" s="12"/>
      <c r="E633" s="9"/>
      <c r="F633" s="12"/>
      <c r="G633" s="12"/>
      <c r="H633" s="12"/>
      <c r="I633" s="12"/>
      <c r="J633" s="5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ht="15.75" customHeight="1">
      <c r="A634" s="12"/>
      <c r="B634" s="2"/>
      <c r="C634" s="12"/>
      <c r="D634" s="12"/>
      <c r="E634" s="9"/>
      <c r="F634" s="12"/>
      <c r="G634" s="12"/>
      <c r="H634" s="12"/>
      <c r="I634" s="12"/>
      <c r="J634" s="5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ht="15.75" customHeight="1">
      <c r="A635" s="12"/>
      <c r="B635" s="2"/>
      <c r="C635" s="12"/>
      <c r="D635" s="12"/>
      <c r="E635" s="9"/>
      <c r="F635" s="12"/>
      <c r="G635" s="12"/>
      <c r="H635" s="12"/>
      <c r="I635" s="12"/>
      <c r="J635" s="5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ht="15.75" customHeight="1">
      <c r="A636" s="12"/>
      <c r="B636" s="2"/>
      <c r="C636" s="12"/>
      <c r="D636" s="12"/>
      <c r="E636" s="9"/>
      <c r="F636" s="12"/>
      <c r="G636" s="12"/>
      <c r="H636" s="12"/>
      <c r="I636" s="12"/>
      <c r="J636" s="5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ht="15.75" customHeight="1">
      <c r="A637" s="12"/>
      <c r="B637" s="2"/>
      <c r="C637" s="12"/>
      <c r="D637" s="12"/>
      <c r="E637" s="9"/>
      <c r="F637" s="12"/>
      <c r="G637" s="12"/>
      <c r="H637" s="12"/>
      <c r="I637" s="12"/>
      <c r="J637" s="5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ht="15.75" customHeight="1">
      <c r="A638" s="12"/>
      <c r="B638" s="2"/>
      <c r="C638" s="12"/>
      <c r="D638" s="12"/>
      <c r="E638" s="9"/>
      <c r="F638" s="12"/>
      <c r="G638" s="12"/>
      <c r="H638" s="12"/>
      <c r="I638" s="12"/>
      <c r="J638" s="5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ht="15.75" customHeight="1">
      <c r="A639" s="12"/>
      <c r="B639" s="2"/>
      <c r="C639" s="12"/>
      <c r="D639" s="12"/>
      <c r="E639" s="9"/>
      <c r="F639" s="12"/>
      <c r="G639" s="12"/>
      <c r="H639" s="12"/>
      <c r="I639" s="12"/>
      <c r="J639" s="5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ht="15.75" customHeight="1">
      <c r="A640" s="12"/>
      <c r="B640" s="2"/>
      <c r="C640" s="12"/>
      <c r="D640" s="12"/>
      <c r="E640" s="9"/>
      <c r="F640" s="12"/>
      <c r="G640" s="12"/>
      <c r="H640" s="12"/>
      <c r="I640" s="12"/>
      <c r="J640" s="5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ht="15.75" customHeight="1">
      <c r="A641" s="12"/>
      <c r="B641" s="2"/>
      <c r="C641" s="12"/>
      <c r="D641" s="12"/>
      <c r="E641" s="9"/>
      <c r="F641" s="12"/>
      <c r="G641" s="12"/>
      <c r="H641" s="12"/>
      <c r="I641" s="12"/>
      <c r="J641" s="5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ht="15.75" customHeight="1">
      <c r="A642" s="12"/>
      <c r="B642" s="2"/>
      <c r="C642" s="12"/>
      <c r="D642" s="12"/>
      <c r="E642" s="9"/>
      <c r="F642" s="12"/>
      <c r="G642" s="12"/>
      <c r="H642" s="12"/>
      <c r="I642" s="12"/>
      <c r="J642" s="5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ht="15.75" customHeight="1">
      <c r="A643" s="12"/>
      <c r="B643" s="2"/>
      <c r="C643" s="12"/>
      <c r="D643" s="12"/>
      <c r="E643" s="9"/>
      <c r="F643" s="12"/>
      <c r="G643" s="12"/>
      <c r="H643" s="12"/>
      <c r="I643" s="12"/>
      <c r="J643" s="5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ht="15.75" customHeight="1">
      <c r="A644" s="12"/>
      <c r="B644" s="2"/>
      <c r="C644" s="12"/>
      <c r="D644" s="12"/>
      <c r="E644" s="9"/>
      <c r="F644" s="12"/>
      <c r="G644" s="12"/>
      <c r="H644" s="12"/>
      <c r="I644" s="12"/>
      <c r="J644" s="5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ht="15.75" customHeight="1">
      <c r="A645" s="12"/>
      <c r="B645" s="2"/>
      <c r="C645" s="12"/>
      <c r="D645" s="12"/>
      <c r="E645" s="9"/>
      <c r="F645" s="12"/>
      <c r="G645" s="12"/>
      <c r="H645" s="12"/>
      <c r="I645" s="12"/>
      <c r="J645" s="5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ht="15.75" customHeight="1">
      <c r="A646" s="12"/>
      <c r="B646" s="2"/>
      <c r="C646" s="12"/>
      <c r="D646" s="12"/>
      <c r="E646" s="9"/>
      <c r="F646" s="12"/>
      <c r="G646" s="12"/>
      <c r="H646" s="12"/>
      <c r="I646" s="12"/>
      <c r="J646" s="5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ht="15.75" customHeight="1">
      <c r="A647" s="12"/>
      <c r="B647" s="2"/>
      <c r="C647" s="12"/>
      <c r="D647" s="12"/>
      <c r="E647" s="9"/>
      <c r="F647" s="12"/>
      <c r="G647" s="12"/>
      <c r="H647" s="12"/>
      <c r="I647" s="12"/>
      <c r="J647" s="5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ht="15.75" customHeight="1">
      <c r="A648" s="12"/>
      <c r="B648" s="2"/>
      <c r="C648" s="12"/>
      <c r="D648" s="12"/>
      <c r="E648" s="9"/>
      <c r="F648" s="12"/>
      <c r="G648" s="12"/>
      <c r="H648" s="12"/>
      <c r="I648" s="12"/>
      <c r="J648" s="5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ht="15.75" customHeight="1">
      <c r="A649" s="12"/>
      <c r="B649" s="2"/>
      <c r="C649" s="12"/>
      <c r="D649" s="12"/>
      <c r="E649" s="9"/>
      <c r="F649" s="12"/>
      <c r="G649" s="12"/>
      <c r="H649" s="12"/>
      <c r="I649" s="12"/>
      <c r="J649" s="5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ht="15.75" customHeight="1">
      <c r="A650" s="12"/>
      <c r="B650" s="2"/>
      <c r="C650" s="12"/>
      <c r="D650" s="12"/>
      <c r="E650" s="9"/>
      <c r="F650" s="12"/>
      <c r="G650" s="12"/>
      <c r="H650" s="12"/>
      <c r="I650" s="12"/>
      <c r="J650" s="5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ht="15.75" customHeight="1">
      <c r="A651" s="12"/>
      <c r="B651" s="2"/>
      <c r="C651" s="12"/>
      <c r="D651" s="12"/>
      <c r="E651" s="9"/>
      <c r="F651" s="12"/>
      <c r="G651" s="12"/>
      <c r="H651" s="12"/>
      <c r="I651" s="12"/>
      <c r="J651" s="5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ht="15.75" customHeight="1">
      <c r="A652" s="12"/>
      <c r="B652" s="2"/>
      <c r="C652" s="12"/>
      <c r="D652" s="12"/>
      <c r="E652" s="9"/>
      <c r="F652" s="12"/>
      <c r="G652" s="12"/>
      <c r="H652" s="12"/>
      <c r="I652" s="12"/>
      <c r="J652" s="5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ht="15.75" customHeight="1">
      <c r="A653" s="12"/>
      <c r="B653" s="2"/>
      <c r="C653" s="12"/>
      <c r="D653" s="12"/>
      <c r="E653" s="9"/>
      <c r="F653" s="12"/>
      <c r="G653" s="12"/>
      <c r="H653" s="12"/>
      <c r="I653" s="12"/>
      <c r="J653" s="5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ht="15.75" customHeight="1">
      <c r="A654" s="12"/>
      <c r="B654" s="2"/>
      <c r="C654" s="12"/>
      <c r="D654" s="12"/>
      <c r="E654" s="9"/>
      <c r="F654" s="12"/>
      <c r="G654" s="12"/>
      <c r="H654" s="12"/>
      <c r="I654" s="12"/>
      <c r="J654" s="5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ht="15.75" customHeight="1">
      <c r="A655" s="12"/>
      <c r="B655" s="2"/>
      <c r="C655" s="12"/>
      <c r="D655" s="12"/>
      <c r="E655" s="9"/>
      <c r="F655" s="12"/>
      <c r="G655" s="12"/>
      <c r="H655" s="12"/>
      <c r="I655" s="12"/>
      <c r="J655" s="5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ht="15.75" customHeight="1">
      <c r="A656" s="12"/>
      <c r="B656" s="2"/>
      <c r="C656" s="12"/>
      <c r="D656" s="12"/>
      <c r="E656" s="9"/>
      <c r="F656" s="12"/>
      <c r="G656" s="12"/>
      <c r="H656" s="12"/>
      <c r="I656" s="12"/>
      <c r="J656" s="5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ht="15.75" customHeight="1">
      <c r="A657" s="12"/>
      <c r="B657" s="2"/>
      <c r="C657" s="12"/>
      <c r="D657" s="12"/>
      <c r="E657" s="9"/>
      <c r="F657" s="12"/>
      <c r="G657" s="12"/>
      <c r="H657" s="12"/>
      <c r="I657" s="12"/>
      <c r="J657" s="5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ht="15.75" customHeight="1">
      <c r="A658" s="12"/>
      <c r="B658" s="2"/>
      <c r="C658" s="12"/>
      <c r="D658" s="12"/>
      <c r="E658" s="9"/>
      <c r="F658" s="12"/>
      <c r="G658" s="12"/>
      <c r="H658" s="12"/>
      <c r="I658" s="12"/>
      <c r="J658" s="5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ht="15.75" customHeight="1">
      <c r="A659" s="12"/>
      <c r="B659" s="2"/>
      <c r="C659" s="12"/>
      <c r="D659" s="12"/>
      <c r="E659" s="9"/>
      <c r="F659" s="12"/>
      <c r="G659" s="12"/>
      <c r="H659" s="12"/>
      <c r="I659" s="12"/>
      <c r="J659" s="5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ht="15.75" customHeight="1">
      <c r="A660" s="12"/>
      <c r="B660" s="2"/>
      <c r="C660" s="12"/>
      <c r="D660" s="12"/>
      <c r="E660" s="9"/>
      <c r="F660" s="12"/>
      <c r="G660" s="12"/>
      <c r="H660" s="12"/>
      <c r="I660" s="12"/>
      <c r="J660" s="5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ht="15.75" customHeight="1">
      <c r="A661" s="12"/>
      <c r="B661" s="2"/>
      <c r="C661" s="12"/>
      <c r="D661" s="12"/>
      <c r="E661" s="9"/>
      <c r="F661" s="12"/>
      <c r="G661" s="12"/>
      <c r="H661" s="12"/>
      <c r="I661" s="12"/>
      <c r="J661" s="5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ht="15.75" customHeight="1">
      <c r="A662" s="12"/>
      <c r="B662" s="2"/>
      <c r="C662" s="12"/>
      <c r="D662" s="12"/>
      <c r="E662" s="9"/>
      <c r="F662" s="12"/>
      <c r="G662" s="12"/>
      <c r="H662" s="12"/>
      <c r="I662" s="12"/>
      <c r="J662" s="5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ht="15.75" customHeight="1">
      <c r="A663" s="12"/>
      <c r="B663" s="2"/>
      <c r="C663" s="12"/>
      <c r="D663" s="12"/>
      <c r="E663" s="9"/>
      <c r="F663" s="12"/>
      <c r="G663" s="12"/>
      <c r="H663" s="12"/>
      <c r="I663" s="12"/>
      <c r="J663" s="5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ht="15.75" customHeight="1">
      <c r="A664" s="12"/>
      <c r="B664" s="2"/>
      <c r="C664" s="12"/>
      <c r="D664" s="12"/>
      <c r="E664" s="9"/>
      <c r="F664" s="12"/>
      <c r="G664" s="12"/>
      <c r="H664" s="12"/>
      <c r="I664" s="12"/>
      <c r="J664" s="5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ht="15.75" customHeight="1">
      <c r="A665" s="12"/>
      <c r="B665" s="2"/>
      <c r="C665" s="12"/>
      <c r="D665" s="12"/>
      <c r="E665" s="9"/>
      <c r="F665" s="12"/>
      <c r="G665" s="12"/>
      <c r="H665" s="12"/>
      <c r="I665" s="12"/>
      <c r="J665" s="5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ht="15.75" customHeight="1">
      <c r="A666" s="12"/>
      <c r="B666" s="2"/>
      <c r="C666" s="12"/>
      <c r="D666" s="12"/>
      <c r="E666" s="9"/>
      <c r="F666" s="12"/>
      <c r="G666" s="12"/>
      <c r="H666" s="12"/>
      <c r="I666" s="12"/>
      <c r="J666" s="5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ht="15.75" customHeight="1">
      <c r="A667" s="12"/>
      <c r="B667" s="2"/>
      <c r="C667" s="12"/>
      <c r="D667" s="12"/>
      <c r="E667" s="9"/>
      <c r="F667" s="12"/>
      <c r="G667" s="12"/>
      <c r="H667" s="12"/>
      <c r="I667" s="12"/>
      <c r="J667" s="5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ht="15.75" customHeight="1">
      <c r="A668" s="12"/>
      <c r="B668" s="2"/>
      <c r="C668" s="12"/>
      <c r="D668" s="12"/>
      <c r="E668" s="9"/>
      <c r="F668" s="12"/>
      <c r="G668" s="12"/>
      <c r="H668" s="12"/>
      <c r="I668" s="12"/>
      <c r="J668" s="5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ht="15.75" customHeight="1">
      <c r="A669" s="12"/>
      <c r="B669" s="2"/>
      <c r="C669" s="12"/>
      <c r="D669" s="12"/>
      <c r="E669" s="9"/>
      <c r="F669" s="12"/>
      <c r="G669" s="12"/>
      <c r="H669" s="12"/>
      <c r="I669" s="12"/>
      <c r="J669" s="5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ht="15.75" customHeight="1">
      <c r="A670" s="12"/>
      <c r="B670" s="2"/>
      <c r="C670" s="12"/>
      <c r="D670" s="12"/>
      <c r="E670" s="9"/>
      <c r="F670" s="12"/>
      <c r="G670" s="12"/>
      <c r="H670" s="12"/>
      <c r="I670" s="12"/>
      <c r="J670" s="5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ht="15.75" customHeight="1">
      <c r="A671" s="12"/>
      <c r="B671" s="2"/>
      <c r="C671" s="12"/>
      <c r="D671" s="12"/>
      <c r="E671" s="9"/>
      <c r="F671" s="12"/>
      <c r="G671" s="12"/>
      <c r="H671" s="12"/>
      <c r="I671" s="12"/>
      <c r="J671" s="5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ht="15.75" customHeight="1">
      <c r="A672" s="12"/>
      <c r="B672" s="2"/>
      <c r="C672" s="12"/>
      <c r="D672" s="12"/>
      <c r="E672" s="9"/>
      <c r="F672" s="12"/>
      <c r="G672" s="12"/>
      <c r="H672" s="12"/>
      <c r="I672" s="12"/>
      <c r="J672" s="5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ht="15.75" customHeight="1">
      <c r="A673" s="12"/>
      <c r="B673" s="2"/>
      <c r="C673" s="12"/>
      <c r="D673" s="12"/>
      <c r="E673" s="9"/>
      <c r="F673" s="12"/>
      <c r="G673" s="12"/>
      <c r="H673" s="12"/>
      <c r="I673" s="12"/>
      <c r="J673" s="5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ht="15.75" customHeight="1">
      <c r="A674" s="12"/>
      <c r="B674" s="2"/>
      <c r="C674" s="12"/>
      <c r="D674" s="12"/>
      <c r="E674" s="9"/>
      <c r="F674" s="12"/>
      <c r="G674" s="12"/>
      <c r="H674" s="12"/>
      <c r="I674" s="12"/>
      <c r="J674" s="5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ht="15.75" customHeight="1">
      <c r="A675" s="12"/>
      <c r="B675" s="2"/>
      <c r="C675" s="12"/>
      <c r="D675" s="12"/>
      <c r="E675" s="9"/>
      <c r="F675" s="12"/>
      <c r="G675" s="12"/>
      <c r="H675" s="12"/>
      <c r="I675" s="12"/>
      <c r="J675" s="5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ht="15.75" customHeight="1">
      <c r="A676" s="12"/>
      <c r="B676" s="2"/>
      <c r="C676" s="12"/>
      <c r="D676" s="12"/>
      <c r="E676" s="9"/>
      <c r="F676" s="12"/>
      <c r="G676" s="12"/>
      <c r="H676" s="12"/>
      <c r="I676" s="12"/>
      <c r="J676" s="5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ht="15.75" customHeight="1">
      <c r="A677" s="12"/>
      <c r="B677" s="2"/>
      <c r="C677" s="12"/>
      <c r="D677" s="12"/>
      <c r="E677" s="9"/>
      <c r="F677" s="12"/>
      <c r="G677" s="12"/>
      <c r="H677" s="12"/>
      <c r="I677" s="12"/>
      <c r="J677" s="5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ht="15.75" customHeight="1">
      <c r="A678" s="12"/>
      <c r="B678" s="2"/>
      <c r="C678" s="12"/>
      <c r="D678" s="12"/>
      <c r="E678" s="9"/>
      <c r="F678" s="12"/>
      <c r="G678" s="12"/>
      <c r="H678" s="12"/>
      <c r="I678" s="12"/>
      <c r="J678" s="5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ht="15.75" customHeight="1">
      <c r="A679" s="12"/>
      <c r="B679" s="2"/>
      <c r="C679" s="12"/>
      <c r="D679" s="12"/>
      <c r="E679" s="9"/>
      <c r="F679" s="12"/>
      <c r="G679" s="12"/>
      <c r="H679" s="12"/>
      <c r="I679" s="12"/>
      <c r="J679" s="5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ht="15.75" customHeight="1">
      <c r="A680" s="12"/>
      <c r="B680" s="2"/>
      <c r="C680" s="12"/>
      <c r="D680" s="12"/>
      <c r="E680" s="9"/>
      <c r="F680" s="12"/>
      <c r="G680" s="12"/>
      <c r="H680" s="12"/>
      <c r="I680" s="12"/>
      <c r="J680" s="5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ht="15.75" customHeight="1">
      <c r="A681" s="12"/>
      <c r="B681" s="2"/>
      <c r="C681" s="12"/>
      <c r="D681" s="12"/>
      <c r="E681" s="9"/>
      <c r="F681" s="12"/>
      <c r="G681" s="12"/>
      <c r="H681" s="12"/>
      <c r="I681" s="12"/>
      <c r="J681" s="5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ht="15.75" customHeight="1">
      <c r="A682" s="12"/>
      <c r="B682" s="2"/>
      <c r="C682" s="12"/>
      <c r="D682" s="12"/>
      <c r="E682" s="9"/>
      <c r="F682" s="12"/>
      <c r="G682" s="12"/>
      <c r="H682" s="12"/>
      <c r="I682" s="12"/>
      <c r="J682" s="5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ht="15.75" customHeight="1">
      <c r="A683" s="12"/>
      <c r="B683" s="2"/>
      <c r="C683" s="12"/>
      <c r="D683" s="12"/>
      <c r="E683" s="9"/>
      <c r="F683" s="12"/>
      <c r="G683" s="12"/>
      <c r="H683" s="12"/>
      <c r="I683" s="12"/>
      <c r="J683" s="5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ht="15.75" customHeight="1">
      <c r="A684" s="12"/>
      <c r="B684" s="2"/>
      <c r="C684" s="12"/>
      <c r="D684" s="12"/>
      <c r="E684" s="9"/>
      <c r="F684" s="12"/>
      <c r="G684" s="12"/>
      <c r="H684" s="12"/>
      <c r="I684" s="12"/>
      <c r="J684" s="5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ht="15.75" customHeight="1">
      <c r="A685" s="12"/>
      <c r="B685" s="2"/>
      <c r="C685" s="12"/>
      <c r="D685" s="12"/>
      <c r="E685" s="9"/>
      <c r="F685" s="12"/>
      <c r="G685" s="12"/>
      <c r="H685" s="12"/>
      <c r="I685" s="12"/>
      <c r="J685" s="5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ht="15.75" customHeight="1">
      <c r="A686" s="12"/>
      <c r="B686" s="2"/>
      <c r="C686" s="12"/>
      <c r="D686" s="12"/>
      <c r="E686" s="9"/>
      <c r="F686" s="12"/>
      <c r="G686" s="12"/>
      <c r="H686" s="12"/>
      <c r="I686" s="12"/>
      <c r="J686" s="5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ht="15.75" customHeight="1">
      <c r="A687" s="12"/>
      <c r="B687" s="2"/>
      <c r="C687" s="12"/>
      <c r="D687" s="12"/>
      <c r="E687" s="9"/>
      <c r="F687" s="12"/>
      <c r="G687" s="12"/>
      <c r="H687" s="12"/>
      <c r="I687" s="12"/>
      <c r="J687" s="5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ht="15.75" customHeight="1">
      <c r="A688" s="12"/>
      <c r="B688" s="2"/>
      <c r="C688" s="12"/>
      <c r="D688" s="12"/>
      <c r="E688" s="9"/>
      <c r="F688" s="12"/>
      <c r="G688" s="12"/>
      <c r="H688" s="12"/>
      <c r="I688" s="12"/>
      <c r="J688" s="5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ht="15.75" customHeight="1">
      <c r="A689" s="12"/>
      <c r="B689" s="2"/>
      <c r="C689" s="12"/>
      <c r="D689" s="12"/>
      <c r="E689" s="9"/>
      <c r="F689" s="12"/>
      <c r="G689" s="12"/>
      <c r="H689" s="12"/>
      <c r="I689" s="12"/>
      <c r="J689" s="5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ht="15.75" customHeight="1">
      <c r="A690" s="12"/>
      <c r="B690" s="2"/>
      <c r="C690" s="12"/>
      <c r="D690" s="12"/>
      <c r="E690" s="9"/>
      <c r="F690" s="12"/>
      <c r="G690" s="12"/>
      <c r="H690" s="12"/>
      <c r="I690" s="12"/>
      <c r="J690" s="5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ht="15.75" customHeight="1">
      <c r="A691" s="12"/>
      <c r="B691" s="2"/>
      <c r="C691" s="12"/>
      <c r="D691" s="12"/>
      <c r="E691" s="9"/>
      <c r="F691" s="12"/>
      <c r="G691" s="12"/>
      <c r="H691" s="12"/>
      <c r="I691" s="12"/>
      <c r="J691" s="5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ht="15.75" customHeight="1">
      <c r="A692" s="12"/>
      <c r="B692" s="2"/>
      <c r="C692" s="12"/>
      <c r="D692" s="12"/>
      <c r="E692" s="9"/>
      <c r="F692" s="12"/>
      <c r="G692" s="12"/>
      <c r="H692" s="12"/>
      <c r="I692" s="12"/>
      <c r="J692" s="5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ht="15.75" customHeight="1">
      <c r="A693" s="12"/>
      <c r="B693" s="2"/>
      <c r="C693" s="12"/>
      <c r="D693" s="12"/>
      <c r="E693" s="9"/>
      <c r="F693" s="12"/>
      <c r="G693" s="12"/>
      <c r="H693" s="12"/>
      <c r="I693" s="12"/>
      <c r="J693" s="5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ht="15.75" customHeight="1">
      <c r="A694" s="12"/>
      <c r="B694" s="2"/>
      <c r="C694" s="12"/>
      <c r="D694" s="12"/>
      <c r="E694" s="9"/>
      <c r="F694" s="12"/>
      <c r="G694" s="12"/>
      <c r="H694" s="12"/>
      <c r="I694" s="12"/>
      <c r="J694" s="5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ht="15.75" customHeight="1">
      <c r="A695" s="12"/>
      <c r="B695" s="2"/>
      <c r="C695" s="12"/>
      <c r="D695" s="12"/>
      <c r="E695" s="9"/>
      <c r="F695" s="12"/>
      <c r="G695" s="12"/>
      <c r="H695" s="12"/>
      <c r="I695" s="12"/>
      <c r="J695" s="5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ht="15.75" customHeight="1">
      <c r="A696" s="12"/>
      <c r="B696" s="2"/>
      <c r="C696" s="12"/>
      <c r="D696" s="12"/>
      <c r="E696" s="9"/>
      <c r="F696" s="12"/>
      <c r="G696" s="12"/>
      <c r="H696" s="12"/>
      <c r="I696" s="12"/>
      <c r="J696" s="5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ht="15.75" customHeight="1">
      <c r="A697" s="12"/>
      <c r="B697" s="2"/>
      <c r="C697" s="12"/>
      <c r="D697" s="12"/>
      <c r="E697" s="9"/>
      <c r="F697" s="12"/>
      <c r="G697" s="12"/>
      <c r="H697" s="12"/>
      <c r="I697" s="12"/>
      <c r="J697" s="5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ht="15.75" customHeight="1">
      <c r="A698" s="12"/>
      <c r="B698" s="2"/>
      <c r="C698" s="12"/>
      <c r="D698" s="12"/>
      <c r="E698" s="9"/>
      <c r="F698" s="12"/>
      <c r="G698" s="12"/>
      <c r="H698" s="12"/>
      <c r="I698" s="12"/>
      <c r="J698" s="5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ht="15.75" customHeight="1">
      <c r="A699" s="12"/>
      <c r="B699" s="2"/>
      <c r="C699" s="12"/>
      <c r="D699" s="12"/>
      <c r="E699" s="9"/>
      <c r="F699" s="12"/>
      <c r="G699" s="12"/>
      <c r="H699" s="12"/>
      <c r="I699" s="12"/>
      <c r="J699" s="5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ht="15.75" customHeight="1">
      <c r="A700" s="12"/>
      <c r="B700" s="2"/>
      <c r="C700" s="12"/>
      <c r="D700" s="12"/>
      <c r="E700" s="9"/>
      <c r="F700" s="12"/>
      <c r="G700" s="12"/>
      <c r="H700" s="12"/>
      <c r="I700" s="12"/>
      <c r="J700" s="5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ht="15.75" customHeight="1">
      <c r="A701" s="12"/>
      <c r="B701" s="2"/>
      <c r="C701" s="12"/>
      <c r="D701" s="12"/>
      <c r="E701" s="9"/>
      <c r="F701" s="12"/>
      <c r="G701" s="12"/>
      <c r="H701" s="12"/>
      <c r="I701" s="12"/>
      <c r="J701" s="5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ht="15.75" customHeight="1">
      <c r="A702" s="12"/>
      <c r="B702" s="2"/>
      <c r="C702" s="12"/>
      <c r="D702" s="12"/>
      <c r="E702" s="9"/>
      <c r="F702" s="12"/>
      <c r="G702" s="12"/>
      <c r="H702" s="12"/>
      <c r="I702" s="12"/>
      <c r="J702" s="5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ht="15.75" customHeight="1">
      <c r="A703" s="12"/>
      <c r="B703" s="2"/>
      <c r="C703" s="12"/>
      <c r="D703" s="12"/>
      <c r="E703" s="9"/>
      <c r="F703" s="12"/>
      <c r="G703" s="12"/>
      <c r="H703" s="12"/>
      <c r="I703" s="12"/>
      <c r="J703" s="5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ht="15.75" customHeight="1">
      <c r="A704" s="12"/>
      <c r="B704" s="2"/>
      <c r="C704" s="12"/>
      <c r="D704" s="12"/>
      <c r="E704" s="9"/>
      <c r="F704" s="12"/>
      <c r="G704" s="12"/>
      <c r="H704" s="12"/>
      <c r="I704" s="12"/>
      <c r="J704" s="5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ht="15.75" customHeight="1">
      <c r="A705" s="12"/>
      <c r="B705" s="2"/>
      <c r="C705" s="12"/>
      <c r="D705" s="12"/>
      <c r="E705" s="9"/>
      <c r="F705" s="12"/>
      <c r="G705" s="12"/>
      <c r="H705" s="12"/>
      <c r="I705" s="12"/>
      <c r="J705" s="5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ht="15.75" customHeight="1">
      <c r="A706" s="12"/>
      <c r="B706" s="2"/>
      <c r="C706" s="12"/>
      <c r="D706" s="12"/>
      <c r="E706" s="9"/>
      <c r="F706" s="12"/>
      <c r="G706" s="12"/>
      <c r="H706" s="12"/>
      <c r="I706" s="12"/>
      <c r="J706" s="5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ht="15.75" customHeight="1">
      <c r="A707" s="12"/>
      <c r="B707" s="2"/>
      <c r="C707" s="12"/>
      <c r="D707" s="12"/>
      <c r="E707" s="9"/>
      <c r="F707" s="12"/>
      <c r="G707" s="12"/>
      <c r="H707" s="12"/>
      <c r="I707" s="12"/>
      <c r="J707" s="5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ht="15.75" customHeight="1">
      <c r="A708" s="12"/>
      <c r="B708" s="2"/>
      <c r="C708" s="12"/>
      <c r="D708" s="12"/>
      <c r="E708" s="9"/>
      <c r="F708" s="12"/>
      <c r="G708" s="12"/>
      <c r="H708" s="12"/>
      <c r="I708" s="12"/>
      <c r="J708" s="5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ht="15.75" customHeight="1">
      <c r="A709" s="12"/>
      <c r="B709" s="2"/>
      <c r="C709" s="12"/>
      <c r="D709" s="12"/>
      <c r="E709" s="9"/>
      <c r="F709" s="12"/>
      <c r="G709" s="12"/>
      <c r="H709" s="12"/>
      <c r="I709" s="12"/>
      <c r="J709" s="5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ht="15.75" customHeight="1">
      <c r="A710" s="12"/>
      <c r="B710" s="2"/>
      <c r="C710" s="12"/>
      <c r="D710" s="12"/>
      <c r="E710" s="9"/>
      <c r="F710" s="12"/>
      <c r="G710" s="12"/>
      <c r="H710" s="12"/>
      <c r="I710" s="12"/>
      <c r="J710" s="5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ht="15.75" customHeight="1">
      <c r="A711" s="12"/>
      <c r="B711" s="2"/>
      <c r="C711" s="12"/>
      <c r="D711" s="12"/>
      <c r="E711" s="9"/>
      <c r="F711" s="12"/>
      <c r="G711" s="12"/>
      <c r="H711" s="12"/>
      <c r="I711" s="12"/>
      <c r="J711" s="5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ht="15.75" customHeight="1">
      <c r="A712" s="12"/>
      <c r="B712" s="2"/>
      <c r="C712" s="12"/>
      <c r="D712" s="12"/>
      <c r="E712" s="9"/>
      <c r="F712" s="12"/>
      <c r="G712" s="12"/>
      <c r="H712" s="12"/>
      <c r="I712" s="12"/>
      <c r="J712" s="5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ht="15.75" customHeight="1">
      <c r="A713" s="12"/>
      <c r="B713" s="2"/>
      <c r="C713" s="12"/>
      <c r="D713" s="12"/>
      <c r="E713" s="9"/>
      <c r="F713" s="12"/>
      <c r="G713" s="12"/>
      <c r="H713" s="12"/>
      <c r="I713" s="12"/>
      <c r="J713" s="5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ht="15.75" customHeight="1">
      <c r="A714" s="12"/>
      <c r="B714" s="2"/>
      <c r="C714" s="12"/>
      <c r="D714" s="12"/>
      <c r="E714" s="9"/>
      <c r="F714" s="12"/>
      <c r="G714" s="12"/>
      <c r="H714" s="12"/>
      <c r="I714" s="12"/>
      <c r="J714" s="5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ht="15.75" customHeight="1">
      <c r="A715" s="12"/>
      <c r="B715" s="2"/>
      <c r="C715" s="12"/>
      <c r="D715" s="12"/>
      <c r="E715" s="9"/>
      <c r="F715" s="12"/>
      <c r="G715" s="12"/>
      <c r="H715" s="12"/>
      <c r="I715" s="12"/>
      <c r="J715" s="5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ht="15.75" customHeight="1">
      <c r="A716" s="12"/>
      <c r="B716" s="2"/>
      <c r="C716" s="12"/>
      <c r="D716" s="12"/>
      <c r="E716" s="9"/>
      <c r="F716" s="12"/>
      <c r="G716" s="12"/>
      <c r="H716" s="12"/>
      <c r="I716" s="12"/>
      <c r="J716" s="5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ht="15.75" customHeight="1">
      <c r="A717" s="12"/>
      <c r="B717" s="2"/>
      <c r="C717" s="12"/>
      <c r="D717" s="12"/>
      <c r="E717" s="9"/>
      <c r="F717" s="12"/>
      <c r="G717" s="12"/>
      <c r="H717" s="12"/>
      <c r="I717" s="12"/>
      <c r="J717" s="5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ht="15.75" customHeight="1">
      <c r="A718" s="12"/>
      <c r="B718" s="2"/>
      <c r="C718" s="12"/>
      <c r="D718" s="12"/>
      <c r="E718" s="9"/>
      <c r="F718" s="12"/>
      <c r="G718" s="12"/>
      <c r="H718" s="12"/>
      <c r="I718" s="12"/>
      <c r="J718" s="5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ht="15.75" customHeight="1">
      <c r="A719" s="12"/>
      <c r="B719" s="2"/>
      <c r="C719" s="12"/>
      <c r="D719" s="12"/>
      <c r="E719" s="9"/>
      <c r="F719" s="12"/>
      <c r="G719" s="12"/>
      <c r="H719" s="12"/>
      <c r="I719" s="12"/>
      <c r="J719" s="5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ht="15.75" customHeight="1">
      <c r="A720" s="12"/>
      <c r="B720" s="2"/>
      <c r="C720" s="12"/>
      <c r="D720" s="12"/>
      <c r="E720" s="9"/>
      <c r="F720" s="12"/>
      <c r="G720" s="12"/>
      <c r="H720" s="12"/>
      <c r="I720" s="12"/>
      <c r="J720" s="5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ht="15.75" customHeight="1">
      <c r="A721" s="12"/>
      <c r="B721" s="2"/>
      <c r="C721" s="12"/>
      <c r="D721" s="12"/>
      <c r="E721" s="9"/>
      <c r="F721" s="12"/>
      <c r="G721" s="12"/>
      <c r="H721" s="12"/>
      <c r="I721" s="12"/>
      <c r="J721" s="5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ht="15.75" customHeight="1">
      <c r="A722" s="12"/>
      <c r="B722" s="2"/>
      <c r="C722" s="12"/>
      <c r="D722" s="12"/>
      <c r="E722" s="9"/>
      <c r="F722" s="12"/>
      <c r="G722" s="12"/>
      <c r="H722" s="12"/>
      <c r="I722" s="12"/>
      <c r="J722" s="5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ht="15.75" customHeight="1">
      <c r="A723" s="12"/>
      <c r="B723" s="2"/>
      <c r="C723" s="12"/>
      <c r="D723" s="12"/>
      <c r="E723" s="9"/>
      <c r="F723" s="12"/>
      <c r="G723" s="12"/>
      <c r="H723" s="12"/>
      <c r="I723" s="12"/>
      <c r="J723" s="5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ht="15.75" customHeight="1">
      <c r="A724" s="12"/>
      <c r="B724" s="2"/>
      <c r="C724" s="12"/>
      <c r="D724" s="12"/>
      <c r="E724" s="9"/>
      <c r="F724" s="12"/>
      <c r="G724" s="12"/>
      <c r="H724" s="12"/>
      <c r="I724" s="12"/>
      <c r="J724" s="5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ht="15.75" customHeight="1">
      <c r="A725" s="12"/>
      <c r="B725" s="2"/>
      <c r="C725" s="12"/>
      <c r="D725" s="12"/>
      <c r="E725" s="9"/>
      <c r="F725" s="12"/>
      <c r="G725" s="12"/>
      <c r="H725" s="12"/>
      <c r="I725" s="12"/>
      <c r="J725" s="5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ht="15.75" customHeight="1">
      <c r="A726" s="12"/>
      <c r="B726" s="2"/>
      <c r="C726" s="12"/>
      <c r="D726" s="12"/>
      <c r="E726" s="9"/>
      <c r="F726" s="12"/>
      <c r="G726" s="12"/>
      <c r="H726" s="12"/>
      <c r="I726" s="12"/>
      <c r="J726" s="5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ht="15.75" customHeight="1">
      <c r="A727" s="12"/>
      <c r="B727" s="2"/>
      <c r="C727" s="12"/>
      <c r="D727" s="12"/>
      <c r="E727" s="9"/>
      <c r="F727" s="12"/>
      <c r="G727" s="12"/>
      <c r="H727" s="12"/>
      <c r="I727" s="12"/>
      <c r="J727" s="5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ht="15.75" customHeight="1">
      <c r="A728" s="12"/>
      <c r="B728" s="2"/>
      <c r="C728" s="12"/>
      <c r="D728" s="12"/>
      <c r="E728" s="9"/>
      <c r="F728" s="12"/>
      <c r="G728" s="12"/>
      <c r="H728" s="12"/>
      <c r="I728" s="12"/>
      <c r="J728" s="5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ht="15.75" customHeight="1">
      <c r="A729" s="12"/>
      <c r="B729" s="2"/>
      <c r="C729" s="12"/>
      <c r="D729" s="12"/>
      <c r="E729" s="9"/>
      <c r="F729" s="12"/>
      <c r="G729" s="12"/>
      <c r="H729" s="12"/>
      <c r="I729" s="12"/>
      <c r="J729" s="5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ht="15.75" customHeight="1">
      <c r="A730" s="12"/>
      <c r="B730" s="2"/>
      <c r="C730" s="12"/>
      <c r="D730" s="12"/>
      <c r="E730" s="9"/>
      <c r="F730" s="12"/>
      <c r="G730" s="12"/>
      <c r="H730" s="12"/>
      <c r="I730" s="12"/>
      <c r="J730" s="5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ht="15.75" customHeight="1">
      <c r="A731" s="12"/>
      <c r="B731" s="2"/>
      <c r="C731" s="12"/>
      <c r="D731" s="12"/>
      <c r="E731" s="9"/>
      <c r="F731" s="12"/>
      <c r="G731" s="12"/>
      <c r="H731" s="12"/>
      <c r="I731" s="12"/>
      <c r="J731" s="5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ht="15.75" customHeight="1">
      <c r="A732" s="12"/>
      <c r="B732" s="2"/>
      <c r="C732" s="12"/>
      <c r="D732" s="12"/>
      <c r="E732" s="9"/>
      <c r="F732" s="12"/>
      <c r="G732" s="12"/>
      <c r="H732" s="12"/>
      <c r="I732" s="12"/>
      <c r="J732" s="5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ht="15.75" customHeight="1">
      <c r="A733" s="12"/>
      <c r="B733" s="2"/>
      <c r="C733" s="12"/>
      <c r="D733" s="12"/>
      <c r="E733" s="9"/>
      <c r="F733" s="12"/>
      <c r="G733" s="12"/>
      <c r="H733" s="12"/>
      <c r="I733" s="12"/>
      <c r="J733" s="5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ht="15.75" customHeight="1">
      <c r="A734" s="12"/>
      <c r="B734" s="2"/>
      <c r="C734" s="12"/>
      <c r="D734" s="12"/>
      <c r="E734" s="9"/>
      <c r="F734" s="12"/>
      <c r="G734" s="12"/>
      <c r="H734" s="12"/>
      <c r="I734" s="12"/>
      <c r="J734" s="5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ht="15.75" customHeight="1">
      <c r="A735" s="12"/>
      <c r="B735" s="2"/>
      <c r="C735" s="12"/>
      <c r="D735" s="12"/>
      <c r="E735" s="9"/>
      <c r="F735" s="12"/>
      <c r="G735" s="12"/>
      <c r="H735" s="12"/>
      <c r="I735" s="12"/>
      <c r="J735" s="5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ht="15.75" customHeight="1">
      <c r="A736" s="12"/>
      <c r="B736" s="2"/>
      <c r="C736" s="12"/>
      <c r="D736" s="12"/>
      <c r="E736" s="9"/>
      <c r="F736" s="12"/>
      <c r="G736" s="12"/>
      <c r="H736" s="12"/>
      <c r="I736" s="12"/>
      <c r="J736" s="5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ht="15.75" customHeight="1">
      <c r="A737" s="12"/>
      <c r="B737" s="2"/>
      <c r="C737" s="12"/>
      <c r="D737" s="12"/>
      <c r="E737" s="9"/>
      <c r="F737" s="12"/>
      <c r="G737" s="12"/>
      <c r="H737" s="12"/>
      <c r="I737" s="12"/>
      <c r="J737" s="5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ht="15.75" customHeight="1">
      <c r="A738" s="12"/>
      <c r="B738" s="2"/>
      <c r="C738" s="12"/>
      <c r="D738" s="12"/>
      <c r="E738" s="9"/>
      <c r="F738" s="12"/>
      <c r="G738" s="12"/>
      <c r="H738" s="12"/>
      <c r="I738" s="12"/>
      <c r="J738" s="5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ht="15.75" customHeight="1">
      <c r="A739" s="12"/>
      <c r="B739" s="2"/>
      <c r="C739" s="12"/>
      <c r="D739" s="12"/>
      <c r="E739" s="9"/>
      <c r="F739" s="12"/>
      <c r="G739" s="12"/>
      <c r="H739" s="12"/>
      <c r="I739" s="12"/>
      <c r="J739" s="5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ht="15.75" customHeight="1">
      <c r="A740" s="12"/>
      <c r="B740" s="2"/>
      <c r="C740" s="12"/>
      <c r="D740" s="12"/>
      <c r="E740" s="9"/>
      <c r="F740" s="12"/>
      <c r="G740" s="12"/>
      <c r="H740" s="12"/>
      <c r="I740" s="12"/>
      <c r="J740" s="5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ht="15.75" customHeight="1">
      <c r="A741" s="12"/>
      <c r="B741" s="2"/>
      <c r="C741" s="12"/>
      <c r="D741" s="12"/>
      <c r="E741" s="9"/>
      <c r="F741" s="12"/>
      <c r="G741" s="12"/>
      <c r="H741" s="12"/>
      <c r="I741" s="12"/>
      <c r="J741" s="5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ht="15.75" customHeight="1">
      <c r="A742" s="12"/>
      <c r="B742" s="2"/>
      <c r="C742" s="12"/>
      <c r="D742" s="12"/>
      <c r="E742" s="9"/>
      <c r="F742" s="12"/>
      <c r="G742" s="12"/>
      <c r="H742" s="12"/>
      <c r="I742" s="12"/>
      <c r="J742" s="5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ht="15.75" customHeight="1">
      <c r="A743" s="12"/>
      <c r="B743" s="2"/>
      <c r="C743" s="12"/>
      <c r="D743" s="12"/>
      <c r="E743" s="9"/>
      <c r="F743" s="12"/>
      <c r="G743" s="12"/>
      <c r="H743" s="12"/>
      <c r="I743" s="12"/>
      <c r="J743" s="5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ht="15.75" customHeight="1">
      <c r="A744" s="12"/>
      <c r="B744" s="2"/>
      <c r="C744" s="12"/>
      <c r="D744" s="12"/>
      <c r="E744" s="9"/>
      <c r="F744" s="12"/>
      <c r="G744" s="12"/>
      <c r="H744" s="12"/>
      <c r="I744" s="12"/>
      <c r="J744" s="5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ht="15.75" customHeight="1">
      <c r="A745" s="12"/>
      <c r="B745" s="2"/>
      <c r="C745" s="12"/>
      <c r="D745" s="12"/>
      <c r="E745" s="9"/>
      <c r="F745" s="12"/>
      <c r="G745" s="12"/>
      <c r="H745" s="12"/>
      <c r="I745" s="12"/>
      <c r="J745" s="5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ht="15.75" customHeight="1">
      <c r="A746" s="12"/>
      <c r="B746" s="2"/>
      <c r="C746" s="12"/>
      <c r="D746" s="12"/>
      <c r="E746" s="9"/>
      <c r="F746" s="12"/>
      <c r="G746" s="12"/>
      <c r="H746" s="12"/>
      <c r="I746" s="12"/>
      <c r="J746" s="5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ht="15.75" customHeight="1">
      <c r="A747" s="12"/>
      <c r="B747" s="2"/>
      <c r="C747" s="12"/>
      <c r="D747" s="12"/>
      <c r="E747" s="9"/>
      <c r="F747" s="12"/>
      <c r="G747" s="12"/>
      <c r="H747" s="12"/>
      <c r="I747" s="12"/>
      <c r="J747" s="5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ht="15.75" customHeight="1">
      <c r="A748" s="12"/>
      <c r="B748" s="2"/>
      <c r="C748" s="12"/>
      <c r="D748" s="12"/>
      <c r="E748" s="9"/>
      <c r="F748" s="12"/>
      <c r="G748" s="12"/>
      <c r="H748" s="12"/>
      <c r="I748" s="12"/>
      <c r="J748" s="5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ht="15.75" customHeight="1">
      <c r="A749" s="12"/>
      <c r="B749" s="2"/>
      <c r="C749" s="12"/>
      <c r="D749" s="12"/>
      <c r="E749" s="9"/>
      <c r="F749" s="12"/>
      <c r="G749" s="12"/>
      <c r="H749" s="12"/>
      <c r="I749" s="12"/>
      <c r="J749" s="5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ht="15.75" customHeight="1">
      <c r="A750" s="12"/>
      <c r="B750" s="2"/>
      <c r="C750" s="12"/>
      <c r="D750" s="12"/>
      <c r="E750" s="9"/>
      <c r="F750" s="12"/>
      <c r="G750" s="12"/>
      <c r="H750" s="12"/>
      <c r="I750" s="12"/>
      <c r="J750" s="5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ht="15.75" customHeight="1">
      <c r="A751" s="12"/>
      <c r="B751" s="2"/>
      <c r="C751" s="12"/>
      <c r="D751" s="12"/>
      <c r="E751" s="9"/>
      <c r="F751" s="12"/>
      <c r="G751" s="12"/>
      <c r="H751" s="12"/>
      <c r="I751" s="12"/>
      <c r="J751" s="5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ht="15.75" customHeight="1">
      <c r="A752" s="12"/>
      <c r="B752" s="2"/>
      <c r="C752" s="12"/>
      <c r="D752" s="12"/>
      <c r="E752" s="9"/>
      <c r="F752" s="12"/>
      <c r="G752" s="12"/>
      <c r="H752" s="12"/>
      <c r="I752" s="12"/>
      <c r="J752" s="5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ht="15.75" customHeight="1">
      <c r="A753" s="12"/>
      <c r="B753" s="2"/>
      <c r="C753" s="12"/>
      <c r="D753" s="12"/>
      <c r="E753" s="9"/>
      <c r="F753" s="12"/>
      <c r="G753" s="12"/>
      <c r="H753" s="12"/>
      <c r="I753" s="12"/>
      <c r="J753" s="5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ht="15.75" customHeight="1">
      <c r="A754" s="12"/>
      <c r="B754" s="2"/>
      <c r="C754" s="12"/>
      <c r="D754" s="12"/>
      <c r="E754" s="9"/>
      <c r="F754" s="12"/>
      <c r="G754" s="12"/>
      <c r="H754" s="12"/>
      <c r="I754" s="12"/>
      <c r="J754" s="5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ht="15.75" customHeight="1">
      <c r="A755" s="12"/>
      <c r="B755" s="2"/>
      <c r="C755" s="12"/>
      <c r="D755" s="12"/>
      <c r="E755" s="9"/>
      <c r="F755" s="12"/>
      <c r="G755" s="12"/>
      <c r="H755" s="12"/>
      <c r="I755" s="12"/>
      <c r="J755" s="5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ht="15.75" customHeight="1">
      <c r="A756" s="12"/>
      <c r="B756" s="2"/>
      <c r="C756" s="12"/>
      <c r="D756" s="12"/>
      <c r="E756" s="9"/>
      <c r="F756" s="12"/>
      <c r="G756" s="12"/>
      <c r="H756" s="12"/>
      <c r="I756" s="12"/>
      <c r="J756" s="5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ht="15.75" customHeight="1">
      <c r="A757" s="12"/>
      <c r="B757" s="2"/>
      <c r="C757" s="12"/>
      <c r="D757" s="12"/>
      <c r="E757" s="9"/>
      <c r="F757" s="12"/>
      <c r="G757" s="12"/>
      <c r="H757" s="12"/>
      <c r="I757" s="12"/>
      <c r="J757" s="5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ht="15.75" customHeight="1">
      <c r="A758" s="12"/>
      <c r="B758" s="2"/>
      <c r="C758" s="12"/>
      <c r="D758" s="12"/>
      <c r="E758" s="9"/>
      <c r="F758" s="12"/>
      <c r="G758" s="12"/>
      <c r="H758" s="12"/>
      <c r="I758" s="12"/>
      <c r="J758" s="5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ht="15.75" customHeight="1">
      <c r="A759" s="12"/>
      <c r="B759" s="2"/>
      <c r="C759" s="12"/>
      <c r="D759" s="12"/>
      <c r="E759" s="9"/>
      <c r="F759" s="12"/>
      <c r="G759" s="12"/>
      <c r="H759" s="12"/>
      <c r="I759" s="12"/>
      <c r="J759" s="5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ht="15.75" customHeight="1">
      <c r="A760" s="12"/>
      <c r="B760" s="2"/>
      <c r="C760" s="12"/>
      <c r="D760" s="12"/>
      <c r="E760" s="9"/>
      <c r="F760" s="12"/>
      <c r="G760" s="12"/>
      <c r="H760" s="12"/>
      <c r="I760" s="12"/>
      <c r="J760" s="5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ht="15.75" customHeight="1">
      <c r="A761" s="12"/>
      <c r="B761" s="2"/>
      <c r="C761" s="12"/>
      <c r="D761" s="12"/>
      <c r="E761" s="9"/>
      <c r="F761" s="12"/>
      <c r="G761" s="12"/>
      <c r="H761" s="12"/>
      <c r="I761" s="12"/>
      <c r="J761" s="5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ht="15.75" customHeight="1">
      <c r="A762" s="12"/>
      <c r="B762" s="2"/>
      <c r="C762" s="12"/>
      <c r="D762" s="12"/>
      <c r="E762" s="9"/>
      <c r="F762" s="12"/>
      <c r="G762" s="12"/>
      <c r="H762" s="12"/>
      <c r="I762" s="12"/>
      <c r="J762" s="5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ht="15.75" customHeight="1">
      <c r="A763" s="12"/>
      <c r="B763" s="2"/>
      <c r="C763" s="12"/>
      <c r="D763" s="12"/>
      <c r="E763" s="9"/>
      <c r="F763" s="12"/>
      <c r="G763" s="12"/>
      <c r="H763" s="12"/>
      <c r="I763" s="12"/>
      <c r="J763" s="5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ht="15.75" customHeight="1">
      <c r="A764" s="12"/>
      <c r="B764" s="2"/>
      <c r="C764" s="12"/>
      <c r="D764" s="12"/>
      <c r="E764" s="9"/>
      <c r="F764" s="12"/>
      <c r="G764" s="12"/>
      <c r="H764" s="12"/>
      <c r="I764" s="12"/>
      <c r="J764" s="5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ht="15.75" customHeight="1">
      <c r="A765" s="12"/>
      <c r="B765" s="2"/>
      <c r="C765" s="12"/>
      <c r="D765" s="12"/>
      <c r="E765" s="9"/>
      <c r="F765" s="12"/>
      <c r="G765" s="12"/>
      <c r="H765" s="12"/>
      <c r="I765" s="12"/>
      <c r="J765" s="5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ht="15.75" customHeight="1">
      <c r="A766" s="12"/>
      <c r="B766" s="2"/>
      <c r="C766" s="12"/>
      <c r="D766" s="12"/>
      <c r="E766" s="9"/>
      <c r="F766" s="12"/>
      <c r="G766" s="12"/>
      <c r="H766" s="12"/>
      <c r="I766" s="12"/>
      <c r="J766" s="5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ht="15.75" customHeight="1">
      <c r="A767" s="12"/>
      <c r="B767" s="2"/>
      <c r="C767" s="12"/>
      <c r="D767" s="12"/>
      <c r="E767" s="9"/>
      <c r="F767" s="12"/>
      <c r="G767" s="12"/>
      <c r="H767" s="12"/>
      <c r="I767" s="12"/>
      <c r="J767" s="5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ht="15.75" customHeight="1">
      <c r="A768" s="12"/>
      <c r="B768" s="2"/>
      <c r="C768" s="12"/>
      <c r="D768" s="12"/>
      <c r="E768" s="9"/>
      <c r="F768" s="12"/>
      <c r="G768" s="12"/>
      <c r="H768" s="12"/>
      <c r="I768" s="12"/>
      <c r="J768" s="5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ht="15.75" customHeight="1">
      <c r="A769" s="12"/>
      <c r="B769" s="2"/>
      <c r="C769" s="12"/>
      <c r="D769" s="12"/>
      <c r="E769" s="9"/>
      <c r="F769" s="12"/>
      <c r="G769" s="12"/>
      <c r="H769" s="12"/>
      <c r="I769" s="12"/>
      <c r="J769" s="5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ht="15.75" customHeight="1">
      <c r="A770" s="12"/>
      <c r="B770" s="2"/>
      <c r="C770" s="12"/>
      <c r="D770" s="12"/>
      <c r="E770" s="9"/>
      <c r="F770" s="12"/>
      <c r="G770" s="12"/>
      <c r="H770" s="12"/>
      <c r="I770" s="12"/>
      <c r="J770" s="5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ht="15.75" customHeight="1">
      <c r="A771" s="12"/>
      <c r="B771" s="2"/>
      <c r="C771" s="12"/>
      <c r="D771" s="12"/>
      <c r="E771" s="9"/>
      <c r="F771" s="12"/>
      <c r="G771" s="12"/>
      <c r="H771" s="12"/>
      <c r="I771" s="12"/>
      <c r="J771" s="5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ht="15.75" customHeight="1">
      <c r="A772" s="12"/>
      <c r="B772" s="2"/>
      <c r="C772" s="12"/>
      <c r="D772" s="12"/>
      <c r="E772" s="9"/>
      <c r="F772" s="12"/>
      <c r="G772" s="12"/>
      <c r="H772" s="12"/>
      <c r="I772" s="12"/>
      <c r="J772" s="5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ht="15.75" customHeight="1">
      <c r="A773" s="12"/>
      <c r="B773" s="2"/>
      <c r="C773" s="12"/>
      <c r="D773" s="12"/>
      <c r="E773" s="9"/>
      <c r="F773" s="12"/>
      <c r="G773" s="12"/>
      <c r="H773" s="12"/>
      <c r="I773" s="12"/>
      <c r="J773" s="5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ht="15.75" customHeight="1">
      <c r="A774" s="12"/>
      <c r="B774" s="2"/>
      <c r="C774" s="12"/>
      <c r="D774" s="12"/>
      <c r="E774" s="9"/>
      <c r="F774" s="12"/>
      <c r="G774" s="12"/>
      <c r="H774" s="12"/>
      <c r="I774" s="12"/>
      <c r="J774" s="5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ht="15.75" customHeight="1">
      <c r="A775" s="12"/>
      <c r="B775" s="2"/>
      <c r="C775" s="12"/>
      <c r="D775" s="12"/>
      <c r="E775" s="9"/>
      <c r="F775" s="12"/>
      <c r="G775" s="12"/>
      <c r="H775" s="12"/>
      <c r="I775" s="12"/>
      <c r="J775" s="5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ht="15.75" customHeight="1">
      <c r="A776" s="12"/>
      <c r="B776" s="2"/>
      <c r="C776" s="12"/>
      <c r="D776" s="12"/>
      <c r="E776" s="9"/>
      <c r="F776" s="12"/>
      <c r="G776" s="12"/>
      <c r="H776" s="12"/>
      <c r="I776" s="12"/>
      <c r="J776" s="5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ht="15.75" customHeight="1">
      <c r="A777" s="12"/>
      <c r="B777" s="2"/>
      <c r="C777" s="12"/>
      <c r="D777" s="12"/>
      <c r="E777" s="9"/>
      <c r="F777" s="12"/>
      <c r="G777" s="12"/>
      <c r="H777" s="12"/>
      <c r="I777" s="12"/>
      <c r="J777" s="5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ht="15.75" customHeight="1">
      <c r="A778" s="12"/>
      <c r="B778" s="2"/>
      <c r="C778" s="12"/>
      <c r="D778" s="12"/>
      <c r="E778" s="9"/>
      <c r="F778" s="12"/>
      <c r="G778" s="12"/>
      <c r="H778" s="12"/>
      <c r="I778" s="12"/>
      <c r="J778" s="5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ht="15.75" customHeight="1">
      <c r="A779" s="12"/>
      <c r="B779" s="2"/>
      <c r="C779" s="12"/>
      <c r="D779" s="12"/>
      <c r="E779" s="9"/>
      <c r="F779" s="12"/>
      <c r="G779" s="12"/>
      <c r="H779" s="12"/>
      <c r="I779" s="12"/>
      <c r="J779" s="5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ht="15.75" customHeight="1">
      <c r="A780" s="12"/>
      <c r="B780" s="2"/>
      <c r="C780" s="12"/>
      <c r="D780" s="12"/>
      <c r="E780" s="9"/>
      <c r="F780" s="12"/>
      <c r="G780" s="12"/>
      <c r="H780" s="12"/>
      <c r="I780" s="12"/>
      <c r="J780" s="5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ht="15.75" customHeight="1">
      <c r="A781" s="12"/>
      <c r="B781" s="2"/>
      <c r="C781" s="12"/>
      <c r="D781" s="12"/>
      <c r="E781" s="9"/>
      <c r="F781" s="12"/>
      <c r="G781" s="12"/>
      <c r="H781" s="12"/>
      <c r="I781" s="12"/>
      <c r="J781" s="5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ht="15.75" customHeight="1">
      <c r="A782" s="12"/>
      <c r="B782" s="2"/>
      <c r="C782" s="12"/>
      <c r="D782" s="12"/>
      <c r="E782" s="9"/>
      <c r="F782" s="12"/>
      <c r="G782" s="12"/>
      <c r="H782" s="12"/>
      <c r="I782" s="12"/>
      <c r="J782" s="5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ht="15.75" customHeight="1">
      <c r="A783" s="12"/>
      <c r="B783" s="2"/>
      <c r="C783" s="12"/>
      <c r="D783" s="12"/>
      <c r="E783" s="9"/>
      <c r="F783" s="12"/>
      <c r="G783" s="12"/>
      <c r="H783" s="12"/>
      <c r="I783" s="12"/>
      <c r="J783" s="5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ht="15.75" customHeight="1">
      <c r="A784" s="12"/>
      <c r="B784" s="2"/>
      <c r="C784" s="12"/>
      <c r="D784" s="12"/>
      <c r="E784" s="9"/>
      <c r="F784" s="12"/>
      <c r="G784" s="12"/>
      <c r="H784" s="12"/>
      <c r="I784" s="12"/>
      <c r="J784" s="5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ht="15.75" customHeight="1">
      <c r="A785" s="12"/>
      <c r="B785" s="2"/>
      <c r="C785" s="12"/>
      <c r="D785" s="12"/>
      <c r="E785" s="9"/>
      <c r="F785" s="12"/>
      <c r="G785" s="12"/>
      <c r="H785" s="12"/>
      <c r="I785" s="12"/>
      <c r="J785" s="5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ht="15.75" customHeight="1">
      <c r="A786" s="12"/>
      <c r="B786" s="2"/>
      <c r="C786" s="12"/>
      <c r="D786" s="12"/>
      <c r="E786" s="9"/>
      <c r="F786" s="12"/>
      <c r="G786" s="12"/>
      <c r="H786" s="12"/>
      <c r="I786" s="12"/>
      <c r="J786" s="5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ht="15.75" customHeight="1">
      <c r="A787" s="12"/>
      <c r="B787" s="2"/>
      <c r="C787" s="12"/>
      <c r="D787" s="12"/>
      <c r="E787" s="9"/>
      <c r="F787" s="12"/>
      <c r="G787" s="12"/>
      <c r="H787" s="12"/>
      <c r="I787" s="12"/>
      <c r="J787" s="5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ht="15.75" customHeight="1">
      <c r="A788" s="12"/>
      <c r="B788" s="2"/>
      <c r="C788" s="12"/>
      <c r="D788" s="12"/>
      <c r="E788" s="9"/>
      <c r="F788" s="12"/>
      <c r="G788" s="12"/>
      <c r="H788" s="12"/>
      <c r="I788" s="12"/>
      <c r="J788" s="5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ht="15.75" customHeight="1">
      <c r="A789" s="12"/>
      <c r="B789" s="2"/>
      <c r="C789" s="12"/>
      <c r="D789" s="12"/>
      <c r="E789" s="9"/>
      <c r="F789" s="12"/>
      <c r="G789" s="12"/>
      <c r="H789" s="12"/>
      <c r="I789" s="12"/>
      <c r="J789" s="5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ht="15.75" customHeight="1">
      <c r="A790" s="12"/>
      <c r="B790" s="2"/>
      <c r="C790" s="12"/>
      <c r="D790" s="12"/>
      <c r="E790" s="9"/>
      <c r="F790" s="12"/>
      <c r="G790" s="12"/>
      <c r="H790" s="12"/>
      <c r="I790" s="12"/>
      <c r="J790" s="5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ht="15.75" customHeight="1">
      <c r="A791" s="12"/>
      <c r="B791" s="2"/>
      <c r="C791" s="12"/>
      <c r="D791" s="12"/>
      <c r="E791" s="9"/>
      <c r="F791" s="12"/>
      <c r="G791" s="12"/>
      <c r="H791" s="12"/>
      <c r="I791" s="12"/>
      <c r="J791" s="5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ht="15.75" customHeight="1">
      <c r="A792" s="12"/>
      <c r="B792" s="2"/>
      <c r="C792" s="12"/>
      <c r="D792" s="12"/>
      <c r="E792" s="9"/>
      <c r="F792" s="12"/>
      <c r="G792" s="12"/>
      <c r="H792" s="12"/>
      <c r="I792" s="12"/>
      <c r="J792" s="5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ht="15.75" customHeight="1">
      <c r="A793" s="12"/>
      <c r="B793" s="2"/>
      <c r="C793" s="12"/>
      <c r="D793" s="12"/>
      <c r="E793" s="9"/>
      <c r="F793" s="12"/>
      <c r="G793" s="12"/>
      <c r="H793" s="12"/>
      <c r="I793" s="12"/>
      <c r="J793" s="5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ht="15.75" customHeight="1">
      <c r="A794" s="12"/>
      <c r="B794" s="2"/>
      <c r="C794" s="12"/>
      <c r="D794" s="12"/>
      <c r="E794" s="9"/>
      <c r="F794" s="12"/>
      <c r="G794" s="12"/>
      <c r="H794" s="12"/>
      <c r="I794" s="12"/>
      <c r="J794" s="5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ht="15.75" customHeight="1">
      <c r="A795" s="12"/>
      <c r="B795" s="2"/>
      <c r="C795" s="12"/>
      <c r="D795" s="12"/>
      <c r="E795" s="9"/>
      <c r="F795" s="12"/>
      <c r="G795" s="12"/>
      <c r="H795" s="12"/>
      <c r="I795" s="12"/>
      <c r="J795" s="5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ht="15.75" customHeight="1">
      <c r="A796" s="12"/>
      <c r="B796" s="2"/>
      <c r="C796" s="12"/>
      <c r="D796" s="12"/>
      <c r="E796" s="9"/>
      <c r="F796" s="12"/>
      <c r="G796" s="12"/>
      <c r="H796" s="12"/>
      <c r="I796" s="12"/>
      <c r="J796" s="5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ht="15.75" customHeight="1">
      <c r="A797" s="12"/>
      <c r="B797" s="2"/>
      <c r="C797" s="12"/>
      <c r="D797" s="12"/>
      <c r="E797" s="9"/>
      <c r="F797" s="12"/>
      <c r="G797" s="12"/>
      <c r="H797" s="12"/>
      <c r="I797" s="12"/>
      <c r="J797" s="5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ht="15.75" customHeight="1">
      <c r="A798" s="12"/>
      <c r="B798" s="2"/>
      <c r="C798" s="12"/>
      <c r="D798" s="12"/>
      <c r="E798" s="9"/>
      <c r="F798" s="12"/>
      <c r="G798" s="12"/>
      <c r="H798" s="12"/>
      <c r="I798" s="12"/>
      <c r="J798" s="5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ht="15.75" customHeight="1">
      <c r="A799" s="12"/>
      <c r="B799" s="2"/>
      <c r="C799" s="12"/>
      <c r="D799" s="12"/>
      <c r="E799" s="9"/>
      <c r="F799" s="12"/>
      <c r="G799" s="12"/>
      <c r="H799" s="12"/>
      <c r="I799" s="12"/>
      <c r="J799" s="5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ht="15.75" customHeight="1">
      <c r="A800" s="12"/>
      <c r="B800" s="2"/>
      <c r="C800" s="12"/>
      <c r="D800" s="12"/>
      <c r="E800" s="9"/>
      <c r="F800" s="12"/>
      <c r="G800" s="12"/>
      <c r="H800" s="12"/>
      <c r="I800" s="12"/>
      <c r="J800" s="5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ht="15.75" customHeight="1">
      <c r="A801" s="12"/>
      <c r="B801" s="2"/>
      <c r="C801" s="12"/>
      <c r="D801" s="12"/>
      <c r="E801" s="9"/>
      <c r="F801" s="12"/>
      <c r="G801" s="12"/>
      <c r="H801" s="12"/>
      <c r="I801" s="12"/>
      <c r="J801" s="5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ht="15.75" customHeight="1">
      <c r="A802" s="12"/>
      <c r="B802" s="2"/>
      <c r="C802" s="12"/>
      <c r="D802" s="12"/>
      <c r="E802" s="9"/>
      <c r="F802" s="12"/>
      <c r="G802" s="12"/>
      <c r="H802" s="12"/>
      <c r="I802" s="12"/>
      <c r="J802" s="5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ht="15.75" customHeight="1">
      <c r="A803" s="12"/>
      <c r="B803" s="2"/>
      <c r="C803" s="12"/>
      <c r="D803" s="12"/>
      <c r="E803" s="9"/>
      <c r="F803" s="12"/>
      <c r="G803" s="12"/>
      <c r="H803" s="12"/>
      <c r="I803" s="12"/>
      <c r="J803" s="5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ht="15.75" customHeight="1">
      <c r="A804" s="12"/>
      <c r="B804" s="2"/>
      <c r="C804" s="12"/>
      <c r="D804" s="12"/>
      <c r="E804" s="9"/>
      <c r="F804" s="12"/>
      <c r="G804" s="12"/>
      <c r="H804" s="12"/>
      <c r="I804" s="12"/>
      <c r="J804" s="5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ht="15.75" customHeight="1">
      <c r="A805" s="12"/>
      <c r="B805" s="2"/>
      <c r="C805" s="12"/>
      <c r="D805" s="12"/>
      <c r="E805" s="9"/>
      <c r="F805" s="12"/>
      <c r="G805" s="12"/>
      <c r="H805" s="12"/>
      <c r="I805" s="12"/>
      <c r="J805" s="5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ht="15.75" customHeight="1">
      <c r="A806" s="12"/>
      <c r="B806" s="2"/>
      <c r="C806" s="12"/>
      <c r="D806" s="12"/>
      <c r="E806" s="9"/>
      <c r="F806" s="12"/>
      <c r="G806" s="12"/>
      <c r="H806" s="12"/>
      <c r="I806" s="12"/>
      <c r="J806" s="5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ht="15.75" customHeight="1">
      <c r="A807" s="12"/>
      <c r="B807" s="2"/>
      <c r="C807" s="12"/>
      <c r="D807" s="12"/>
      <c r="E807" s="9"/>
      <c r="F807" s="12"/>
      <c r="G807" s="12"/>
      <c r="H807" s="12"/>
      <c r="I807" s="12"/>
      <c r="J807" s="5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ht="15.75" customHeight="1">
      <c r="A808" s="12"/>
      <c r="B808" s="2"/>
      <c r="C808" s="12"/>
      <c r="D808" s="12"/>
      <c r="E808" s="9"/>
      <c r="F808" s="12"/>
      <c r="G808" s="12"/>
      <c r="H808" s="12"/>
      <c r="I808" s="12"/>
      <c r="J808" s="5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ht="15.75" customHeight="1">
      <c r="A809" s="12"/>
      <c r="B809" s="2"/>
      <c r="C809" s="12"/>
      <c r="D809" s="12"/>
      <c r="E809" s="9"/>
      <c r="F809" s="12"/>
      <c r="G809" s="12"/>
      <c r="H809" s="12"/>
      <c r="I809" s="12"/>
      <c r="J809" s="5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ht="15.75" customHeight="1">
      <c r="A810" s="12"/>
      <c r="B810" s="2"/>
      <c r="C810" s="12"/>
      <c r="D810" s="12"/>
      <c r="E810" s="9"/>
      <c r="F810" s="12"/>
      <c r="G810" s="12"/>
      <c r="H810" s="12"/>
      <c r="I810" s="12"/>
      <c r="J810" s="5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ht="15.75" customHeight="1">
      <c r="A811" s="12"/>
      <c r="B811" s="2"/>
      <c r="C811" s="12"/>
      <c r="D811" s="12"/>
      <c r="E811" s="9"/>
      <c r="F811" s="12"/>
      <c r="G811" s="12"/>
      <c r="H811" s="12"/>
      <c r="I811" s="12"/>
      <c r="J811" s="5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ht="15.75" customHeight="1">
      <c r="A812" s="12"/>
      <c r="B812" s="2"/>
      <c r="C812" s="12"/>
      <c r="D812" s="12"/>
      <c r="E812" s="9"/>
      <c r="F812" s="12"/>
      <c r="G812" s="12"/>
      <c r="H812" s="12"/>
      <c r="I812" s="12"/>
      <c r="J812" s="5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ht="15.75" customHeight="1">
      <c r="A813" s="12"/>
      <c r="B813" s="2"/>
      <c r="C813" s="12"/>
      <c r="D813" s="12"/>
      <c r="E813" s="9"/>
      <c r="F813" s="12"/>
      <c r="G813" s="12"/>
      <c r="H813" s="12"/>
      <c r="I813" s="12"/>
      <c r="J813" s="5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ht="15.75" customHeight="1">
      <c r="A814" s="12"/>
      <c r="B814" s="2"/>
      <c r="C814" s="12"/>
      <c r="D814" s="12"/>
      <c r="E814" s="9"/>
      <c r="F814" s="12"/>
      <c r="G814" s="12"/>
      <c r="H814" s="12"/>
      <c r="I814" s="12"/>
      <c r="J814" s="5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ht="15.75" customHeight="1">
      <c r="A815" s="12"/>
      <c r="B815" s="2"/>
      <c r="C815" s="12"/>
      <c r="D815" s="12"/>
      <c r="E815" s="9"/>
      <c r="F815" s="12"/>
      <c r="G815" s="12"/>
      <c r="H815" s="12"/>
      <c r="I815" s="12"/>
      <c r="J815" s="5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ht="15.75" customHeight="1">
      <c r="A816" s="12"/>
      <c r="B816" s="2"/>
      <c r="C816" s="12"/>
      <c r="D816" s="12"/>
      <c r="E816" s="9"/>
      <c r="F816" s="12"/>
      <c r="G816" s="12"/>
      <c r="H816" s="12"/>
      <c r="I816" s="12"/>
      <c r="J816" s="5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ht="15.75" customHeight="1">
      <c r="A817" s="12"/>
      <c r="B817" s="2"/>
      <c r="C817" s="12"/>
      <c r="D817" s="12"/>
      <c r="E817" s="9"/>
      <c r="F817" s="12"/>
      <c r="G817" s="12"/>
      <c r="H817" s="12"/>
      <c r="I817" s="12"/>
      <c r="J817" s="5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ht="15.75" customHeight="1">
      <c r="A818" s="12"/>
      <c r="B818" s="2"/>
      <c r="C818" s="12"/>
      <c r="D818" s="12"/>
      <c r="E818" s="9"/>
      <c r="F818" s="12"/>
      <c r="G818" s="12"/>
      <c r="H818" s="12"/>
      <c r="I818" s="12"/>
      <c r="J818" s="5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ht="15.75" customHeight="1">
      <c r="A819" s="12"/>
      <c r="B819" s="2"/>
      <c r="C819" s="12"/>
      <c r="D819" s="12"/>
      <c r="E819" s="9"/>
      <c r="F819" s="12"/>
      <c r="G819" s="12"/>
      <c r="H819" s="12"/>
      <c r="I819" s="12"/>
      <c r="J819" s="5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ht="15.75" customHeight="1">
      <c r="A820" s="12"/>
      <c r="B820" s="2"/>
      <c r="C820" s="12"/>
      <c r="D820" s="12"/>
      <c r="E820" s="9"/>
      <c r="F820" s="12"/>
      <c r="G820" s="12"/>
      <c r="H820" s="12"/>
      <c r="I820" s="12"/>
      <c r="J820" s="5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ht="15.75" customHeight="1">
      <c r="A821" s="12"/>
      <c r="B821" s="2"/>
      <c r="C821" s="12"/>
      <c r="D821" s="12"/>
      <c r="E821" s="9"/>
      <c r="F821" s="12"/>
      <c r="G821" s="12"/>
      <c r="H821" s="12"/>
      <c r="I821" s="12"/>
      <c r="J821" s="5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ht="15.75" customHeight="1">
      <c r="A822" s="12"/>
      <c r="B822" s="2"/>
      <c r="C822" s="12"/>
      <c r="D822" s="12"/>
      <c r="E822" s="9"/>
      <c r="F822" s="12"/>
      <c r="G822" s="12"/>
      <c r="H822" s="12"/>
      <c r="I822" s="12"/>
      <c r="J822" s="5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ht="15.75" customHeight="1">
      <c r="A823" s="12"/>
      <c r="B823" s="2"/>
      <c r="C823" s="12"/>
      <c r="D823" s="12"/>
      <c r="E823" s="9"/>
      <c r="F823" s="12"/>
      <c r="G823" s="12"/>
      <c r="H823" s="12"/>
      <c r="I823" s="12"/>
      <c r="J823" s="5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ht="15.75" customHeight="1">
      <c r="A824" s="12"/>
      <c r="B824" s="2"/>
      <c r="C824" s="12"/>
      <c r="D824" s="12"/>
      <c r="E824" s="9"/>
      <c r="F824" s="12"/>
      <c r="G824" s="12"/>
      <c r="H824" s="12"/>
      <c r="I824" s="12"/>
      <c r="J824" s="5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ht="15.75" customHeight="1">
      <c r="A825" s="12"/>
      <c r="B825" s="2"/>
      <c r="C825" s="12"/>
      <c r="D825" s="12"/>
      <c r="E825" s="9"/>
      <c r="F825" s="12"/>
      <c r="G825" s="12"/>
      <c r="H825" s="12"/>
      <c r="I825" s="12"/>
      <c r="J825" s="5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ht="15.75" customHeight="1">
      <c r="A826" s="12"/>
      <c r="B826" s="2"/>
      <c r="C826" s="12"/>
      <c r="D826" s="12"/>
      <c r="E826" s="9"/>
      <c r="F826" s="12"/>
      <c r="G826" s="12"/>
      <c r="H826" s="12"/>
      <c r="I826" s="12"/>
      <c r="J826" s="5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ht="15.75" customHeight="1">
      <c r="A827" s="12"/>
      <c r="B827" s="2"/>
      <c r="C827" s="12"/>
      <c r="D827" s="12"/>
      <c r="E827" s="9"/>
      <c r="F827" s="12"/>
      <c r="G827" s="12"/>
      <c r="H827" s="12"/>
      <c r="I827" s="12"/>
      <c r="J827" s="5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ht="15.75" customHeight="1">
      <c r="A828" s="12"/>
      <c r="B828" s="2"/>
      <c r="C828" s="12"/>
      <c r="D828" s="12"/>
      <c r="E828" s="9"/>
      <c r="F828" s="12"/>
      <c r="G828" s="12"/>
      <c r="H828" s="12"/>
      <c r="I828" s="12"/>
      <c r="J828" s="5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ht="15.75" customHeight="1">
      <c r="A829" s="12"/>
      <c r="B829" s="2"/>
      <c r="C829" s="12"/>
      <c r="D829" s="12"/>
      <c r="E829" s="9"/>
      <c r="F829" s="12"/>
      <c r="G829" s="12"/>
      <c r="H829" s="12"/>
      <c r="I829" s="12"/>
      <c r="J829" s="5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ht="15.75" customHeight="1">
      <c r="A830" s="12"/>
      <c r="B830" s="2"/>
      <c r="C830" s="12"/>
      <c r="D830" s="12"/>
      <c r="E830" s="9"/>
      <c r="F830" s="12"/>
      <c r="G830" s="12"/>
      <c r="H830" s="12"/>
      <c r="I830" s="12"/>
      <c r="J830" s="5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ht="15.75" customHeight="1">
      <c r="A831" s="12"/>
      <c r="B831" s="2"/>
      <c r="C831" s="12"/>
      <c r="D831" s="12"/>
      <c r="E831" s="9"/>
      <c r="F831" s="12"/>
      <c r="G831" s="12"/>
      <c r="H831" s="12"/>
      <c r="I831" s="12"/>
      <c r="J831" s="5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ht="15.75" customHeight="1">
      <c r="A832" s="12"/>
      <c r="B832" s="2"/>
      <c r="C832" s="12"/>
      <c r="D832" s="12"/>
      <c r="E832" s="9"/>
      <c r="F832" s="12"/>
      <c r="G832" s="12"/>
      <c r="H832" s="12"/>
      <c r="I832" s="12"/>
      <c r="J832" s="5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ht="15.75" customHeight="1">
      <c r="A833" s="12"/>
      <c r="B833" s="2"/>
      <c r="C833" s="12"/>
      <c r="D833" s="12"/>
      <c r="E833" s="9"/>
      <c r="F833" s="12"/>
      <c r="G833" s="12"/>
      <c r="H833" s="12"/>
      <c r="I833" s="12"/>
      <c r="J833" s="5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ht="15.75" customHeight="1">
      <c r="A834" s="12"/>
      <c r="B834" s="2"/>
      <c r="C834" s="12"/>
      <c r="D834" s="12"/>
      <c r="E834" s="9"/>
      <c r="F834" s="12"/>
      <c r="G834" s="12"/>
      <c r="H834" s="12"/>
      <c r="I834" s="12"/>
      <c r="J834" s="5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ht="15.75" customHeight="1">
      <c r="A835" s="12"/>
      <c r="B835" s="2"/>
      <c r="C835" s="12"/>
      <c r="D835" s="12"/>
      <c r="E835" s="9"/>
      <c r="F835" s="12"/>
      <c r="G835" s="12"/>
      <c r="H835" s="12"/>
      <c r="I835" s="12"/>
      <c r="J835" s="5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ht="15.75" customHeight="1">
      <c r="A836" s="12"/>
      <c r="B836" s="2"/>
      <c r="C836" s="12"/>
      <c r="D836" s="12"/>
      <c r="E836" s="9"/>
      <c r="F836" s="12"/>
      <c r="G836" s="12"/>
      <c r="H836" s="12"/>
      <c r="I836" s="12"/>
      <c r="J836" s="5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ht="15.75" customHeight="1">
      <c r="A837" s="12"/>
      <c r="B837" s="2"/>
      <c r="C837" s="12"/>
      <c r="D837" s="12"/>
      <c r="E837" s="9"/>
      <c r="F837" s="12"/>
      <c r="G837" s="12"/>
      <c r="H837" s="12"/>
      <c r="I837" s="12"/>
      <c r="J837" s="5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ht="15.75" customHeight="1">
      <c r="A838" s="12"/>
      <c r="B838" s="2"/>
      <c r="C838" s="12"/>
      <c r="D838" s="12"/>
      <c r="E838" s="9"/>
      <c r="F838" s="12"/>
      <c r="G838" s="12"/>
      <c r="H838" s="12"/>
      <c r="I838" s="12"/>
      <c r="J838" s="5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ht="15.75" customHeight="1">
      <c r="A839" s="12"/>
      <c r="B839" s="2"/>
      <c r="C839" s="12"/>
      <c r="D839" s="12"/>
      <c r="E839" s="9"/>
      <c r="F839" s="12"/>
      <c r="G839" s="12"/>
      <c r="H839" s="12"/>
      <c r="I839" s="12"/>
      <c r="J839" s="5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ht="15.75" customHeight="1">
      <c r="A840" s="12"/>
      <c r="B840" s="2"/>
      <c r="C840" s="12"/>
      <c r="D840" s="12"/>
      <c r="E840" s="9"/>
      <c r="F840" s="12"/>
      <c r="G840" s="12"/>
      <c r="H840" s="12"/>
      <c r="I840" s="12"/>
      <c r="J840" s="5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ht="15.75" customHeight="1">
      <c r="A841" s="12"/>
      <c r="B841" s="2"/>
      <c r="C841" s="12"/>
      <c r="D841" s="12"/>
      <c r="E841" s="9"/>
      <c r="F841" s="12"/>
      <c r="G841" s="12"/>
      <c r="H841" s="12"/>
      <c r="I841" s="12"/>
      <c r="J841" s="5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ht="15.75" customHeight="1">
      <c r="A842" s="12"/>
      <c r="B842" s="2"/>
      <c r="C842" s="12"/>
      <c r="D842" s="12"/>
      <c r="E842" s="9"/>
      <c r="F842" s="12"/>
      <c r="G842" s="12"/>
      <c r="H842" s="12"/>
      <c r="I842" s="12"/>
      <c r="J842" s="5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ht="15.75" customHeight="1">
      <c r="A843" s="12"/>
      <c r="B843" s="2"/>
      <c r="C843" s="12"/>
      <c r="D843" s="12"/>
      <c r="E843" s="9"/>
      <c r="F843" s="12"/>
      <c r="G843" s="12"/>
      <c r="H843" s="12"/>
      <c r="I843" s="12"/>
      <c r="J843" s="5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ht="15.75" customHeight="1">
      <c r="A844" s="12"/>
      <c r="B844" s="2"/>
      <c r="C844" s="12"/>
      <c r="D844" s="12"/>
      <c r="E844" s="9"/>
      <c r="F844" s="12"/>
      <c r="G844" s="12"/>
      <c r="H844" s="12"/>
      <c r="I844" s="12"/>
      <c r="J844" s="5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ht="15.75" customHeight="1">
      <c r="A845" s="12"/>
      <c r="B845" s="2"/>
      <c r="C845" s="12"/>
      <c r="D845" s="12"/>
      <c r="E845" s="9"/>
      <c r="F845" s="12"/>
      <c r="G845" s="12"/>
      <c r="H845" s="12"/>
      <c r="I845" s="12"/>
      <c r="J845" s="5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ht="15.75" customHeight="1">
      <c r="A846" s="12"/>
      <c r="B846" s="2"/>
      <c r="C846" s="12"/>
      <c r="D846" s="12"/>
      <c r="E846" s="9"/>
      <c r="F846" s="12"/>
      <c r="G846" s="12"/>
      <c r="H846" s="12"/>
      <c r="I846" s="12"/>
      <c r="J846" s="5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ht="15.75" customHeight="1">
      <c r="A847" s="12"/>
      <c r="B847" s="2"/>
      <c r="C847" s="12"/>
      <c r="D847" s="12"/>
      <c r="E847" s="9"/>
      <c r="F847" s="12"/>
      <c r="G847" s="12"/>
      <c r="H847" s="12"/>
      <c r="I847" s="12"/>
      <c r="J847" s="5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ht="15.75" customHeight="1">
      <c r="A848" s="12"/>
      <c r="B848" s="2"/>
      <c r="C848" s="12"/>
      <c r="D848" s="12"/>
      <c r="E848" s="9"/>
      <c r="F848" s="12"/>
      <c r="G848" s="12"/>
      <c r="H848" s="12"/>
      <c r="I848" s="12"/>
      <c r="J848" s="5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ht="15.75" customHeight="1">
      <c r="A849" s="12"/>
      <c r="B849" s="2"/>
      <c r="C849" s="12"/>
      <c r="D849" s="12"/>
      <c r="E849" s="9"/>
      <c r="F849" s="12"/>
      <c r="G849" s="12"/>
      <c r="H849" s="12"/>
      <c r="I849" s="12"/>
      <c r="J849" s="5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ht="15.75" customHeight="1">
      <c r="A850" s="12"/>
      <c r="B850" s="2"/>
      <c r="C850" s="12"/>
      <c r="D850" s="12"/>
      <c r="E850" s="9"/>
      <c r="F850" s="12"/>
      <c r="G850" s="12"/>
      <c r="H850" s="12"/>
      <c r="I850" s="12"/>
      <c r="J850" s="5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ht="15.75" customHeight="1">
      <c r="A851" s="12"/>
      <c r="B851" s="2"/>
      <c r="C851" s="12"/>
      <c r="D851" s="12"/>
      <c r="E851" s="9"/>
      <c r="F851" s="12"/>
      <c r="G851" s="12"/>
      <c r="H851" s="12"/>
      <c r="I851" s="12"/>
      <c r="J851" s="5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ht="15.75" customHeight="1">
      <c r="A852" s="12"/>
      <c r="B852" s="2"/>
      <c r="C852" s="12"/>
      <c r="D852" s="12"/>
      <c r="E852" s="9"/>
      <c r="F852" s="12"/>
      <c r="G852" s="12"/>
      <c r="H852" s="12"/>
      <c r="I852" s="12"/>
      <c r="J852" s="5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ht="15.75" customHeight="1">
      <c r="A853" s="12"/>
      <c r="B853" s="2"/>
      <c r="C853" s="12"/>
      <c r="D853" s="12"/>
      <c r="E853" s="9"/>
      <c r="F853" s="12"/>
      <c r="G853" s="12"/>
      <c r="H853" s="12"/>
      <c r="I853" s="12"/>
      <c r="J853" s="5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ht="15.75" customHeight="1">
      <c r="A854" s="12"/>
      <c r="B854" s="2"/>
      <c r="C854" s="12"/>
      <c r="D854" s="12"/>
      <c r="E854" s="9"/>
      <c r="F854" s="12"/>
      <c r="G854" s="12"/>
      <c r="H854" s="12"/>
      <c r="I854" s="12"/>
      <c r="J854" s="5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ht="15.75" customHeight="1">
      <c r="A855" s="12"/>
      <c r="B855" s="2"/>
      <c r="C855" s="12"/>
      <c r="D855" s="12"/>
      <c r="E855" s="9"/>
      <c r="F855" s="12"/>
      <c r="G855" s="12"/>
      <c r="H855" s="12"/>
      <c r="I855" s="12"/>
      <c r="J855" s="5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ht="15.75" customHeight="1">
      <c r="A856" s="12"/>
      <c r="B856" s="2"/>
      <c r="C856" s="12"/>
      <c r="D856" s="12"/>
      <c r="E856" s="9"/>
      <c r="F856" s="12"/>
      <c r="G856" s="12"/>
      <c r="H856" s="12"/>
      <c r="I856" s="12"/>
      <c r="J856" s="5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ht="15.75" customHeight="1">
      <c r="A857" s="12"/>
      <c r="B857" s="2"/>
      <c r="C857" s="12"/>
      <c r="D857" s="12"/>
      <c r="E857" s="9"/>
      <c r="F857" s="12"/>
      <c r="G857" s="12"/>
      <c r="H857" s="12"/>
      <c r="I857" s="12"/>
      <c r="J857" s="5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ht="15.75" customHeight="1">
      <c r="A858" s="12"/>
      <c r="B858" s="2"/>
      <c r="C858" s="12"/>
      <c r="D858" s="12"/>
      <c r="E858" s="9"/>
      <c r="F858" s="12"/>
      <c r="G858" s="12"/>
      <c r="H858" s="12"/>
      <c r="I858" s="12"/>
      <c r="J858" s="5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ht="15.75" customHeight="1">
      <c r="A859" s="12"/>
      <c r="B859" s="2"/>
      <c r="C859" s="12"/>
      <c r="D859" s="12"/>
      <c r="E859" s="9"/>
      <c r="F859" s="12"/>
      <c r="G859" s="12"/>
      <c r="H859" s="12"/>
      <c r="I859" s="12"/>
      <c r="J859" s="5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ht="15.75" customHeight="1">
      <c r="A860" s="12"/>
      <c r="B860" s="2"/>
      <c r="C860" s="12"/>
      <c r="D860" s="12"/>
      <c r="E860" s="9"/>
      <c r="F860" s="12"/>
      <c r="G860" s="12"/>
      <c r="H860" s="12"/>
      <c r="I860" s="12"/>
      <c r="J860" s="5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ht="15.75" customHeight="1">
      <c r="A861" s="12"/>
      <c r="B861" s="2"/>
      <c r="C861" s="12"/>
      <c r="D861" s="12"/>
      <c r="E861" s="9"/>
      <c r="F861" s="12"/>
      <c r="G861" s="12"/>
      <c r="H861" s="12"/>
      <c r="I861" s="12"/>
      <c r="J861" s="5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ht="15.75" customHeight="1">
      <c r="A862" s="12"/>
      <c r="B862" s="2"/>
      <c r="C862" s="12"/>
      <c r="D862" s="12"/>
      <c r="E862" s="9"/>
      <c r="F862" s="12"/>
      <c r="G862" s="12"/>
      <c r="H862" s="12"/>
      <c r="I862" s="12"/>
      <c r="J862" s="5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ht="15.75" customHeight="1">
      <c r="A863" s="12"/>
      <c r="B863" s="2"/>
      <c r="C863" s="12"/>
      <c r="D863" s="12"/>
      <c r="E863" s="9"/>
      <c r="F863" s="12"/>
      <c r="G863" s="12"/>
      <c r="H863" s="12"/>
      <c r="I863" s="12"/>
      <c r="J863" s="5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ht="15.75" customHeight="1">
      <c r="A864" s="12"/>
      <c r="B864" s="2"/>
      <c r="C864" s="12"/>
      <c r="D864" s="12"/>
      <c r="E864" s="9"/>
      <c r="F864" s="12"/>
      <c r="G864" s="12"/>
      <c r="H864" s="12"/>
      <c r="I864" s="12"/>
      <c r="J864" s="5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ht="15.75" customHeight="1">
      <c r="A865" s="12"/>
      <c r="B865" s="2"/>
      <c r="C865" s="12"/>
      <c r="D865" s="12"/>
      <c r="E865" s="9"/>
      <c r="F865" s="12"/>
      <c r="G865" s="12"/>
      <c r="H865" s="12"/>
      <c r="I865" s="12"/>
      <c r="J865" s="5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ht="15.75" customHeight="1">
      <c r="A866" s="12"/>
      <c r="B866" s="2"/>
      <c r="C866" s="12"/>
      <c r="D866" s="12"/>
      <c r="E866" s="9"/>
      <c r="F866" s="12"/>
      <c r="G866" s="12"/>
      <c r="H866" s="12"/>
      <c r="I866" s="12"/>
      <c r="J866" s="5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ht="15.75" customHeight="1">
      <c r="A867" s="12"/>
      <c r="B867" s="2"/>
      <c r="C867" s="12"/>
      <c r="D867" s="12"/>
      <c r="E867" s="9"/>
      <c r="F867" s="12"/>
      <c r="G867" s="12"/>
      <c r="H867" s="12"/>
      <c r="I867" s="12"/>
      <c r="J867" s="5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ht="15.75" customHeight="1">
      <c r="A868" s="12"/>
      <c r="B868" s="2"/>
      <c r="C868" s="12"/>
      <c r="D868" s="12"/>
      <c r="E868" s="9"/>
      <c r="F868" s="12"/>
      <c r="G868" s="12"/>
      <c r="H868" s="12"/>
      <c r="I868" s="12"/>
      <c r="J868" s="5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ht="15.75" customHeight="1">
      <c r="A869" s="12"/>
      <c r="B869" s="2"/>
      <c r="C869" s="12"/>
      <c r="D869" s="12"/>
      <c r="E869" s="9"/>
      <c r="F869" s="12"/>
      <c r="G869" s="12"/>
      <c r="H869" s="12"/>
      <c r="I869" s="12"/>
      <c r="J869" s="5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ht="15.75" customHeight="1">
      <c r="A870" s="12"/>
      <c r="B870" s="2"/>
      <c r="C870" s="12"/>
      <c r="D870" s="12"/>
      <c r="E870" s="9"/>
      <c r="F870" s="12"/>
      <c r="G870" s="12"/>
      <c r="H870" s="12"/>
      <c r="I870" s="12"/>
      <c r="J870" s="5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ht="15.75" customHeight="1">
      <c r="A871" s="12"/>
      <c r="B871" s="2"/>
      <c r="C871" s="12"/>
      <c r="D871" s="12"/>
      <c r="E871" s="9"/>
      <c r="F871" s="12"/>
      <c r="G871" s="12"/>
      <c r="H871" s="12"/>
      <c r="I871" s="12"/>
      <c r="J871" s="5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ht="15.75" customHeight="1">
      <c r="A872" s="12"/>
      <c r="B872" s="2"/>
      <c r="C872" s="12"/>
      <c r="D872" s="12"/>
      <c r="E872" s="9"/>
      <c r="F872" s="12"/>
      <c r="G872" s="12"/>
      <c r="H872" s="12"/>
      <c r="I872" s="12"/>
      <c r="J872" s="5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ht="15.75" customHeight="1">
      <c r="A873" s="12"/>
      <c r="B873" s="2"/>
      <c r="C873" s="12"/>
      <c r="D873" s="12"/>
      <c r="E873" s="9"/>
      <c r="F873" s="12"/>
      <c r="G873" s="12"/>
      <c r="H873" s="12"/>
      <c r="I873" s="12"/>
      <c r="J873" s="5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ht="15.75" customHeight="1">
      <c r="A874" s="12"/>
      <c r="B874" s="2"/>
      <c r="C874" s="12"/>
      <c r="D874" s="12"/>
      <c r="E874" s="9"/>
      <c r="F874" s="12"/>
      <c r="G874" s="12"/>
      <c r="H874" s="12"/>
      <c r="I874" s="12"/>
      <c r="J874" s="5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ht="15.75" customHeight="1">
      <c r="A875" s="12"/>
      <c r="B875" s="2"/>
      <c r="C875" s="12"/>
      <c r="D875" s="12"/>
      <c r="E875" s="9"/>
      <c r="F875" s="12"/>
      <c r="G875" s="12"/>
      <c r="H875" s="12"/>
      <c r="I875" s="12"/>
      <c r="J875" s="5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ht="15.75" customHeight="1">
      <c r="A876" s="12"/>
      <c r="B876" s="2"/>
      <c r="C876" s="12"/>
      <c r="D876" s="12"/>
      <c r="E876" s="9"/>
      <c r="F876" s="12"/>
      <c r="G876" s="12"/>
      <c r="H876" s="12"/>
      <c r="I876" s="12"/>
      <c r="J876" s="5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15.75" customHeight="1">
      <c r="A877" s="12"/>
      <c r="B877" s="2"/>
      <c r="C877" s="12"/>
      <c r="D877" s="12"/>
      <c r="E877" s="9"/>
      <c r="F877" s="12"/>
      <c r="G877" s="12"/>
      <c r="H877" s="12"/>
      <c r="I877" s="12"/>
      <c r="J877" s="5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ht="15.75" customHeight="1">
      <c r="A878" s="12"/>
      <c r="B878" s="2"/>
      <c r="C878" s="12"/>
      <c r="D878" s="12"/>
      <c r="E878" s="9"/>
      <c r="F878" s="12"/>
      <c r="G878" s="12"/>
      <c r="H878" s="12"/>
      <c r="I878" s="12"/>
      <c r="J878" s="5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ht="15.75" customHeight="1">
      <c r="A879" s="12"/>
      <c r="B879" s="2"/>
      <c r="C879" s="12"/>
      <c r="D879" s="12"/>
      <c r="E879" s="9"/>
      <c r="F879" s="12"/>
      <c r="G879" s="12"/>
      <c r="H879" s="12"/>
      <c r="I879" s="12"/>
      <c r="J879" s="5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ht="15.75" customHeight="1">
      <c r="A880" s="12"/>
      <c r="B880" s="2"/>
      <c r="C880" s="12"/>
      <c r="D880" s="12"/>
      <c r="E880" s="9"/>
      <c r="F880" s="12"/>
      <c r="G880" s="12"/>
      <c r="H880" s="12"/>
      <c r="I880" s="12"/>
      <c r="J880" s="5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ht="15.75" customHeight="1">
      <c r="A881" s="12"/>
      <c r="B881" s="2"/>
      <c r="C881" s="12"/>
      <c r="D881" s="12"/>
      <c r="E881" s="9"/>
      <c r="F881" s="12"/>
      <c r="G881" s="12"/>
      <c r="H881" s="12"/>
      <c r="I881" s="12"/>
      <c r="J881" s="5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ht="15.75" customHeight="1">
      <c r="A882" s="12"/>
      <c r="B882" s="2"/>
      <c r="C882" s="12"/>
      <c r="D882" s="12"/>
      <c r="E882" s="9"/>
      <c r="F882" s="12"/>
      <c r="G882" s="12"/>
      <c r="H882" s="12"/>
      <c r="I882" s="12"/>
      <c r="J882" s="5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ht="15.75" customHeight="1">
      <c r="A883" s="12"/>
      <c r="B883" s="2"/>
      <c r="C883" s="12"/>
      <c r="D883" s="12"/>
      <c r="E883" s="9"/>
      <c r="F883" s="12"/>
      <c r="G883" s="12"/>
      <c r="H883" s="12"/>
      <c r="I883" s="12"/>
      <c r="J883" s="5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ht="15.75" customHeight="1">
      <c r="A884" s="12"/>
      <c r="B884" s="2"/>
      <c r="C884" s="12"/>
      <c r="D884" s="12"/>
      <c r="E884" s="9"/>
      <c r="F884" s="12"/>
      <c r="G884" s="12"/>
      <c r="H884" s="12"/>
      <c r="I884" s="12"/>
      <c r="J884" s="5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ht="15.75" customHeight="1">
      <c r="A885" s="12"/>
      <c r="B885" s="2"/>
      <c r="C885" s="12"/>
      <c r="D885" s="12"/>
      <c r="E885" s="9"/>
      <c r="F885" s="12"/>
      <c r="G885" s="12"/>
      <c r="H885" s="12"/>
      <c r="I885" s="12"/>
      <c r="J885" s="5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ht="15.75" customHeight="1">
      <c r="A886" s="12"/>
      <c r="B886" s="2"/>
      <c r="C886" s="12"/>
      <c r="D886" s="12"/>
      <c r="E886" s="9"/>
      <c r="F886" s="12"/>
      <c r="G886" s="12"/>
      <c r="H886" s="12"/>
      <c r="I886" s="12"/>
      <c r="J886" s="5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ht="15.75" customHeight="1">
      <c r="A887" s="12"/>
      <c r="B887" s="2"/>
      <c r="C887" s="12"/>
      <c r="D887" s="12"/>
      <c r="E887" s="9"/>
      <c r="F887" s="12"/>
      <c r="G887" s="12"/>
      <c r="H887" s="12"/>
      <c r="I887" s="12"/>
      <c r="J887" s="5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ht="15.75" customHeight="1">
      <c r="A888" s="12"/>
      <c r="B888" s="2"/>
      <c r="C888" s="12"/>
      <c r="D888" s="12"/>
      <c r="E888" s="9"/>
      <c r="F888" s="12"/>
      <c r="G888" s="12"/>
      <c r="H888" s="12"/>
      <c r="I888" s="12"/>
      <c r="J888" s="5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ht="15.75" customHeight="1">
      <c r="A889" s="12"/>
      <c r="B889" s="2"/>
      <c r="C889" s="12"/>
      <c r="D889" s="12"/>
      <c r="E889" s="9"/>
      <c r="F889" s="12"/>
      <c r="G889" s="12"/>
      <c r="H889" s="12"/>
      <c r="I889" s="12"/>
      <c r="J889" s="5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ht="15.75" customHeight="1">
      <c r="A890" s="12"/>
      <c r="B890" s="2"/>
      <c r="C890" s="12"/>
      <c r="D890" s="12"/>
      <c r="E890" s="9"/>
      <c r="F890" s="12"/>
      <c r="G890" s="12"/>
      <c r="H890" s="12"/>
      <c r="I890" s="12"/>
      <c r="J890" s="5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ht="15.75" customHeight="1">
      <c r="A891" s="12"/>
      <c r="B891" s="2"/>
      <c r="C891" s="12"/>
      <c r="D891" s="12"/>
      <c r="E891" s="9"/>
      <c r="F891" s="12"/>
      <c r="G891" s="12"/>
      <c r="H891" s="12"/>
      <c r="I891" s="12"/>
      <c r="J891" s="5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ht="15.75" customHeight="1">
      <c r="A892" s="12"/>
      <c r="B892" s="2"/>
      <c r="C892" s="12"/>
      <c r="D892" s="12"/>
      <c r="E892" s="9"/>
      <c r="F892" s="12"/>
      <c r="G892" s="12"/>
      <c r="H892" s="12"/>
      <c r="I892" s="12"/>
      <c r="J892" s="5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ht="15.75" customHeight="1">
      <c r="A893" s="12"/>
      <c r="B893" s="2"/>
      <c r="C893" s="12"/>
      <c r="D893" s="12"/>
      <c r="E893" s="9"/>
      <c r="F893" s="12"/>
      <c r="G893" s="12"/>
      <c r="H893" s="12"/>
      <c r="I893" s="12"/>
      <c r="J893" s="5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ht="15.75" customHeight="1">
      <c r="A894" s="12"/>
      <c r="B894" s="2"/>
      <c r="C894" s="12"/>
      <c r="D894" s="12"/>
      <c r="E894" s="9"/>
      <c r="F894" s="12"/>
      <c r="G894" s="12"/>
      <c r="H894" s="12"/>
      <c r="I894" s="12"/>
      <c r="J894" s="5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ht="15.75" customHeight="1">
      <c r="A895" s="12"/>
      <c r="B895" s="2"/>
      <c r="C895" s="12"/>
      <c r="D895" s="12"/>
      <c r="E895" s="9"/>
      <c r="F895" s="12"/>
      <c r="G895" s="12"/>
      <c r="H895" s="12"/>
      <c r="I895" s="12"/>
      <c r="J895" s="5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ht="15.75" customHeight="1">
      <c r="A896" s="12"/>
      <c r="B896" s="2"/>
      <c r="C896" s="12"/>
      <c r="D896" s="12"/>
      <c r="E896" s="9"/>
      <c r="F896" s="12"/>
      <c r="G896" s="12"/>
      <c r="H896" s="12"/>
      <c r="I896" s="12"/>
      <c r="J896" s="5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ht="15.75" customHeight="1">
      <c r="A897" s="12"/>
      <c r="B897" s="2"/>
      <c r="C897" s="12"/>
      <c r="D897" s="12"/>
      <c r="E897" s="9"/>
      <c r="F897" s="12"/>
      <c r="G897" s="12"/>
      <c r="H897" s="12"/>
      <c r="I897" s="12"/>
      <c r="J897" s="5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ht="15.75" customHeight="1">
      <c r="A898" s="12"/>
      <c r="B898" s="2"/>
      <c r="C898" s="12"/>
      <c r="D898" s="12"/>
      <c r="E898" s="9"/>
      <c r="F898" s="12"/>
      <c r="G898" s="12"/>
      <c r="H898" s="12"/>
      <c r="I898" s="12"/>
      <c r="J898" s="5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ht="15.75" customHeight="1">
      <c r="A899" s="12"/>
      <c r="B899" s="2"/>
      <c r="C899" s="12"/>
      <c r="D899" s="12"/>
      <c r="E899" s="9"/>
      <c r="F899" s="12"/>
      <c r="G899" s="12"/>
      <c r="H899" s="12"/>
      <c r="I899" s="12"/>
      <c r="J899" s="5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ht="15.75" customHeight="1">
      <c r="A900" s="12"/>
      <c r="B900" s="2"/>
      <c r="C900" s="12"/>
      <c r="D900" s="12"/>
      <c r="E900" s="9"/>
      <c r="F900" s="12"/>
      <c r="G900" s="12"/>
      <c r="H900" s="12"/>
      <c r="I900" s="12"/>
      <c r="J900" s="5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ht="15.75" customHeight="1">
      <c r="A901" s="12"/>
      <c r="B901" s="2"/>
      <c r="C901" s="12"/>
      <c r="D901" s="12"/>
      <c r="E901" s="9"/>
      <c r="F901" s="12"/>
      <c r="G901" s="12"/>
      <c r="H901" s="12"/>
      <c r="I901" s="12"/>
      <c r="J901" s="5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ht="15.75" customHeight="1">
      <c r="A902" s="12"/>
      <c r="B902" s="2"/>
      <c r="C902" s="12"/>
      <c r="D902" s="12"/>
      <c r="E902" s="9"/>
      <c r="F902" s="12"/>
      <c r="G902" s="12"/>
      <c r="H902" s="12"/>
      <c r="I902" s="12"/>
      <c r="J902" s="5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ht="15.75" customHeight="1">
      <c r="A903" s="12"/>
      <c r="B903" s="2"/>
      <c r="C903" s="12"/>
      <c r="D903" s="12"/>
      <c r="E903" s="9"/>
      <c r="F903" s="12"/>
      <c r="G903" s="12"/>
      <c r="H903" s="12"/>
      <c r="I903" s="12"/>
      <c r="J903" s="5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ht="15.75" customHeight="1">
      <c r="A904" s="12"/>
      <c r="B904" s="2"/>
      <c r="C904" s="12"/>
      <c r="D904" s="12"/>
      <c r="E904" s="9"/>
      <c r="F904" s="12"/>
      <c r="G904" s="12"/>
      <c r="H904" s="12"/>
      <c r="I904" s="12"/>
      <c r="J904" s="5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ht="15.75" customHeight="1">
      <c r="A905" s="12"/>
      <c r="B905" s="2"/>
      <c r="C905" s="12"/>
      <c r="D905" s="12"/>
      <c r="E905" s="9"/>
      <c r="F905" s="12"/>
      <c r="G905" s="12"/>
      <c r="H905" s="12"/>
      <c r="I905" s="12"/>
      <c r="J905" s="5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ht="15.75" customHeight="1">
      <c r="A906" s="12"/>
      <c r="B906" s="2"/>
      <c r="C906" s="12"/>
      <c r="D906" s="12"/>
      <c r="E906" s="9"/>
      <c r="F906" s="12"/>
      <c r="G906" s="12"/>
      <c r="H906" s="12"/>
      <c r="I906" s="12"/>
      <c r="J906" s="5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ht="15.75" customHeight="1">
      <c r="A907" s="12"/>
      <c r="B907" s="2"/>
      <c r="C907" s="12"/>
      <c r="D907" s="12"/>
      <c r="E907" s="9"/>
      <c r="F907" s="12"/>
      <c r="G907" s="12"/>
      <c r="H907" s="12"/>
      <c r="I907" s="12"/>
      <c r="J907" s="5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ht="15.75" customHeight="1">
      <c r="A908" s="12"/>
      <c r="B908" s="2"/>
      <c r="C908" s="12"/>
      <c r="D908" s="12"/>
      <c r="E908" s="9"/>
      <c r="F908" s="12"/>
      <c r="G908" s="12"/>
      <c r="H908" s="12"/>
      <c r="I908" s="12"/>
      <c r="J908" s="5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ht="15.75" customHeight="1">
      <c r="A909" s="12"/>
      <c r="B909" s="2"/>
      <c r="C909" s="12"/>
      <c r="D909" s="12"/>
      <c r="E909" s="9"/>
      <c r="F909" s="12"/>
      <c r="G909" s="12"/>
      <c r="H909" s="12"/>
      <c r="I909" s="12"/>
      <c r="J909" s="5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ht="15.75" customHeight="1">
      <c r="A910" s="12"/>
      <c r="B910" s="2"/>
      <c r="C910" s="12"/>
      <c r="D910" s="12"/>
      <c r="E910" s="9"/>
      <c r="F910" s="12"/>
      <c r="G910" s="12"/>
      <c r="H910" s="12"/>
      <c r="I910" s="12"/>
      <c r="J910" s="5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ht="15.75" customHeight="1">
      <c r="A911" s="12"/>
      <c r="B911" s="2"/>
      <c r="C911" s="12"/>
      <c r="D911" s="12"/>
      <c r="E911" s="9"/>
      <c r="F911" s="12"/>
      <c r="G911" s="12"/>
      <c r="H911" s="12"/>
      <c r="I911" s="12"/>
      <c r="J911" s="5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ht="15.75" customHeight="1">
      <c r="A912" s="12"/>
      <c r="B912" s="2"/>
      <c r="C912" s="12"/>
      <c r="D912" s="12"/>
      <c r="E912" s="9"/>
      <c r="F912" s="12"/>
      <c r="G912" s="12"/>
      <c r="H912" s="12"/>
      <c r="I912" s="12"/>
      <c r="J912" s="5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ht="15.75" customHeight="1">
      <c r="A913" s="12"/>
      <c r="B913" s="2"/>
      <c r="C913" s="12"/>
      <c r="D913" s="12"/>
      <c r="E913" s="9"/>
      <c r="F913" s="12"/>
      <c r="G913" s="12"/>
      <c r="H913" s="12"/>
      <c r="I913" s="12"/>
      <c r="J913" s="5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ht="15.75" customHeight="1">
      <c r="A914" s="12"/>
      <c r="B914" s="2"/>
      <c r="C914" s="12"/>
      <c r="D914" s="12"/>
      <c r="E914" s="9"/>
      <c r="F914" s="12"/>
      <c r="G914" s="12"/>
      <c r="H914" s="12"/>
      <c r="I914" s="12"/>
      <c r="J914" s="5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ht="15.75" customHeight="1">
      <c r="A915" s="12"/>
      <c r="B915" s="2"/>
      <c r="C915" s="12"/>
      <c r="D915" s="12"/>
      <c r="E915" s="9"/>
      <c r="F915" s="12"/>
      <c r="G915" s="12"/>
      <c r="H915" s="12"/>
      <c r="I915" s="12"/>
      <c r="J915" s="5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ht="15.75" customHeight="1">
      <c r="A916" s="12"/>
      <c r="B916" s="2"/>
      <c r="C916" s="12"/>
      <c r="D916" s="12"/>
      <c r="E916" s="9"/>
      <c r="F916" s="12"/>
      <c r="G916" s="12"/>
      <c r="H916" s="12"/>
      <c r="I916" s="12"/>
      <c r="J916" s="5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ht="15.75" customHeight="1">
      <c r="A917" s="12"/>
      <c r="B917" s="2"/>
      <c r="C917" s="12"/>
      <c r="D917" s="12"/>
      <c r="E917" s="9"/>
      <c r="F917" s="12"/>
      <c r="G917" s="12"/>
      <c r="H917" s="12"/>
      <c r="I917" s="12"/>
      <c r="J917" s="5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ht="15.75" customHeight="1">
      <c r="A918" s="12"/>
      <c r="B918" s="2"/>
      <c r="C918" s="12"/>
      <c r="D918" s="12"/>
      <c r="E918" s="9"/>
      <c r="F918" s="12"/>
      <c r="G918" s="12"/>
      <c r="H918" s="12"/>
      <c r="I918" s="12"/>
      <c r="J918" s="5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ht="15.75" customHeight="1">
      <c r="A919" s="12"/>
      <c r="B919" s="2"/>
      <c r="C919" s="12"/>
      <c r="D919" s="12"/>
      <c r="E919" s="9"/>
      <c r="F919" s="12"/>
      <c r="G919" s="12"/>
      <c r="H919" s="12"/>
      <c r="I919" s="12"/>
      <c r="J919" s="5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ht="15.75" customHeight="1">
      <c r="A920" s="12"/>
      <c r="B920" s="2"/>
      <c r="C920" s="12"/>
      <c r="D920" s="12"/>
      <c r="E920" s="9"/>
      <c r="F920" s="12"/>
      <c r="G920" s="12"/>
      <c r="H920" s="12"/>
      <c r="I920" s="12"/>
      <c r="J920" s="5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ht="15.75" customHeight="1">
      <c r="A921" s="12"/>
      <c r="B921" s="2"/>
      <c r="C921" s="12"/>
      <c r="D921" s="12"/>
      <c r="E921" s="9"/>
      <c r="F921" s="12"/>
      <c r="G921" s="12"/>
      <c r="H921" s="12"/>
      <c r="I921" s="12"/>
      <c r="J921" s="5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ht="15.75" customHeight="1">
      <c r="A922" s="12"/>
      <c r="B922" s="2"/>
      <c r="C922" s="12"/>
      <c r="D922" s="12"/>
      <c r="E922" s="9"/>
      <c r="F922" s="12"/>
      <c r="G922" s="12"/>
      <c r="H922" s="12"/>
      <c r="I922" s="12"/>
      <c r="J922" s="5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ht="15.75" customHeight="1">
      <c r="A923" s="12"/>
      <c r="B923" s="2"/>
      <c r="C923" s="12"/>
      <c r="D923" s="12"/>
      <c r="E923" s="9"/>
      <c r="F923" s="12"/>
      <c r="G923" s="12"/>
      <c r="H923" s="12"/>
      <c r="I923" s="12"/>
      <c r="J923" s="5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ht="15.75" customHeight="1">
      <c r="A924" s="12"/>
      <c r="B924" s="2"/>
      <c r="C924" s="12"/>
      <c r="D924" s="12"/>
      <c r="E924" s="9"/>
      <c r="F924" s="12"/>
      <c r="G924" s="12"/>
      <c r="H924" s="12"/>
      <c r="I924" s="12"/>
      <c r="J924" s="5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ht="15.75" customHeight="1">
      <c r="A925" s="12"/>
      <c r="B925" s="2"/>
      <c r="C925" s="12"/>
      <c r="D925" s="12"/>
      <c r="E925" s="9"/>
      <c r="F925" s="12"/>
      <c r="G925" s="12"/>
      <c r="H925" s="12"/>
      <c r="I925" s="12"/>
      <c r="J925" s="5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ht="15.75" customHeight="1">
      <c r="A926" s="12"/>
      <c r="B926" s="2"/>
      <c r="C926" s="12"/>
      <c r="D926" s="12"/>
      <c r="E926" s="9"/>
      <c r="F926" s="12"/>
      <c r="G926" s="12"/>
      <c r="H926" s="12"/>
      <c r="I926" s="12"/>
      <c r="J926" s="5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ht="15.75" customHeight="1">
      <c r="A927" s="12"/>
      <c r="B927" s="2"/>
      <c r="C927" s="12"/>
      <c r="D927" s="12"/>
      <c r="E927" s="9"/>
      <c r="F927" s="12"/>
      <c r="G927" s="12"/>
      <c r="H927" s="12"/>
      <c r="I927" s="12"/>
      <c r="J927" s="5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ht="15.75" customHeight="1">
      <c r="A928" s="12"/>
      <c r="B928" s="2"/>
      <c r="C928" s="12"/>
      <c r="D928" s="12"/>
      <c r="E928" s="9"/>
      <c r="F928" s="12"/>
      <c r="G928" s="12"/>
      <c r="H928" s="12"/>
      <c r="I928" s="12"/>
      <c r="J928" s="5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ht="15.75" customHeight="1">
      <c r="A929" s="12"/>
      <c r="B929" s="2"/>
      <c r="C929" s="12"/>
      <c r="D929" s="12"/>
      <c r="E929" s="9"/>
      <c r="F929" s="12"/>
      <c r="G929" s="12"/>
      <c r="H929" s="12"/>
      <c r="I929" s="12"/>
      <c r="J929" s="5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ht="15.75" customHeight="1">
      <c r="A930" s="12"/>
      <c r="B930" s="2"/>
      <c r="C930" s="12"/>
      <c r="D930" s="12"/>
      <c r="E930" s="9"/>
      <c r="F930" s="12"/>
      <c r="G930" s="12"/>
      <c r="H930" s="12"/>
      <c r="I930" s="12"/>
      <c r="J930" s="5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ht="15.75" customHeight="1">
      <c r="A931" s="12"/>
      <c r="B931" s="2"/>
      <c r="C931" s="12"/>
      <c r="D931" s="12"/>
      <c r="E931" s="9"/>
      <c r="F931" s="12"/>
      <c r="G931" s="12"/>
      <c r="H931" s="12"/>
      <c r="I931" s="12"/>
      <c r="J931" s="5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ht="15.75" customHeight="1">
      <c r="A932" s="12"/>
      <c r="B932" s="2"/>
      <c r="C932" s="12"/>
      <c r="D932" s="12"/>
      <c r="E932" s="9"/>
      <c r="F932" s="12"/>
      <c r="G932" s="12"/>
      <c r="H932" s="12"/>
      <c r="I932" s="12"/>
      <c r="J932" s="5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ht="15.75" customHeight="1">
      <c r="A933" s="12"/>
      <c r="B933" s="2"/>
      <c r="C933" s="12"/>
      <c r="D933" s="12"/>
      <c r="E933" s="9"/>
      <c r="F933" s="12"/>
      <c r="G933" s="12"/>
      <c r="H933" s="12"/>
      <c r="I933" s="12"/>
      <c r="J933" s="5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ht="15.75" customHeight="1">
      <c r="A934" s="12"/>
      <c r="B934" s="2"/>
      <c r="C934" s="12"/>
      <c r="D934" s="12"/>
      <c r="E934" s="9"/>
      <c r="F934" s="12"/>
      <c r="G934" s="12"/>
      <c r="H934" s="12"/>
      <c r="I934" s="12"/>
      <c r="J934" s="5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ht="15.75" customHeight="1">
      <c r="A935" s="12"/>
      <c r="B935" s="2"/>
      <c r="C935" s="12"/>
      <c r="D935" s="12"/>
      <c r="E935" s="9"/>
      <c r="F935" s="12"/>
      <c r="G935" s="12"/>
      <c r="H935" s="12"/>
      <c r="I935" s="12"/>
      <c r="J935" s="5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ht="15.75" customHeight="1">
      <c r="A936" s="12"/>
      <c r="B936" s="2"/>
      <c r="C936" s="12"/>
      <c r="D936" s="12"/>
      <c r="E936" s="9"/>
      <c r="F936" s="12"/>
      <c r="G936" s="12"/>
      <c r="H936" s="12"/>
      <c r="I936" s="12"/>
      <c r="J936" s="5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ht="15.75" customHeight="1">
      <c r="A937" s="12"/>
      <c r="B937" s="2"/>
      <c r="C937" s="12"/>
      <c r="D937" s="12"/>
      <c r="E937" s="9"/>
      <c r="F937" s="12"/>
      <c r="G937" s="12"/>
      <c r="H937" s="12"/>
      <c r="I937" s="12"/>
      <c r="J937" s="5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ht="15.75" customHeight="1">
      <c r="A938" s="12"/>
      <c r="B938" s="2"/>
      <c r="C938" s="12"/>
      <c r="D938" s="12"/>
      <c r="E938" s="9"/>
      <c r="F938" s="12"/>
      <c r="G938" s="12"/>
      <c r="H938" s="12"/>
      <c r="I938" s="12"/>
      <c r="J938" s="5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ht="15.75" customHeight="1">
      <c r="A939" s="12"/>
      <c r="B939" s="2"/>
      <c r="C939" s="12"/>
      <c r="D939" s="12"/>
      <c r="E939" s="9"/>
      <c r="F939" s="12"/>
      <c r="G939" s="12"/>
      <c r="H939" s="12"/>
      <c r="I939" s="12"/>
      <c r="J939" s="5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ht="15.75" customHeight="1">
      <c r="A940" s="12"/>
      <c r="B940" s="2"/>
      <c r="C940" s="12"/>
      <c r="D940" s="12"/>
      <c r="E940" s="9"/>
      <c r="F940" s="12"/>
      <c r="G940" s="12"/>
      <c r="H940" s="12"/>
      <c r="I940" s="12"/>
      <c r="J940" s="5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ht="15.75" customHeight="1">
      <c r="A941" s="12"/>
      <c r="B941" s="2"/>
      <c r="C941" s="12"/>
      <c r="D941" s="12"/>
      <c r="E941" s="9"/>
      <c r="F941" s="12"/>
      <c r="G941" s="12"/>
      <c r="H941" s="12"/>
      <c r="I941" s="12"/>
      <c r="J941" s="5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ht="15.75" customHeight="1">
      <c r="A942" s="12"/>
      <c r="B942" s="2"/>
      <c r="C942" s="12"/>
      <c r="D942" s="12"/>
      <c r="E942" s="9"/>
      <c r="F942" s="12"/>
      <c r="G942" s="12"/>
      <c r="H942" s="12"/>
      <c r="I942" s="12"/>
      <c r="J942" s="5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ht="15.75" customHeight="1">
      <c r="A943" s="12"/>
      <c r="B943" s="2"/>
      <c r="C943" s="12"/>
      <c r="D943" s="12"/>
      <c r="E943" s="9"/>
      <c r="F943" s="12"/>
      <c r="G943" s="12"/>
      <c r="H943" s="12"/>
      <c r="I943" s="12"/>
      <c r="J943" s="5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ht="15.75" customHeight="1">
      <c r="A944" s="12"/>
      <c r="B944" s="2"/>
      <c r="C944" s="12"/>
      <c r="D944" s="12"/>
      <c r="E944" s="9"/>
      <c r="F944" s="12"/>
      <c r="G944" s="12"/>
      <c r="H944" s="12"/>
      <c r="I944" s="12"/>
      <c r="J944" s="5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ht="15.75" customHeight="1">
      <c r="A945" s="12"/>
      <c r="B945" s="2"/>
      <c r="C945" s="12"/>
      <c r="D945" s="12"/>
      <c r="E945" s="9"/>
      <c r="F945" s="12"/>
      <c r="G945" s="12"/>
      <c r="H945" s="12"/>
      <c r="I945" s="12"/>
      <c r="J945" s="5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ht="15.75" customHeight="1">
      <c r="A946" s="12"/>
      <c r="B946" s="2"/>
      <c r="C946" s="12"/>
      <c r="D946" s="12"/>
      <c r="E946" s="9"/>
      <c r="F946" s="12"/>
      <c r="G946" s="12"/>
      <c r="H946" s="12"/>
      <c r="I946" s="12"/>
      <c r="J946" s="5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ht="15.75" customHeight="1">
      <c r="A947" s="12"/>
      <c r="B947" s="2"/>
      <c r="C947" s="12"/>
      <c r="D947" s="12"/>
      <c r="E947" s="9"/>
      <c r="F947" s="12"/>
      <c r="G947" s="12"/>
      <c r="H947" s="12"/>
      <c r="I947" s="12"/>
      <c r="J947" s="5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ht="15.75" customHeight="1">
      <c r="A948" s="12"/>
      <c r="B948" s="2"/>
      <c r="C948" s="12"/>
      <c r="D948" s="12"/>
      <c r="E948" s="9"/>
      <c r="F948" s="12"/>
      <c r="G948" s="12"/>
      <c r="H948" s="12"/>
      <c r="I948" s="12"/>
      <c r="J948" s="5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ht="15.75" customHeight="1">
      <c r="A949" s="12"/>
      <c r="B949" s="2"/>
      <c r="C949" s="12"/>
      <c r="D949" s="12"/>
      <c r="E949" s="9"/>
      <c r="F949" s="12"/>
      <c r="G949" s="12"/>
      <c r="H949" s="12"/>
      <c r="I949" s="12"/>
      <c r="J949" s="5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ht="15.75" customHeight="1">
      <c r="A950" s="12"/>
      <c r="B950" s="2"/>
      <c r="C950" s="12"/>
      <c r="D950" s="12"/>
      <c r="E950" s="9"/>
      <c r="F950" s="12"/>
      <c r="G950" s="12"/>
      <c r="H950" s="12"/>
      <c r="I950" s="12"/>
      <c r="J950" s="5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ht="15.75" customHeight="1">
      <c r="A951" s="12"/>
      <c r="B951" s="2"/>
      <c r="C951" s="12"/>
      <c r="D951" s="12"/>
      <c r="E951" s="9"/>
      <c r="F951" s="12"/>
      <c r="G951" s="12"/>
      <c r="H951" s="12"/>
      <c r="I951" s="12"/>
      <c r="J951" s="5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ht="15.75" customHeight="1">
      <c r="A952" s="12"/>
      <c r="B952" s="2"/>
      <c r="C952" s="12"/>
      <c r="D952" s="12"/>
      <c r="E952" s="9"/>
      <c r="F952" s="12"/>
      <c r="G952" s="12"/>
      <c r="H952" s="12"/>
      <c r="I952" s="12"/>
      <c r="J952" s="5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ht="15.75" customHeight="1">
      <c r="A953" s="12"/>
      <c r="B953" s="2"/>
      <c r="C953" s="12"/>
      <c r="D953" s="12"/>
      <c r="E953" s="9"/>
      <c r="F953" s="12"/>
      <c r="G953" s="12"/>
      <c r="H953" s="12"/>
      <c r="I953" s="12"/>
      <c r="J953" s="5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ht="15.75" customHeight="1">
      <c r="A954" s="12"/>
      <c r="B954" s="2"/>
      <c r="C954" s="12"/>
      <c r="D954" s="12"/>
      <c r="E954" s="9"/>
      <c r="F954" s="12"/>
      <c r="G954" s="12"/>
      <c r="H954" s="12"/>
      <c r="I954" s="12"/>
      <c r="J954" s="5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ht="15.75" customHeight="1">
      <c r="A955" s="12"/>
      <c r="B955" s="2"/>
      <c r="C955" s="12"/>
      <c r="D955" s="12"/>
      <c r="E955" s="9"/>
      <c r="F955" s="12"/>
      <c r="G955" s="12"/>
      <c r="H955" s="12"/>
      <c r="I955" s="12"/>
      <c r="J955" s="5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ht="15.75" customHeight="1">
      <c r="A956" s="12"/>
      <c r="B956" s="2"/>
      <c r="C956" s="12"/>
      <c r="D956" s="12"/>
      <c r="E956" s="9"/>
      <c r="F956" s="12"/>
      <c r="G956" s="12"/>
      <c r="H956" s="12"/>
      <c r="I956" s="12"/>
      <c r="J956" s="5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ht="15.75" customHeight="1">
      <c r="A957" s="12"/>
      <c r="B957" s="2"/>
      <c r="C957" s="12"/>
      <c r="D957" s="12"/>
      <c r="E957" s="9"/>
      <c r="F957" s="12"/>
      <c r="G957" s="12"/>
      <c r="H957" s="12"/>
      <c r="I957" s="12"/>
      <c r="J957" s="5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ht="15.75" customHeight="1">
      <c r="A958" s="12"/>
      <c r="B958" s="2"/>
      <c r="C958" s="12"/>
      <c r="D958" s="12"/>
      <c r="E958" s="9"/>
      <c r="F958" s="12"/>
      <c r="G958" s="12"/>
      <c r="H958" s="12"/>
      <c r="I958" s="12"/>
      <c r="J958" s="5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ht="15.75" customHeight="1">
      <c r="A959" s="12"/>
      <c r="B959" s="2"/>
      <c r="C959" s="12"/>
      <c r="D959" s="12"/>
      <c r="E959" s="9"/>
      <c r="F959" s="12"/>
      <c r="G959" s="12"/>
      <c r="H959" s="12"/>
      <c r="I959" s="12"/>
      <c r="J959" s="5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ht="15.75" customHeight="1">
      <c r="A960" s="12"/>
      <c r="B960" s="2"/>
      <c r="C960" s="12"/>
      <c r="D960" s="12"/>
      <c r="E960" s="9"/>
      <c r="F960" s="12"/>
      <c r="G960" s="12"/>
      <c r="H960" s="12"/>
      <c r="I960" s="12"/>
      <c r="J960" s="5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ht="15.75" customHeight="1">
      <c r="A961" s="12"/>
      <c r="B961" s="2"/>
      <c r="C961" s="12"/>
      <c r="D961" s="12"/>
      <c r="E961" s="9"/>
      <c r="F961" s="12"/>
      <c r="G961" s="12"/>
      <c r="H961" s="12"/>
      <c r="I961" s="12"/>
      <c r="J961" s="5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ht="15.75" customHeight="1">
      <c r="A962" s="12"/>
      <c r="B962" s="2"/>
      <c r="C962" s="12"/>
      <c r="D962" s="12"/>
      <c r="E962" s="9"/>
      <c r="F962" s="12"/>
      <c r="G962" s="12"/>
      <c r="H962" s="12"/>
      <c r="I962" s="12"/>
      <c r="J962" s="5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ht="15.75" customHeight="1">
      <c r="A963" s="12"/>
      <c r="B963" s="2"/>
      <c r="C963" s="12"/>
      <c r="D963" s="12"/>
      <c r="E963" s="9"/>
      <c r="F963" s="12"/>
      <c r="G963" s="12"/>
      <c r="H963" s="12"/>
      <c r="I963" s="12"/>
      <c r="J963" s="5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ht="15.75" customHeight="1">
      <c r="A964" s="12"/>
      <c r="B964" s="2"/>
      <c r="C964" s="12"/>
      <c r="D964" s="12"/>
      <c r="E964" s="9"/>
      <c r="F964" s="12"/>
      <c r="G964" s="12"/>
      <c r="H964" s="12"/>
      <c r="I964" s="12"/>
      <c r="J964" s="5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ht="15.75" customHeight="1">
      <c r="A965" s="12"/>
      <c r="B965" s="2"/>
      <c r="C965" s="12"/>
      <c r="D965" s="12"/>
      <c r="E965" s="9"/>
      <c r="F965" s="12"/>
      <c r="G965" s="12"/>
      <c r="H965" s="12"/>
      <c r="I965" s="12"/>
      <c r="J965" s="5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ht="15.75" customHeight="1">
      <c r="A966" s="12"/>
      <c r="B966" s="2"/>
      <c r="C966" s="12"/>
      <c r="D966" s="12"/>
      <c r="E966" s="9"/>
      <c r="F966" s="12"/>
      <c r="G966" s="12"/>
      <c r="H966" s="12"/>
      <c r="I966" s="12"/>
      <c r="J966" s="5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ht="15.75" customHeight="1">
      <c r="A967" s="12"/>
      <c r="B967" s="2"/>
      <c r="C967" s="12"/>
      <c r="D967" s="12"/>
      <c r="E967" s="9"/>
      <c r="F967" s="12"/>
      <c r="G967" s="12"/>
      <c r="H967" s="12"/>
      <c r="I967" s="12"/>
      <c r="J967" s="5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ht="15.75" customHeight="1">
      <c r="A968" s="12"/>
      <c r="B968" s="2"/>
      <c r="C968" s="12"/>
      <c r="D968" s="12"/>
      <c r="E968" s="9"/>
      <c r="F968" s="12"/>
      <c r="G968" s="12"/>
      <c r="H968" s="12"/>
      <c r="I968" s="12"/>
      <c r="J968" s="5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ht="15.75" customHeight="1">
      <c r="A969" s="12"/>
      <c r="B969" s="2"/>
      <c r="C969" s="12"/>
      <c r="D969" s="12"/>
      <c r="E969" s="9"/>
      <c r="F969" s="12"/>
      <c r="G969" s="12"/>
      <c r="H969" s="12"/>
      <c r="I969" s="12"/>
      <c r="J969" s="5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ht="15.75" customHeight="1">
      <c r="A970" s="12"/>
      <c r="B970" s="2"/>
      <c r="C970" s="12"/>
      <c r="D970" s="12"/>
      <c r="E970" s="9"/>
      <c r="F970" s="12"/>
      <c r="G970" s="12"/>
      <c r="H970" s="12"/>
      <c r="I970" s="12"/>
      <c r="J970" s="5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ht="15.75" customHeight="1">
      <c r="A971" s="12"/>
      <c r="B971" s="2"/>
      <c r="C971" s="12"/>
      <c r="D971" s="12"/>
      <c r="E971" s="9"/>
      <c r="F971" s="12"/>
      <c r="G971" s="12"/>
      <c r="H971" s="12"/>
      <c r="I971" s="12"/>
      <c r="J971" s="5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ht="15.75" customHeight="1">
      <c r="A972" s="12"/>
      <c r="B972" s="2"/>
      <c r="C972" s="12"/>
      <c r="D972" s="12"/>
      <c r="E972" s="9"/>
      <c r="F972" s="12"/>
      <c r="G972" s="12"/>
      <c r="H972" s="12"/>
      <c r="I972" s="12"/>
      <c r="J972" s="5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ht="15.75" customHeight="1">
      <c r="A973" s="12"/>
      <c r="B973" s="2"/>
      <c r="C973" s="12"/>
      <c r="D973" s="12"/>
      <c r="E973" s="9"/>
      <c r="F973" s="12"/>
      <c r="G973" s="12"/>
      <c r="H973" s="12"/>
      <c r="I973" s="12"/>
      <c r="J973" s="5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ht="15.75" customHeight="1">
      <c r="A974" s="12"/>
      <c r="B974" s="2"/>
      <c r="C974" s="12"/>
      <c r="D974" s="12"/>
      <c r="E974" s="9"/>
      <c r="F974" s="12"/>
      <c r="G974" s="12"/>
      <c r="H974" s="12"/>
      <c r="I974" s="12"/>
      <c r="J974" s="5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ht="15.75" customHeight="1">
      <c r="A975" s="12"/>
      <c r="B975" s="2"/>
      <c r="C975" s="12"/>
      <c r="D975" s="12"/>
      <c r="E975" s="9"/>
      <c r="F975" s="12"/>
      <c r="G975" s="12"/>
      <c r="H975" s="12"/>
      <c r="I975" s="12"/>
      <c r="J975" s="5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ht="15.75" customHeight="1">
      <c r="A976" s="12"/>
      <c r="B976" s="2"/>
      <c r="C976" s="12"/>
      <c r="D976" s="12"/>
      <c r="E976" s="9"/>
      <c r="F976" s="12"/>
      <c r="G976" s="12"/>
      <c r="H976" s="12"/>
      <c r="I976" s="12"/>
      <c r="J976" s="5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ht="15.75" customHeight="1">
      <c r="A977" s="12"/>
      <c r="B977" s="2"/>
      <c r="C977" s="12"/>
      <c r="D977" s="12"/>
      <c r="E977" s="9"/>
      <c r="F977" s="12"/>
      <c r="G977" s="12"/>
      <c r="H977" s="12"/>
      <c r="I977" s="12"/>
      <c r="J977" s="5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ht="15.75" customHeight="1">
      <c r="A978" s="12"/>
      <c r="B978" s="2"/>
      <c r="C978" s="12"/>
      <c r="D978" s="12"/>
      <c r="E978" s="9"/>
      <c r="F978" s="12"/>
      <c r="G978" s="12"/>
      <c r="H978" s="12"/>
      <c r="I978" s="12"/>
      <c r="J978" s="5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ht="15.75" customHeight="1">
      <c r="A979" s="12"/>
      <c r="B979" s="2"/>
      <c r="C979" s="12"/>
      <c r="D979" s="12"/>
      <c r="E979" s="9"/>
      <c r="F979" s="12"/>
      <c r="G979" s="12"/>
      <c r="H979" s="12"/>
      <c r="I979" s="12"/>
      <c r="J979" s="5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ht="15.75" customHeight="1">
      <c r="A980" s="12"/>
      <c r="B980" s="2"/>
      <c r="C980" s="12"/>
      <c r="D980" s="12"/>
      <c r="E980" s="9"/>
      <c r="F980" s="12"/>
      <c r="G980" s="12"/>
      <c r="H980" s="12"/>
      <c r="I980" s="12"/>
      <c r="J980" s="5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ht="15.75" customHeight="1">
      <c r="A981" s="12"/>
      <c r="B981" s="2"/>
      <c r="C981" s="12"/>
      <c r="D981" s="12"/>
      <c r="E981" s="9"/>
      <c r="F981" s="12"/>
      <c r="G981" s="12"/>
      <c r="H981" s="12"/>
      <c r="I981" s="12"/>
      <c r="J981" s="5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ht="15.75" customHeight="1">
      <c r="A982" s="12"/>
      <c r="B982" s="2"/>
      <c r="C982" s="12"/>
      <c r="D982" s="12"/>
      <c r="E982" s="9"/>
      <c r="F982" s="12"/>
      <c r="G982" s="12"/>
      <c r="H982" s="12"/>
      <c r="I982" s="12"/>
      <c r="J982" s="5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ht="15.75" customHeight="1">
      <c r="A983" s="12"/>
      <c r="B983" s="2"/>
      <c r="C983" s="12"/>
      <c r="D983" s="12"/>
      <c r="E983" s="9"/>
      <c r="F983" s="12"/>
      <c r="G983" s="12"/>
      <c r="H983" s="12"/>
      <c r="I983" s="12"/>
      <c r="J983" s="5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ht="15.75" customHeight="1">
      <c r="A984" s="12"/>
      <c r="B984" s="2"/>
      <c r="C984" s="12"/>
      <c r="D984" s="12"/>
      <c r="E984" s="9"/>
      <c r="F984" s="12"/>
      <c r="G984" s="12"/>
      <c r="H984" s="12"/>
      <c r="I984" s="12"/>
      <c r="J984" s="5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ht="15.75" customHeight="1">
      <c r="A985" s="12"/>
      <c r="B985" s="2"/>
      <c r="C985" s="12"/>
      <c r="D985" s="12"/>
      <c r="E985" s="9"/>
      <c r="F985" s="12"/>
      <c r="G985" s="12"/>
      <c r="H985" s="12"/>
      <c r="I985" s="12"/>
      <c r="J985" s="5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ht="15.75" customHeight="1">
      <c r="A986" s="12"/>
      <c r="B986" s="2"/>
      <c r="C986" s="12"/>
      <c r="D986" s="12"/>
      <c r="E986" s="9"/>
      <c r="F986" s="12"/>
      <c r="G986" s="12"/>
      <c r="H986" s="12"/>
      <c r="I986" s="12"/>
      <c r="J986" s="5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ht="15.75" customHeight="1">
      <c r="A987" s="12"/>
      <c r="B987" s="2"/>
      <c r="C987" s="12"/>
      <c r="D987" s="12"/>
      <c r="E987" s="9"/>
      <c r="F987" s="12"/>
      <c r="G987" s="12"/>
      <c r="H987" s="12"/>
      <c r="I987" s="12"/>
      <c r="J987" s="5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ht="15.75" customHeight="1">
      <c r="A988" s="12"/>
      <c r="B988" s="2"/>
      <c r="C988" s="12"/>
      <c r="D988" s="12"/>
      <c r="E988" s="9"/>
      <c r="F988" s="12"/>
      <c r="G988" s="12"/>
      <c r="H988" s="12"/>
      <c r="I988" s="12"/>
      <c r="J988" s="5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ht="15.75" customHeight="1">
      <c r="A989" s="12"/>
      <c r="B989" s="2"/>
      <c r="C989" s="12"/>
      <c r="D989" s="12"/>
      <c r="E989" s="9"/>
      <c r="F989" s="12"/>
      <c r="G989" s="12"/>
      <c r="H989" s="12"/>
      <c r="I989" s="12"/>
      <c r="J989" s="5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ht="15.75" customHeight="1">
      <c r="A990" s="12"/>
      <c r="B990" s="2"/>
      <c r="C990" s="12"/>
      <c r="D990" s="12"/>
      <c r="E990" s="9"/>
      <c r="F990" s="12"/>
      <c r="G990" s="12"/>
      <c r="H990" s="12"/>
      <c r="I990" s="12"/>
      <c r="J990" s="5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ht="15.75" customHeight="1">
      <c r="A991" s="12"/>
      <c r="B991" s="2"/>
      <c r="C991" s="12"/>
      <c r="D991" s="12"/>
      <c r="E991" s="9"/>
      <c r="F991" s="12"/>
      <c r="G991" s="12"/>
      <c r="H991" s="12"/>
      <c r="I991" s="12"/>
      <c r="J991" s="5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ht="15.75" customHeight="1">
      <c r="A992" s="12"/>
      <c r="B992" s="2"/>
      <c r="C992" s="12"/>
      <c r="D992" s="12"/>
      <c r="E992" s="9"/>
      <c r="F992" s="12"/>
      <c r="G992" s="12"/>
      <c r="H992" s="12"/>
      <c r="I992" s="12"/>
      <c r="J992" s="5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ht="15.75" customHeight="1">
      <c r="A993" s="12"/>
      <c r="B993" s="2"/>
      <c r="C993" s="12"/>
      <c r="D993" s="12"/>
      <c r="E993" s="9"/>
      <c r="F993" s="12"/>
      <c r="G993" s="12"/>
      <c r="H993" s="12"/>
      <c r="I993" s="12"/>
      <c r="J993" s="5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ht="15.75" customHeight="1">
      <c r="A994" s="12"/>
      <c r="B994" s="2"/>
      <c r="C994" s="12"/>
      <c r="D994" s="12"/>
      <c r="E994" s="9"/>
      <c r="F994" s="12"/>
      <c r="G994" s="12"/>
      <c r="H994" s="12"/>
      <c r="I994" s="12"/>
      <c r="J994" s="5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ht="15.75" customHeight="1">
      <c r="A995" s="12"/>
      <c r="B995" s="2"/>
      <c r="C995" s="12"/>
      <c r="D995" s="12"/>
      <c r="E995" s="9"/>
      <c r="F995" s="12"/>
      <c r="G995" s="12"/>
      <c r="H995" s="12"/>
      <c r="I995" s="12"/>
      <c r="J995" s="5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ht="15.75" customHeight="1">
      <c r="A996" s="12"/>
      <c r="B996" s="2"/>
      <c r="C996" s="12"/>
      <c r="D996" s="12"/>
      <c r="E996" s="9"/>
      <c r="F996" s="12"/>
      <c r="G996" s="12"/>
      <c r="H996" s="12"/>
      <c r="I996" s="12"/>
      <c r="J996" s="5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ht="15.75" customHeight="1">
      <c r="A997" s="12"/>
      <c r="B997" s="2"/>
      <c r="C997" s="12"/>
      <c r="D997" s="12"/>
      <c r="E997" s="9"/>
      <c r="F997" s="12"/>
      <c r="G997" s="12"/>
      <c r="H997" s="12"/>
      <c r="I997" s="12"/>
      <c r="J997" s="5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ht="15.75" customHeight="1">
      <c r="A998" s="12"/>
      <c r="B998" s="2"/>
      <c r="C998" s="12"/>
      <c r="D998" s="12"/>
      <c r="E998" s="9"/>
      <c r="F998" s="12"/>
      <c r="G998" s="12"/>
      <c r="H998" s="12"/>
      <c r="I998" s="12"/>
      <c r="J998" s="5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ht="15.75" customHeight="1">
      <c r="A999" s="12"/>
      <c r="B999" s="2"/>
      <c r="C999" s="12"/>
      <c r="D999" s="12"/>
      <c r="E999" s="9"/>
      <c r="F999" s="12"/>
      <c r="G999" s="12"/>
      <c r="H999" s="12"/>
      <c r="I999" s="12"/>
      <c r="J999" s="5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ht="15.75" customHeight="1">
      <c r="A1000" s="12"/>
      <c r="B1000" s="2"/>
      <c r="C1000" s="12"/>
      <c r="D1000" s="12"/>
      <c r="E1000" s="9"/>
      <c r="F1000" s="12"/>
      <c r="G1000" s="12"/>
      <c r="H1000" s="12"/>
      <c r="I1000" s="12"/>
      <c r="J1000" s="5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865</v>
      </c>
      <c r="J1" s="5"/>
    </row>
    <row r="2" ht="15.75" customHeight="1">
      <c r="B2" s="2"/>
      <c r="C2" s="1" t="s">
        <v>6</v>
      </c>
      <c r="D2" s="6">
        <f>+A5*10%</f>
        <v>9750000</v>
      </c>
      <c r="E2" s="7"/>
      <c r="J2" s="5"/>
    </row>
    <row r="3" ht="15.75" customHeight="1">
      <c r="B3" s="2"/>
      <c r="C3" s="1" t="s">
        <v>7</v>
      </c>
      <c r="D3" s="8">
        <f>+A5-D2</f>
        <v>87750000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9.75E7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1951950.284</v>
      </c>
      <c r="E6" s="12"/>
      <c r="H6" s="5"/>
      <c r="J6" s="5"/>
    </row>
    <row r="7" ht="15.75" customHeight="1">
      <c r="B7" s="2"/>
      <c r="C7" s="1" t="s">
        <v>12</v>
      </c>
      <c r="D7" s="20" t="s">
        <v>870</v>
      </c>
      <c r="H7" s="5"/>
      <c r="J7" s="5"/>
    </row>
    <row r="8" ht="15.75" customHeight="1">
      <c r="B8" s="2"/>
      <c r="C8" s="1" t="s">
        <v>16</v>
      </c>
      <c r="D8" s="2" t="s">
        <v>871</v>
      </c>
      <c r="H8" s="5"/>
      <c r="I8" s="17"/>
      <c r="J8" s="19"/>
      <c r="K8" s="17"/>
      <c r="L8" s="21" t="s">
        <v>873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87750000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1.26867017E8</v>
      </c>
      <c r="U10" s="25"/>
    </row>
    <row r="11" ht="15.75" customHeight="1">
      <c r="A11" s="29">
        <v>45813.0</v>
      </c>
      <c r="B11" s="2" t="s">
        <v>879</v>
      </c>
      <c r="C11" s="30">
        <v>45811.0</v>
      </c>
      <c r="D11" s="8">
        <f t="shared" ref="D11:D70" si="1">$D$6</f>
        <v>1951950.284</v>
      </c>
      <c r="E11" s="15">
        <f t="shared" ref="E11:E14" si="2">2000000-D11</f>
        <v>48049.71565</v>
      </c>
      <c r="F11" s="8">
        <f t="shared" ref="F11:F70" si="3">+H10*$D$4</f>
        <v>877500</v>
      </c>
      <c r="G11" s="8">
        <f t="shared" ref="G11:G70" si="4">+D11+E11-F11</f>
        <v>1122500</v>
      </c>
      <c r="H11" s="8">
        <f t="shared" ref="H11:H70" si="5">+H10-G11</f>
        <v>86627500</v>
      </c>
      <c r="J11" s="5"/>
      <c r="L11" s="33">
        <v>45750.0</v>
      </c>
      <c r="M11" s="34" t="s">
        <v>44</v>
      </c>
      <c r="N11" s="35" t="s">
        <v>882</v>
      </c>
      <c r="O11" s="36"/>
      <c r="P11" s="36">
        <v>1000000.0</v>
      </c>
      <c r="Q11" s="36"/>
      <c r="R11" s="36"/>
      <c r="S11" s="36">
        <f t="shared" ref="S11:S22" si="6">SUM(O11:R11)</f>
        <v>1000000</v>
      </c>
      <c r="T11" s="36">
        <f t="shared" ref="T11:T22" si="7">T10-S11</f>
        <v>125867017</v>
      </c>
      <c r="U11" s="34"/>
    </row>
    <row r="12" ht="15.75" customHeight="1">
      <c r="A12" s="29">
        <v>45841.0</v>
      </c>
      <c r="B12" s="2" t="s">
        <v>884</v>
      </c>
      <c r="C12" s="30">
        <v>45841.0</v>
      </c>
      <c r="D12" s="8">
        <f t="shared" si="1"/>
        <v>1951950.284</v>
      </c>
      <c r="E12" s="15">
        <f t="shared" si="2"/>
        <v>48049.71565</v>
      </c>
      <c r="F12" s="8">
        <f t="shared" si="3"/>
        <v>866275</v>
      </c>
      <c r="G12" s="8">
        <f t="shared" si="4"/>
        <v>1133725</v>
      </c>
      <c r="H12" s="8">
        <f t="shared" si="5"/>
        <v>85493775</v>
      </c>
      <c r="J12" s="5"/>
      <c r="L12" s="33">
        <v>45783.0</v>
      </c>
      <c r="M12" s="34" t="s">
        <v>44</v>
      </c>
      <c r="N12" s="35" t="s">
        <v>885</v>
      </c>
      <c r="O12" s="36"/>
      <c r="P12" s="36">
        <v>8750000.0</v>
      </c>
      <c r="Q12" s="36"/>
      <c r="R12" s="36"/>
      <c r="S12" s="36">
        <f t="shared" si="6"/>
        <v>8750000</v>
      </c>
      <c r="T12" s="36">
        <f t="shared" si="7"/>
        <v>117117017</v>
      </c>
      <c r="U12" s="34"/>
    </row>
    <row r="13" ht="15.75" customHeight="1">
      <c r="A13" s="29">
        <v>45874.0</v>
      </c>
      <c r="B13" s="2" t="s">
        <v>887</v>
      </c>
      <c r="C13" s="30">
        <v>45872.0</v>
      </c>
      <c r="D13" s="8">
        <f t="shared" si="1"/>
        <v>1951950.284</v>
      </c>
      <c r="E13" s="15">
        <f t="shared" si="2"/>
        <v>48049.71565</v>
      </c>
      <c r="F13" s="8">
        <f t="shared" si="3"/>
        <v>854937.75</v>
      </c>
      <c r="G13" s="8">
        <f t="shared" si="4"/>
        <v>1145062.25</v>
      </c>
      <c r="H13" s="8">
        <f t="shared" si="5"/>
        <v>84348712.75</v>
      </c>
      <c r="J13" s="5" t="s">
        <v>56</v>
      </c>
      <c r="L13" s="33">
        <v>45813.0</v>
      </c>
      <c r="M13" s="34" t="s">
        <v>73</v>
      </c>
      <c r="N13" s="35" t="s">
        <v>879</v>
      </c>
      <c r="O13" s="36"/>
      <c r="P13" s="36">
        <v>2000000.0</v>
      </c>
      <c r="Q13" s="36"/>
      <c r="R13" s="36"/>
      <c r="S13" s="36">
        <f t="shared" si="6"/>
        <v>2000000</v>
      </c>
      <c r="T13" s="36">
        <f t="shared" si="7"/>
        <v>115117017</v>
      </c>
      <c r="U13" s="34"/>
    </row>
    <row r="14" ht="15.75" customHeight="1">
      <c r="A14" s="29">
        <v>45933.0</v>
      </c>
      <c r="B14" s="2" t="s">
        <v>888</v>
      </c>
      <c r="C14" s="30">
        <v>45903.0</v>
      </c>
      <c r="D14" s="8">
        <f t="shared" si="1"/>
        <v>1951950.284</v>
      </c>
      <c r="E14" s="15">
        <f t="shared" si="2"/>
        <v>48049.71565</v>
      </c>
      <c r="F14" s="8">
        <f t="shared" si="3"/>
        <v>843487.1275</v>
      </c>
      <c r="G14" s="8">
        <f t="shared" si="4"/>
        <v>1156512.873</v>
      </c>
      <c r="H14" s="8">
        <f t="shared" si="5"/>
        <v>83192199.88</v>
      </c>
      <c r="J14" s="8">
        <f>+H10</f>
        <v>87750000</v>
      </c>
      <c r="L14" s="33">
        <v>45841.0</v>
      </c>
      <c r="M14" s="34" t="s">
        <v>78</v>
      </c>
      <c r="N14" s="35" t="s">
        <v>884</v>
      </c>
      <c r="O14" s="36"/>
      <c r="P14" s="36">
        <v>2000000.0</v>
      </c>
      <c r="Q14" s="36"/>
      <c r="R14" s="36"/>
      <c r="S14" s="36">
        <f t="shared" si="6"/>
        <v>2000000</v>
      </c>
      <c r="T14" s="36">
        <f t="shared" si="7"/>
        <v>113117017</v>
      </c>
      <c r="U14" s="34"/>
    </row>
    <row r="15" ht="15.75" customHeight="1">
      <c r="A15" s="29">
        <v>45976.0</v>
      </c>
      <c r="B15" s="2" t="s">
        <v>890</v>
      </c>
      <c r="C15" s="30">
        <v>45933.0</v>
      </c>
      <c r="D15" s="8">
        <f t="shared" si="1"/>
        <v>1951950.284</v>
      </c>
      <c r="E15" s="15"/>
      <c r="F15" s="8">
        <f t="shared" si="3"/>
        <v>831921.9988</v>
      </c>
      <c r="G15" s="8">
        <f t="shared" si="4"/>
        <v>1120028.286</v>
      </c>
      <c r="H15" s="8">
        <f t="shared" si="5"/>
        <v>82072171.59</v>
      </c>
      <c r="J15" s="5"/>
      <c r="L15" s="33">
        <v>45874.0</v>
      </c>
      <c r="M15" s="34" t="s">
        <v>83</v>
      </c>
      <c r="N15" s="35" t="s">
        <v>887</v>
      </c>
      <c r="O15" s="36"/>
      <c r="P15" s="36">
        <v>2000000.0</v>
      </c>
      <c r="Q15" s="36"/>
      <c r="R15" s="36"/>
      <c r="S15" s="36">
        <f t="shared" si="6"/>
        <v>2000000</v>
      </c>
      <c r="T15" s="36">
        <f t="shared" si="7"/>
        <v>111117017</v>
      </c>
      <c r="U15" s="34"/>
    </row>
    <row r="16" ht="15.75" customHeight="1">
      <c r="A16" s="29">
        <v>45976.0</v>
      </c>
      <c r="B16" s="2" t="s">
        <v>890</v>
      </c>
      <c r="C16" s="30">
        <v>45964.0</v>
      </c>
      <c r="D16" s="8">
        <f t="shared" si="1"/>
        <v>1951950.284</v>
      </c>
      <c r="E16" s="15">
        <f>3000000+2000000-D15-D16</f>
        <v>1096099.431</v>
      </c>
      <c r="F16" s="8">
        <f t="shared" si="3"/>
        <v>820721.7159</v>
      </c>
      <c r="G16" s="8">
        <f t="shared" si="4"/>
        <v>2227328</v>
      </c>
      <c r="H16" s="8">
        <f t="shared" si="5"/>
        <v>79844843.59</v>
      </c>
      <c r="J16" s="5"/>
      <c r="L16" s="33">
        <v>45933.0</v>
      </c>
      <c r="M16" s="34" t="s">
        <v>85</v>
      </c>
      <c r="N16" s="35" t="s">
        <v>888</v>
      </c>
      <c r="O16" s="36"/>
      <c r="P16" s="36">
        <v>2000000.0</v>
      </c>
      <c r="Q16" s="36"/>
      <c r="R16" s="36"/>
      <c r="S16" s="36">
        <f t="shared" si="6"/>
        <v>2000000</v>
      </c>
      <c r="T16" s="36">
        <f t="shared" si="7"/>
        <v>109117017</v>
      </c>
      <c r="U16" s="34"/>
    </row>
    <row r="17" ht="15.75" customHeight="1">
      <c r="A17" s="29">
        <v>46004.0</v>
      </c>
      <c r="B17" s="2" t="s">
        <v>892</v>
      </c>
      <c r="C17" s="30">
        <v>45994.0</v>
      </c>
      <c r="D17" s="8">
        <f t="shared" si="1"/>
        <v>1951950.284</v>
      </c>
      <c r="E17" s="15">
        <f t="shared" ref="E17:E18" si="8">2000000-D17</f>
        <v>48049.71565</v>
      </c>
      <c r="F17" s="8">
        <f t="shared" si="3"/>
        <v>798448.4359</v>
      </c>
      <c r="G17" s="8">
        <f t="shared" si="4"/>
        <v>1201551.564</v>
      </c>
      <c r="H17" s="8">
        <f t="shared" si="5"/>
        <v>78643292.03</v>
      </c>
      <c r="J17" s="5"/>
      <c r="L17" s="33">
        <v>45976.0</v>
      </c>
      <c r="M17" s="34" t="s">
        <v>894</v>
      </c>
      <c r="N17" s="35" t="s">
        <v>890</v>
      </c>
      <c r="O17" s="36"/>
      <c r="P17" s="36">
        <v>5000000.0</v>
      </c>
      <c r="Q17" s="36"/>
      <c r="R17" s="36"/>
      <c r="S17" s="36">
        <f t="shared" si="6"/>
        <v>5000000</v>
      </c>
      <c r="T17" s="36">
        <f t="shared" si="7"/>
        <v>104117017</v>
      </c>
      <c r="U17" s="34"/>
    </row>
    <row r="18" ht="15.75" customHeight="1">
      <c r="A18" s="29">
        <v>46030.0</v>
      </c>
      <c r="B18" s="2" t="s">
        <v>895</v>
      </c>
      <c r="C18" s="30">
        <v>46025.0</v>
      </c>
      <c r="D18" s="8">
        <f t="shared" si="1"/>
        <v>1951950.284</v>
      </c>
      <c r="E18" s="15">
        <f t="shared" si="8"/>
        <v>48049.71565</v>
      </c>
      <c r="F18" s="8">
        <f t="shared" si="3"/>
        <v>786432.9203</v>
      </c>
      <c r="G18" s="8">
        <f t="shared" si="4"/>
        <v>1213567.08</v>
      </c>
      <c r="H18" s="8">
        <f t="shared" si="5"/>
        <v>77429724.95</v>
      </c>
      <c r="J18" s="5"/>
      <c r="L18" s="33">
        <v>46004.0</v>
      </c>
      <c r="M18" s="34" t="s">
        <v>96</v>
      </c>
      <c r="N18" s="35" t="s">
        <v>892</v>
      </c>
      <c r="O18" s="36"/>
      <c r="P18" s="36">
        <v>2000000.0</v>
      </c>
      <c r="Q18" s="36"/>
      <c r="R18" s="36"/>
      <c r="S18" s="36">
        <f t="shared" si="6"/>
        <v>2000000</v>
      </c>
      <c r="T18" s="36">
        <f t="shared" si="7"/>
        <v>102117017</v>
      </c>
      <c r="U18" s="34"/>
    </row>
    <row r="19" ht="15.75" customHeight="1">
      <c r="A19" s="29">
        <v>46087.0</v>
      </c>
      <c r="B19" s="2" t="s">
        <v>897</v>
      </c>
      <c r="C19" s="30">
        <v>46056.0</v>
      </c>
      <c r="D19" s="8">
        <f t="shared" si="1"/>
        <v>1951950.284</v>
      </c>
      <c r="E19" s="15"/>
      <c r="F19" s="8">
        <f t="shared" si="3"/>
        <v>774297.2495</v>
      </c>
      <c r="G19" s="8">
        <f t="shared" si="4"/>
        <v>1177653.035</v>
      </c>
      <c r="H19" s="8">
        <f t="shared" si="5"/>
        <v>76252071.91</v>
      </c>
      <c r="I19" s="1"/>
      <c r="J19" s="41"/>
      <c r="K19" s="1"/>
      <c r="L19" s="42">
        <v>46030.0</v>
      </c>
      <c r="M19" s="43" t="s">
        <v>100</v>
      </c>
      <c r="N19" s="44" t="s">
        <v>895</v>
      </c>
      <c r="O19" s="45"/>
      <c r="P19" s="45">
        <v>2000000.0</v>
      </c>
      <c r="Q19" s="45"/>
      <c r="R19" s="45"/>
      <c r="S19" s="45">
        <f t="shared" si="6"/>
        <v>2000000</v>
      </c>
      <c r="T19" s="45">
        <f t="shared" si="7"/>
        <v>100117017</v>
      </c>
      <c r="U19" s="43"/>
      <c r="V19" s="1"/>
      <c r="W19" s="1"/>
      <c r="X19" s="1"/>
      <c r="Y19" s="1"/>
      <c r="Z19" s="1"/>
      <c r="AA19" s="1"/>
      <c r="AB19" s="1"/>
    </row>
    <row r="20" ht="15.75" customHeight="1">
      <c r="A20" s="29">
        <v>46087.0</v>
      </c>
      <c r="B20" s="2" t="s">
        <v>897</v>
      </c>
      <c r="C20" s="30">
        <v>46084.0</v>
      </c>
      <c r="D20" s="8">
        <f t="shared" si="1"/>
        <v>1951950.284</v>
      </c>
      <c r="E20" s="15">
        <f>4000000-D19-D20</f>
        <v>96099.4313</v>
      </c>
      <c r="F20" s="8">
        <f t="shared" si="3"/>
        <v>762520.7191</v>
      </c>
      <c r="G20" s="8">
        <f t="shared" si="4"/>
        <v>1285528.997</v>
      </c>
      <c r="H20" s="8">
        <f t="shared" si="5"/>
        <v>74966542.92</v>
      </c>
      <c r="J20" s="5"/>
      <c r="L20" s="33">
        <v>46087.0</v>
      </c>
      <c r="M20" s="34" t="s">
        <v>901</v>
      </c>
      <c r="N20" s="35" t="s">
        <v>897</v>
      </c>
      <c r="O20" s="36"/>
      <c r="P20" s="36">
        <v>4000000.0</v>
      </c>
      <c r="Q20" s="36"/>
      <c r="R20" s="36"/>
      <c r="S20" s="36">
        <f t="shared" si="6"/>
        <v>4000000</v>
      </c>
      <c r="T20" s="36">
        <f t="shared" si="7"/>
        <v>96117017</v>
      </c>
      <c r="U20" s="34"/>
    </row>
    <row r="21" ht="15.75" customHeight="1">
      <c r="A21" s="29">
        <v>46126.0</v>
      </c>
      <c r="B21" s="2" t="s">
        <v>903</v>
      </c>
      <c r="C21" s="30">
        <v>46115.0</v>
      </c>
      <c r="D21" s="8">
        <f t="shared" si="1"/>
        <v>1951950.284</v>
      </c>
      <c r="E21" s="15"/>
      <c r="F21" s="8">
        <f t="shared" si="3"/>
        <v>749665.4292</v>
      </c>
      <c r="G21" s="8">
        <f t="shared" si="4"/>
        <v>1202284.855</v>
      </c>
      <c r="H21" s="8">
        <f t="shared" si="5"/>
        <v>73764258.06</v>
      </c>
      <c r="J21" s="5"/>
      <c r="L21" s="33">
        <v>46126.0</v>
      </c>
      <c r="M21" s="34" t="s">
        <v>442</v>
      </c>
      <c r="N21" s="35" t="s">
        <v>903</v>
      </c>
      <c r="O21" s="36"/>
      <c r="P21" s="36">
        <v>4000000.0</v>
      </c>
      <c r="Q21" s="36"/>
      <c r="R21" s="36"/>
      <c r="S21" s="36">
        <f t="shared" si="6"/>
        <v>4000000</v>
      </c>
      <c r="T21" s="36">
        <f t="shared" si="7"/>
        <v>92117017</v>
      </c>
      <c r="U21" s="34"/>
    </row>
    <row r="22" ht="15.75" customHeight="1">
      <c r="A22" s="29">
        <v>46126.0</v>
      </c>
      <c r="B22" s="2" t="s">
        <v>903</v>
      </c>
      <c r="C22" s="30">
        <v>46145.0</v>
      </c>
      <c r="D22" s="8">
        <f t="shared" si="1"/>
        <v>1951950.284</v>
      </c>
      <c r="E22" s="15">
        <f>4000000-D21-D22</f>
        <v>96099.4313</v>
      </c>
      <c r="F22" s="8">
        <f t="shared" si="3"/>
        <v>737642.5806</v>
      </c>
      <c r="G22" s="8">
        <f t="shared" si="4"/>
        <v>1310407.135</v>
      </c>
      <c r="H22" s="8">
        <f t="shared" si="5"/>
        <v>72453850.93</v>
      </c>
      <c r="J22" s="5"/>
      <c r="L22" s="33">
        <v>46218.0</v>
      </c>
      <c r="M22" s="34" t="s">
        <v>368</v>
      </c>
      <c r="N22" s="35" t="s">
        <v>906</v>
      </c>
      <c r="O22" s="36"/>
      <c r="P22" s="36">
        <v>4000000.0</v>
      </c>
      <c r="Q22" s="36"/>
      <c r="R22" s="36"/>
      <c r="S22" s="36">
        <f t="shared" si="6"/>
        <v>4000000</v>
      </c>
      <c r="T22" s="36">
        <f t="shared" si="7"/>
        <v>88117017</v>
      </c>
      <c r="U22" s="34"/>
    </row>
    <row r="23" ht="15.75" customHeight="1">
      <c r="A23" s="29">
        <v>46218.0</v>
      </c>
      <c r="B23" s="2" t="s">
        <v>906</v>
      </c>
      <c r="C23" s="30">
        <v>46176.0</v>
      </c>
      <c r="D23" s="8">
        <f t="shared" si="1"/>
        <v>1951950.284</v>
      </c>
      <c r="E23" s="46"/>
      <c r="F23" s="8">
        <f t="shared" si="3"/>
        <v>724538.5093</v>
      </c>
      <c r="G23" s="8">
        <f t="shared" si="4"/>
        <v>1227411.775</v>
      </c>
      <c r="H23" s="8">
        <f t="shared" si="5"/>
        <v>71226439.15</v>
      </c>
      <c r="J23" s="5"/>
      <c r="L23" s="25"/>
      <c r="M23" s="38" t="s">
        <v>69</v>
      </c>
      <c r="N23" s="39"/>
      <c r="O23" s="27">
        <f t="shared" ref="O23:S23" si="9">SUM(O11:O22)</f>
        <v>0</v>
      </c>
      <c r="P23" s="27">
        <f t="shared" si="9"/>
        <v>38750000</v>
      </c>
      <c r="Q23" s="27">
        <f t="shared" si="9"/>
        <v>0</v>
      </c>
      <c r="R23" s="27">
        <f t="shared" si="9"/>
        <v>0</v>
      </c>
      <c r="S23" s="27">
        <f t="shared" si="9"/>
        <v>38750000</v>
      </c>
      <c r="T23" s="27">
        <f>T22</f>
        <v>88117017</v>
      </c>
      <c r="U23" s="25"/>
    </row>
    <row r="24" ht="15.75" customHeight="1">
      <c r="A24" s="29">
        <v>46218.0</v>
      </c>
      <c r="B24" s="2" t="s">
        <v>906</v>
      </c>
      <c r="C24" s="30">
        <v>46206.0</v>
      </c>
      <c r="D24" s="8">
        <f t="shared" si="1"/>
        <v>1951950.284</v>
      </c>
      <c r="E24" s="8">
        <f>4000000-D23-D24</f>
        <v>96099.4313</v>
      </c>
      <c r="F24" s="8">
        <f t="shared" si="3"/>
        <v>712264.3915</v>
      </c>
      <c r="G24" s="8">
        <f t="shared" si="4"/>
        <v>1335785.324</v>
      </c>
      <c r="H24" s="8">
        <f t="shared" si="5"/>
        <v>69890653.83</v>
      </c>
      <c r="J24" s="5"/>
    </row>
    <row r="25" ht="15.75" customHeight="1">
      <c r="B25" s="2"/>
      <c r="C25" s="30">
        <v>46237.0</v>
      </c>
      <c r="D25" s="8">
        <f t="shared" si="1"/>
        <v>1951950.284</v>
      </c>
      <c r="E25" s="46"/>
      <c r="F25" s="8">
        <f t="shared" si="3"/>
        <v>698906.5383</v>
      </c>
      <c r="G25" s="8">
        <f t="shared" si="4"/>
        <v>1253043.746</v>
      </c>
      <c r="H25" s="8">
        <f t="shared" si="5"/>
        <v>68637610.08</v>
      </c>
      <c r="J25" s="5"/>
    </row>
    <row r="26" ht="15.75" customHeight="1">
      <c r="B26" s="2"/>
      <c r="C26" s="30">
        <v>46268.0</v>
      </c>
      <c r="D26" s="8">
        <f t="shared" si="1"/>
        <v>1951950.284</v>
      </c>
      <c r="E26" s="46"/>
      <c r="F26" s="8">
        <f t="shared" si="3"/>
        <v>686376.1008</v>
      </c>
      <c r="G26" s="8">
        <f t="shared" si="4"/>
        <v>1265574.184</v>
      </c>
      <c r="H26" s="8">
        <f t="shared" si="5"/>
        <v>67372035.9</v>
      </c>
      <c r="J26" s="5"/>
    </row>
    <row r="27" ht="15.75" customHeight="1">
      <c r="B27" s="2"/>
      <c r="C27" s="30">
        <v>46298.0</v>
      </c>
      <c r="D27" s="8">
        <f t="shared" si="1"/>
        <v>1951950.284</v>
      </c>
      <c r="E27" s="46"/>
      <c r="F27" s="8">
        <f t="shared" si="3"/>
        <v>673720.359</v>
      </c>
      <c r="G27" s="8">
        <f t="shared" si="4"/>
        <v>1278229.925</v>
      </c>
      <c r="H27" s="8">
        <f t="shared" si="5"/>
        <v>66093805.97</v>
      </c>
      <c r="J27" s="5"/>
    </row>
    <row r="28" ht="15.75" customHeight="1">
      <c r="B28" s="2"/>
      <c r="C28" s="30">
        <v>46329.0</v>
      </c>
      <c r="D28" s="8">
        <f t="shared" si="1"/>
        <v>1951950.284</v>
      </c>
      <c r="E28" s="46"/>
      <c r="F28" s="8">
        <f t="shared" si="3"/>
        <v>660938.0597</v>
      </c>
      <c r="G28" s="8">
        <f t="shared" si="4"/>
        <v>1291012.225</v>
      </c>
      <c r="H28" s="8">
        <f t="shared" si="5"/>
        <v>64802793.75</v>
      </c>
      <c r="J28" s="5"/>
    </row>
    <row r="29" ht="15.75" customHeight="1">
      <c r="B29" s="2"/>
      <c r="C29" s="30">
        <v>46359.0</v>
      </c>
      <c r="D29" s="8">
        <f t="shared" si="1"/>
        <v>1951950.284</v>
      </c>
      <c r="E29" s="46"/>
      <c r="F29" s="8">
        <f t="shared" si="3"/>
        <v>648027.9375</v>
      </c>
      <c r="G29" s="8">
        <f t="shared" si="4"/>
        <v>1303922.347</v>
      </c>
      <c r="H29" s="8">
        <f t="shared" si="5"/>
        <v>63498871.4</v>
      </c>
      <c r="J29" s="5"/>
    </row>
    <row r="30" ht="15.75" customHeight="1">
      <c r="B30" s="2"/>
      <c r="C30" s="30">
        <v>46390.0</v>
      </c>
      <c r="D30" s="8">
        <f t="shared" si="1"/>
        <v>1951950.284</v>
      </c>
      <c r="E30" s="46"/>
      <c r="F30" s="8">
        <f t="shared" si="3"/>
        <v>634988.714</v>
      </c>
      <c r="G30" s="8">
        <f t="shared" si="4"/>
        <v>1316961.57</v>
      </c>
      <c r="H30" s="8">
        <f t="shared" si="5"/>
        <v>62181909.83</v>
      </c>
      <c r="J30" s="5"/>
    </row>
    <row r="31" ht="15.75" customHeight="1">
      <c r="B31" s="2"/>
      <c r="C31" s="30">
        <v>46421.0</v>
      </c>
      <c r="D31" s="8">
        <f t="shared" si="1"/>
        <v>1951950.284</v>
      </c>
      <c r="E31" s="46"/>
      <c r="F31" s="8">
        <f t="shared" si="3"/>
        <v>621819.0983</v>
      </c>
      <c r="G31" s="8">
        <f t="shared" si="4"/>
        <v>1330131.186</v>
      </c>
      <c r="H31" s="8">
        <f t="shared" si="5"/>
        <v>60851778.64</v>
      </c>
      <c r="J31" s="5"/>
    </row>
    <row r="32" ht="15.75" customHeight="1">
      <c r="B32" s="2"/>
      <c r="C32" s="30">
        <v>46449.0</v>
      </c>
      <c r="D32" s="8">
        <f t="shared" si="1"/>
        <v>1951950.284</v>
      </c>
      <c r="E32" s="46"/>
      <c r="F32" s="8">
        <f t="shared" si="3"/>
        <v>608517.7864</v>
      </c>
      <c r="G32" s="8">
        <f t="shared" si="4"/>
        <v>1343432.498</v>
      </c>
      <c r="H32" s="8">
        <f t="shared" si="5"/>
        <v>59508346.15</v>
      </c>
      <c r="J32" s="5"/>
    </row>
    <row r="33" ht="15.75" customHeight="1">
      <c r="B33" s="2"/>
      <c r="C33" s="30">
        <v>46480.0</v>
      </c>
      <c r="D33" s="8">
        <f t="shared" si="1"/>
        <v>1951950.284</v>
      </c>
      <c r="E33" s="46"/>
      <c r="F33" s="8">
        <f t="shared" si="3"/>
        <v>595083.4615</v>
      </c>
      <c r="G33" s="8">
        <f t="shared" si="4"/>
        <v>1356866.823</v>
      </c>
      <c r="H33" s="8">
        <f t="shared" si="5"/>
        <v>58151479.32</v>
      </c>
      <c r="J33" s="5"/>
    </row>
    <row r="34" ht="15.75" customHeight="1">
      <c r="B34" s="2"/>
      <c r="C34" s="30">
        <v>46510.0</v>
      </c>
      <c r="D34" s="8">
        <f t="shared" si="1"/>
        <v>1951950.284</v>
      </c>
      <c r="E34" s="46"/>
      <c r="F34" s="8">
        <f t="shared" si="3"/>
        <v>581514.7932</v>
      </c>
      <c r="G34" s="8">
        <f t="shared" si="4"/>
        <v>1370435.491</v>
      </c>
      <c r="H34" s="8">
        <f t="shared" si="5"/>
        <v>56781043.83</v>
      </c>
      <c r="J34" s="5"/>
    </row>
    <row r="35" ht="15.75" customHeight="1">
      <c r="B35" s="2"/>
      <c r="C35" s="30">
        <v>46541.0</v>
      </c>
      <c r="D35" s="8">
        <f t="shared" si="1"/>
        <v>1951950.284</v>
      </c>
      <c r="E35" s="46"/>
      <c r="F35" s="8">
        <f t="shared" si="3"/>
        <v>567810.4383</v>
      </c>
      <c r="G35" s="8">
        <f t="shared" si="4"/>
        <v>1384139.846</v>
      </c>
      <c r="H35" s="8">
        <f t="shared" si="5"/>
        <v>55396903.99</v>
      </c>
      <c r="J35" s="5"/>
    </row>
    <row r="36" ht="15.75" customHeight="1">
      <c r="B36" s="2"/>
      <c r="C36" s="30">
        <v>46571.0</v>
      </c>
      <c r="D36" s="8">
        <f t="shared" si="1"/>
        <v>1951950.284</v>
      </c>
      <c r="E36" s="46"/>
      <c r="F36" s="8">
        <f t="shared" si="3"/>
        <v>553969.0399</v>
      </c>
      <c r="G36" s="8">
        <f t="shared" si="4"/>
        <v>1397981.244</v>
      </c>
      <c r="H36" s="8">
        <f t="shared" si="5"/>
        <v>53998922.74</v>
      </c>
      <c r="J36" s="5"/>
    </row>
    <row r="37" ht="15.75" customHeight="1">
      <c r="B37" s="2"/>
      <c r="C37" s="30">
        <v>46602.0</v>
      </c>
      <c r="D37" s="8">
        <f t="shared" si="1"/>
        <v>1951950.284</v>
      </c>
      <c r="E37" s="46"/>
      <c r="F37" s="8">
        <f t="shared" si="3"/>
        <v>539989.2274</v>
      </c>
      <c r="G37" s="8">
        <f t="shared" si="4"/>
        <v>1411961.057</v>
      </c>
      <c r="H37" s="8">
        <f t="shared" si="5"/>
        <v>52586961.69</v>
      </c>
      <c r="J37" s="5"/>
    </row>
    <row r="38" ht="15.75" customHeight="1">
      <c r="B38" s="2"/>
      <c r="C38" s="30">
        <v>46633.0</v>
      </c>
      <c r="D38" s="8">
        <f t="shared" si="1"/>
        <v>1951950.284</v>
      </c>
      <c r="E38" s="46"/>
      <c r="F38" s="8">
        <f t="shared" si="3"/>
        <v>525869.6169</v>
      </c>
      <c r="G38" s="8">
        <f t="shared" si="4"/>
        <v>1426080.667</v>
      </c>
      <c r="H38" s="8">
        <f t="shared" si="5"/>
        <v>51160881.02</v>
      </c>
      <c r="J38" s="5"/>
    </row>
    <row r="39" ht="15.75" customHeight="1">
      <c r="B39" s="2"/>
      <c r="C39" s="30">
        <v>46663.0</v>
      </c>
      <c r="D39" s="8">
        <f t="shared" si="1"/>
        <v>1951950.284</v>
      </c>
      <c r="E39" s="46"/>
      <c r="F39" s="8">
        <f t="shared" si="3"/>
        <v>511608.8102</v>
      </c>
      <c r="G39" s="8">
        <f t="shared" si="4"/>
        <v>1440341.474</v>
      </c>
      <c r="H39" s="8">
        <f t="shared" si="5"/>
        <v>49720539.54</v>
      </c>
      <c r="J39" s="5"/>
    </row>
    <row r="40" ht="15.75" customHeight="1">
      <c r="B40" s="2"/>
      <c r="C40" s="30">
        <v>46694.0</v>
      </c>
      <c r="D40" s="8">
        <f t="shared" si="1"/>
        <v>1951950.284</v>
      </c>
      <c r="E40" s="46"/>
      <c r="F40" s="8">
        <f t="shared" si="3"/>
        <v>497205.3954</v>
      </c>
      <c r="G40" s="8">
        <f t="shared" si="4"/>
        <v>1454744.889</v>
      </c>
      <c r="H40" s="8">
        <f t="shared" si="5"/>
        <v>48265794.65</v>
      </c>
      <c r="J40" s="5"/>
    </row>
    <row r="41" ht="15.75" customHeight="1">
      <c r="B41" s="2"/>
      <c r="C41" s="30">
        <v>46724.0</v>
      </c>
      <c r="D41" s="8">
        <f t="shared" si="1"/>
        <v>1951950.284</v>
      </c>
      <c r="E41" s="46"/>
      <c r="F41" s="8">
        <f t="shared" si="3"/>
        <v>482657.9465</v>
      </c>
      <c r="G41" s="8">
        <f t="shared" si="4"/>
        <v>1469292.338</v>
      </c>
      <c r="H41" s="8">
        <f t="shared" si="5"/>
        <v>46796502.32</v>
      </c>
      <c r="J41" s="5"/>
    </row>
    <row r="42" ht="15.75" customHeight="1">
      <c r="B42" s="2"/>
      <c r="C42" s="30">
        <v>46755.0</v>
      </c>
      <c r="D42" s="8">
        <f t="shared" si="1"/>
        <v>1951950.284</v>
      </c>
      <c r="E42" s="46"/>
      <c r="F42" s="8">
        <f t="shared" si="3"/>
        <v>467965.0232</v>
      </c>
      <c r="G42" s="8">
        <f t="shared" si="4"/>
        <v>1483985.261</v>
      </c>
      <c r="H42" s="8">
        <f t="shared" si="5"/>
        <v>45312517.06</v>
      </c>
      <c r="J42" s="5"/>
    </row>
    <row r="43" ht="15.75" customHeight="1">
      <c r="B43" s="2"/>
      <c r="C43" s="30">
        <v>46786.0</v>
      </c>
      <c r="D43" s="8">
        <f t="shared" si="1"/>
        <v>1951950.284</v>
      </c>
      <c r="E43" s="46"/>
      <c r="F43" s="8">
        <f t="shared" si="3"/>
        <v>453125.1706</v>
      </c>
      <c r="G43" s="8">
        <f t="shared" si="4"/>
        <v>1498825.114</v>
      </c>
      <c r="H43" s="8">
        <f t="shared" si="5"/>
        <v>43813691.94</v>
      </c>
      <c r="J43" s="5"/>
    </row>
    <row r="44" ht="15.75" customHeight="1">
      <c r="B44" s="2"/>
      <c r="C44" s="30">
        <v>46815.0</v>
      </c>
      <c r="D44" s="8">
        <f t="shared" si="1"/>
        <v>1951950.284</v>
      </c>
      <c r="E44" s="46"/>
      <c r="F44" s="8">
        <f t="shared" si="3"/>
        <v>438136.9194</v>
      </c>
      <c r="G44" s="8">
        <f t="shared" si="4"/>
        <v>1513813.365</v>
      </c>
      <c r="H44" s="8">
        <f t="shared" si="5"/>
        <v>42299878.58</v>
      </c>
      <c r="J44" s="5"/>
    </row>
    <row r="45" ht="15.75" customHeight="1">
      <c r="B45" s="2"/>
      <c r="C45" s="30">
        <v>46846.0</v>
      </c>
      <c r="D45" s="8">
        <f t="shared" si="1"/>
        <v>1951950.284</v>
      </c>
      <c r="E45" s="46"/>
      <c r="F45" s="8">
        <f t="shared" si="3"/>
        <v>422998.7858</v>
      </c>
      <c r="G45" s="8">
        <f t="shared" si="4"/>
        <v>1528951.499</v>
      </c>
      <c r="H45" s="8">
        <f t="shared" si="5"/>
        <v>40770927.08</v>
      </c>
      <c r="J45" s="5"/>
    </row>
    <row r="46" ht="15.75" customHeight="1">
      <c r="B46" s="2"/>
      <c r="C46" s="30">
        <v>46876.0</v>
      </c>
      <c r="D46" s="8">
        <f t="shared" si="1"/>
        <v>1951950.284</v>
      </c>
      <c r="E46" s="46"/>
      <c r="F46" s="8">
        <f t="shared" si="3"/>
        <v>407709.2708</v>
      </c>
      <c r="G46" s="8">
        <f t="shared" si="4"/>
        <v>1544241.014</v>
      </c>
      <c r="H46" s="8">
        <f t="shared" si="5"/>
        <v>39226686.06</v>
      </c>
      <c r="J46" s="5"/>
    </row>
    <row r="47" ht="15.75" customHeight="1">
      <c r="B47" s="2"/>
      <c r="C47" s="30">
        <v>46907.0</v>
      </c>
      <c r="D47" s="8">
        <f t="shared" si="1"/>
        <v>1951950.284</v>
      </c>
      <c r="E47" s="46"/>
      <c r="F47" s="8">
        <f t="shared" si="3"/>
        <v>392266.8606</v>
      </c>
      <c r="G47" s="8">
        <f t="shared" si="4"/>
        <v>1559683.424</v>
      </c>
      <c r="H47" s="8">
        <f t="shared" si="5"/>
        <v>37667002.64</v>
      </c>
      <c r="J47" s="5"/>
    </row>
    <row r="48" ht="15.75" customHeight="1">
      <c r="B48" s="2"/>
      <c r="C48" s="30">
        <v>46937.0</v>
      </c>
      <c r="D48" s="8">
        <f t="shared" si="1"/>
        <v>1951950.284</v>
      </c>
      <c r="E48" s="46"/>
      <c r="F48" s="8">
        <f t="shared" si="3"/>
        <v>376670.0264</v>
      </c>
      <c r="G48" s="8">
        <f t="shared" si="4"/>
        <v>1575280.258</v>
      </c>
      <c r="H48" s="8">
        <f t="shared" si="5"/>
        <v>36091722.38</v>
      </c>
      <c r="J48" s="5"/>
    </row>
    <row r="49" ht="15.75" customHeight="1">
      <c r="B49" s="2"/>
      <c r="C49" s="30">
        <v>46968.0</v>
      </c>
      <c r="D49" s="8">
        <f t="shared" si="1"/>
        <v>1951950.284</v>
      </c>
      <c r="E49" s="46"/>
      <c r="F49" s="8">
        <f t="shared" si="3"/>
        <v>360917.2238</v>
      </c>
      <c r="G49" s="8">
        <f t="shared" si="4"/>
        <v>1591033.061</v>
      </c>
      <c r="H49" s="8">
        <f t="shared" si="5"/>
        <v>34500689.32</v>
      </c>
      <c r="J49" s="5"/>
    </row>
    <row r="50" ht="15.75" customHeight="1">
      <c r="B50" s="2"/>
      <c r="C50" s="30">
        <v>46999.0</v>
      </c>
      <c r="D50" s="8">
        <f t="shared" si="1"/>
        <v>1951950.284</v>
      </c>
      <c r="E50" s="46"/>
      <c r="F50" s="8">
        <f t="shared" si="3"/>
        <v>345006.8932</v>
      </c>
      <c r="G50" s="8">
        <f t="shared" si="4"/>
        <v>1606943.391</v>
      </c>
      <c r="H50" s="8">
        <f t="shared" si="5"/>
        <v>32893745.93</v>
      </c>
      <c r="J50" s="5"/>
    </row>
    <row r="51" ht="15.75" customHeight="1">
      <c r="B51" s="2"/>
      <c r="C51" s="30">
        <v>47029.0</v>
      </c>
      <c r="D51" s="8">
        <f t="shared" si="1"/>
        <v>1951950.284</v>
      </c>
      <c r="E51" s="46"/>
      <c r="F51" s="8">
        <f t="shared" si="3"/>
        <v>328937.4593</v>
      </c>
      <c r="G51" s="8">
        <f t="shared" si="4"/>
        <v>1623012.825</v>
      </c>
      <c r="H51" s="8">
        <f t="shared" si="5"/>
        <v>31270733.11</v>
      </c>
      <c r="J51" s="5"/>
    </row>
    <row r="52" ht="15.75" customHeight="1">
      <c r="B52" s="2"/>
      <c r="C52" s="30">
        <v>47060.0</v>
      </c>
      <c r="D52" s="8">
        <f t="shared" si="1"/>
        <v>1951950.284</v>
      </c>
      <c r="E52" s="46"/>
      <c r="F52" s="8">
        <f t="shared" si="3"/>
        <v>312707.3311</v>
      </c>
      <c r="G52" s="8">
        <f t="shared" si="4"/>
        <v>1639242.953</v>
      </c>
      <c r="H52" s="8">
        <f t="shared" si="5"/>
        <v>29631490.15</v>
      </c>
      <c r="J52" s="5"/>
    </row>
    <row r="53" ht="15.75" customHeight="1">
      <c r="B53" s="2"/>
      <c r="C53" s="30">
        <v>47090.0</v>
      </c>
      <c r="D53" s="8">
        <f t="shared" si="1"/>
        <v>1951950.284</v>
      </c>
      <c r="E53" s="46"/>
      <c r="F53" s="8">
        <f t="shared" si="3"/>
        <v>296314.9015</v>
      </c>
      <c r="G53" s="8">
        <f t="shared" si="4"/>
        <v>1655635.383</v>
      </c>
      <c r="H53" s="8">
        <f t="shared" si="5"/>
        <v>27975854.77</v>
      </c>
      <c r="J53" s="5"/>
    </row>
    <row r="54" ht="15.75" customHeight="1">
      <c r="B54" s="2"/>
      <c r="C54" s="30">
        <v>47121.0</v>
      </c>
      <c r="D54" s="8">
        <f t="shared" si="1"/>
        <v>1951950.284</v>
      </c>
      <c r="E54" s="46"/>
      <c r="F54" s="8">
        <f t="shared" si="3"/>
        <v>279758.5477</v>
      </c>
      <c r="G54" s="8">
        <f t="shared" si="4"/>
        <v>1672191.737</v>
      </c>
      <c r="H54" s="8">
        <f t="shared" si="5"/>
        <v>26303663.03</v>
      </c>
      <c r="J54" s="5"/>
    </row>
    <row r="55" ht="15.75" customHeight="1">
      <c r="B55" s="2"/>
      <c r="C55" s="30">
        <v>47152.0</v>
      </c>
      <c r="D55" s="8">
        <f t="shared" si="1"/>
        <v>1951950.284</v>
      </c>
      <c r="E55" s="46"/>
      <c r="F55" s="8">
        <f t="shared" si="3"/>
        <v>263036.6303</v>
      </c>
      <c r="G55" s="8">
        <f t="shared" si="4"/>
        <v>1688913.654</v>
      </c>
      <c r="H55" s="8">
        <f t="shared" si="5"/>
        <v>24614749.38</v>
      </c>
      <c r="J55" s="5"/>
    </row>
    <row r="56" ht="15.75" customHeight="1">
      <c r="B56" s="2"/>
      <c r="C56" s="30">
        <v>47180.0</v>
      </c>
      <c r="D56" s="8">
        <f t="shared" si="1"/>
        <v>1951950.284</v>
      </c>
      <c r="E56" s="46"/>
      <c r="F56" s="8">
        <f t="shared" si="3"/>
        <v>246147.4938</v>
      </c>
      <c r="G56" s="8">
        <f t="shared" si="4"/>
        <v>1705802.791</v>
      </c>
      <c r="H56" s="8">
        <f t="shared" si="5"/>
        <v>22908946.59</v>
      </c>
      <c r="J56" s="5"/>
    </row>
    <row r="57" ht="15.75" customHeight="1">
      <c r="B57" s="2"/>
      <c r="C57" s="30">
        <v>47211.0</v>
      </c>
      <c r="D57" s="8">
        <f t="shared" si="1"/>
        <v>1951950.284</v>
      </c>
      <c r="E57" s="46"/>
      <c r="F57" s="8">
        <f t="shared" si="3"/>
        <v>229089.4659</v>
      </c>
      <c r="G57" s="8">
        <f t="shared" si="4"/>
        <v>1722860.818</v>
      </c>
      <c r="H57" s="8">
        <f t="shared" si="5"/>
        <v>21186085.77</v>
      </c>
      <c r="J57" s="5"/>
    </row>
    <row r="58" ht="15.75" customHeight="1">
      <c r="B58" s="2"/>
      <c r="C58" s="30">
        <v>47241.0</v>
      </c>
      <c r="D58" s="8">
        <f t="shared" si="1"/>
        <v>1951950.284</v>
      </c>
      <c r="E58" s="46"/>
      <c r="F58" s="8">
        <f t="shared" si="3"/>
        <v>211860.8577</v>
      </c>
      <c r="G58" s="8">
        <f t="shared" si="4"/>
        <v>1740089.427</v>
      </c>
      <c r="H58" s="8">
        <f t="shared" si="5"/>
        <v>19445996.34</v>
      </c>
      <c r="J58" s="5"/>
    </row>
    <row r="59" ht="15.75" customHeight="1">
      <c r="B59" s="2"/>
      <c r="C59" s="30">
        <v>47272.0</v>
      </c>
      <c r="D59" s="8">
        <f t="shared" si="1"/>
        <v>1951950.284</v>
      </c>
      <c r="E59" s="46"/>
      <c r="F59" s="8">
        <f t="shared" si="3"/>
        <v>194459.9634</v>
      </c>
      <c r="G59" s="8">
        <f t="shared" si="4"/>
        <v>1757490.321</v>
      </c>
      <c r="H59" s="8">
        <f t="shared" si="5"/>
        <v>17688506.02</v>
      </c>
      <c r="J59" s="5"/>
    </row>
    <row r="60" ht="15.75" customHeight="1">
      <c r="B60" s="2"/>
      <c r="C60" s="30">
        <v>47302.0</v>
      </c>
      <c r="D60" s="8">
        <f t="shared" si="1"/>
        <v>1951950.284</v>
      </c>
      <c r="E60" s="46"/>
      <c r="F60" s="8">
        <f t="shared" si="3"/>
        <v>176885.0602</v>
      </c>
      <c r="G60" s="8">
        <f t="shared" si="4"/>
        <v>1775065.224</v>
      </c>
      <c r="H60" s="8">
        <f t="shared" si="5"/>
        <v>15913440.8</v>
      </c>
      <c r="J60" s="5"/>
    </row>
    <row r="61" ht="15.75" customHeight="1">
      <c r="B61" s="2"/>
      <c r="C61" s="30">
        <v>47333.0</v>
      </c>
      <c r="D61" s="8">
        <f t="shared" si="1"/>
        <v>1951950.284</v>
      </c>
      <c r="E61" s="46"/>
      <c r="F61" s="8">
        <f t="shared" si="3"/>
        <v>159134.408</v>
      </c>
      <c r="G61" s="8">
        <f t="shared" si="4"/>
        <v>1792815.876</v>
      </c>
      <c r="H61" s="8">
        <f t="shared" si="5"/>
        <v>14120624.92</v>
      </c>
      <c r="J61" s="5"/>
    </row>
    <row r="62" ht="15.75" customHeight="1">
      <c r="B62" s="2"/>
      <c r="C62" s="30">
        <v>47364.0</v>
      </c>
      <c r="D62" s="8">
        <f t="shared" si="1"/>
        <v>1951950.284</v>
      </c>
      <c r="E62" s="46"/>
      <c r="F62" s="8">
        <f t="shared" si="3"/>
        <v>141206.2492</v>
      </c>
      <c r="G62" s="8">
        <f t="shared" si="4"/>
        <v>1810744.035</v>
      </c>
      <c r="H62" s="8">
        <f t="shared" si="5"/>
        <v>12309880.89</v>
      </c>
      <c r="J62" s="5"/>
    </row>
    <row r="63" ht="15.75" customHeight="1">
      <c r="B63" s="2"/>
      <c r="C63" s="30">
        <v>47394.0</v>
      </c>
      <c r="D63" s="8">
        <f t="shared" si="1"/>
        <v>1951950.284</v>
      </c>
      <c r="E63" s="46"/>
      <c r="F63" s="8">
        <f t="shared" si="3"/>
        <v>123098.8089</v>
      </c>
      <c r="G63" s="8">
        <f t="shared" si="4"/>
        <v>1828851.475</v>
      </c>
      <c r="H63" s="8">
        <f t="shared" si="5"/>
        <v>10481029.41</v>
      </c>
      <c r="J63" s="5"/>
    </row>
    <row r="64" ht="15.75" customHeight="1">
      <c r="B64" s="2"/>
      <c r="C64" s="30">
        <v>47425.0</v>
      </c>
      <c r="D64" s="8">
        <f t="shared" si="1"/>
        <v>1951950.284</v>
      </c>
      <c r="E64" s="46"/>
      <c r="F64" s="8">
        <f t="shared" si="3"/>
        <v>104810.2941</v>
      </c>
      <c r="G64" s="8">
        <f t="shared" si="4"/>
        <v>1847139.99</v>
      </c>
      <c r="H64" s="8">
        <f t="shared" si="5"/>
        <v>8633889.422</v>
      </c>
      <c r="J64" s="5"/>
    </row>
    <row r="65" ht="15.75" customHeight="1">
      <c r="B65" s="2"/>
      <c r="C65" s="30">
        <v>47455.0</v>
      </c>
      <c r="D65" s="8">
        <f t="shared" si="1"/>
        <v>1951950.284</v>
      </c>
      <c r="E65" s="46"/>
      <c r="F65" s="8">
        <f t="shared" si="3"/>
        <v>86338.89422</v>
      </c>
      <c r="G65" s="8">
        <f t="shared" si="4"/>
        <v>1865611.39</v>
      </c>
      <c r="H65" s="8">
        <f t="shared" si="5"/>
        <v>6768278.032</v>
      </c>
      <c r="J65" s="5"/>
    </row>
    <row r="66" ht="15.75" customHeight="1">
      <c r="B66" s="2"/>
      <c r="C66" s="30">
        <v>47486.0</v>
      </c>
      <c r="D66" s="8">
        <f t="shared" si="1"/>
        <v>1951950.284</v>
      </c>
      <c r="E66" s="46"/>
      <c r="F66" s="8">
        <f t="shared" si="3"/>
        <v>67682.78032</v>
      </c>
      <c r="G66" s="8">
        <f t="shared" si="4"/>
        <v>1884267.504</v>
      </c>
      <c r="H66" s="8">
        <f t="shared" si="5"/>
        <v>4884010.528</v>
      </c>
      <c r="J66" s="5"/>
    </row>
    <row r="67" ht="15.75" customHeight="1">
      <c r="B67" s="2"/>
      <c r="C67" s="30">
        <v>47517.0</v>
      </c>
      <c r="D67" s="8">
        <f t="shared" si="1"/>
        <v>1951950.284</v>
      </c>
      <c r="E67" s="46"/>
      <c r="F67" s="8">
        <f t="shared" si="3"/>
        <v>48840.10528</v>
      </c>
      <c r="G67" s="8">
        <f t="shared" si="4"/>
        <v>1903110.179</v>
      </c>
      <c r="H67" s="8">
        <f t="shared" si="5"/>
        <v>2980900.349</v>
      </c>
      <c r="J67" s="5"/>
    </row>
    <row r="68" ht="15.75" customHeight="1">
      <c r="B68" s="2"/>
      <c r="C68" s="30">
        <v>47545.0</v>
      </c>
      <c r="D68" s="8">
        <f t="shared" si="1"/>
        <v>1951950.284</v>
      </c>
      <c r="E68" s="46"/>
      <c r="F68" s="8">
        <f t="shared" si="3"/>
        <v>29809.00349</v>
      </c>
      <c r="G68" s="8">
        <f t="shared" si="4"/>
        <v>1922141.281</v>
      </c>
      <c r="H68" s="8">
        <f t="shared" si="5"/>
        <v>1058759.068</v>
      </c>
      <c r="J68" s="5"/>
    </row>
    <row r="69" ht="15.75" customHeight="1">
      <c r="A69" s="47"/>
      <c r="B69" s="48"/>
      <c r="C69" s="49">
        <v>47576.0</v>
      </c>
      <c r="D69" s="50">
        <f t="shared" si="1"/>
        <v>1951950.284</v>
      </c>
      <c r="E69" s="51"/>
      <c r="F69" s="50">
        <f t="shared" si="3"/>
        <v>10587.59068</v>
      </c>
      <c r="G69" s="50">
        <f t="shared" si="4"/>
        <v>1941362.694</v>
      </c>
      <c r="H69" s="50">
        <f t="shared" si="5"/>
        <v>-882603.6257</v>
      </c>
      <c r="J69" s="5"/>
    </row>
    <row r="70" ht="15.75" customHeight="1">
      <c r="A70" s="47"/>
      <c r="B70" s="48"/>
      <c r="C70" s="49">
        <v>47606.0</v>
      </c>
      <c r="D70" s="50">
        <f t="shared" si="1"/>
        <v>1951950.284</v>
      </c>
      <c r="E70" s="51"/>
      <c r="F70" s="50">
        <f t="shared" si="3"/>
        <v>-8826.036257</v>
      </c>
      <c r="G70" s="50">
        <f t="shared" si="4"/>
        <v>1960776.321</v>
      </c>
      <c r="H70" s="50">
        <f t="shared" si="5"/>
        <v>-2843379.946</v>
      </c>
      <c r="J70" s="5"/>
    </row>
    <row r="71" ht="15.75" customHeight="1">
      <c r="B71" s="2"/>
      <c r="C71" s="13"/>
      <c r="E71" s="9"/>
      <c r="J71" s="5"/>
    </row>
    <row r="72" ht="15.75" customHeight="1">
      <c r="B72" s="2"/>
      <c r="C72" s="13"/>
      <c r="E72" s="9"/>
      <c r="J72" s="5"/>
    </row>
    <row r="73" ht="15.75" customHeight="1">
      <c r="B73" s="2"/>
      <c r="C73" s="13"/>
      <c r="E73" s="9"/>
      <c r="J73" s="5"/>
    </row>
    <row r="74" ht="15.75" customHeight="1">
      <c r="B74" s="2"/>
      <c r="C74" s="13"/>
      <c r="E74" s="9"/>
      <c r="J74" s="5"/>
    </row>
    <row r="75" ht="15.75" customHeight="1">
      <c r="B75" s="2"/>
      <c r="C75" s="13"/>
      <c r="E75" s="9"/>
      <c r="J75" s="5"/>
    </row>
    <row r="76" ht="15.75" customHeight="1">
      <c r="B76" s="2"/>
      <c r="C76" s="13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11.22"/>
    <col customWidth="1" min="3" max="3" width="12.0"/>
    <col customWidth="1" min="4" max="4" width="15.44"/>
    <col customWidth="1" min="5" max="5" width="16.78"/>
    <col customWidth="1" min="6" max="7" width="12.78"/>
    <col customWidth="1" min="8" max="8" width="17.11"/>
    <col customWidth="1" min="9" max="10" width="13.11"/>
    <col customWidth="1" min="11" max="28" width="10.44"/>
  </cols>
  <sheetData>
    <row r="1" ht="15.75" customHeight="1">
      <c r="B1" s="2"/>
      <c r="C1" s="1" t="s">
        <v>0</v>
      </c>
      <c r="D1" s="3" t="s">
        <v>1</v>
      </c>
      <c r="E1" s="4"/>
      <c r="G1" s="1" t="s">
        <v>916</v>
      </c>
      <c r="J1" s="5"/>
    </row>
    <row r="2" ht="15.75" customHeight="1">
      <c r="B2" s="2"/>
      <c r="C2" s="1" t="s">
        <v>6</v>
      </c>
      <c r="D2" s="6">
        <f>+A5*10%</f>
        <v>10000000</v>
      </c>
      <c r="E2" s="7"/>
      <c r="J2" s="5"/>
    </row>
    <row r="3" ht="15.75" customHeight="1">
      <c r="B3" s="2"/>
      <c r="C3" s="1" t="s">
        <v>7</v>
      </c>
      <c r="D3" s="8">
        <f>+A5-D2</f>
        <v>90000000</v>
      </c>
      <c r="E3" s="9"/>
      <c r="H3" s="5"/>
      <c r="J3" s="5"/>
    </row>
    <row r="4" ht="15.75" customHeight="1">
      <c r="A4" s="10" t="s">
        <v>8</v>
      </c>
      <c r="B4" s="2"/>
      <c r="C4" s="1" t="s">
        <v>9</v>
      </c>
      <c r="D4" s="11">
        <v>0.01</v>
      </c>
      <c r="E4" s="12"/>
      <c r="H4" s="5"/>
      <c r="J4" s="5"/>
    </row>
    <row r="5" ht="15.75" customHeight="1">
      <c r="A5" s="8">
        <v>1.0E8</v>
      </c>
      <c r="B5" s="2"/>
      <c r="C5" s="1" t="s">
        <v>10</v>
      </c>
      <c r="D5" s="13">
        <v>60.0</v>
      </c>
      <c r="E5" s="12"/>
      <c r="H5" s="5"/>
      <c r="J5" s="5"/>
    </row>
    <row r="6" ht="15.75" customHeight="1">
      <c r="B6" s="2"/>
      <c r="C6" s="1" t="s">
        <v>11</v>
      </c>
      <c r="D6" s="8">
        <f>PMT(D4,D5,-D3)</f>
        <v>2002000.292</v>
      </c>
      <c r="E6" s="12"/>
      <c r="H6" s="5"/>
      <c r="J6" s="5"/>
    </row>
    <row r="7" ht="33.0" customHeight="1">
      <c r="B7" s="2"/>
      <c r="C7" s="1" t="s">
        <v>12</v>
      </c>
      <c r="D7" s="64" t="s">
        <v>917</v>
      </c>
      <c r="H7" s="5"/>
      <c r="J7" s="5"/>
    </row>
    <row r="8" ht="15.75" customHeight="1">
      <c r="B8" s="2"/>
      <c r="C8" s="1" t="s">
        <v>172</v>
      </c>
      <c r="D8" s="81" t="s">
        <v>918</v>
      </c>
      <c r="H8" s="5"/>
      <c r="I8" s="17"/>
      <c r="J8" s="19"/>
      <c r="K8" s="17"/>
      <c r="L8" s="21" t="s">
        <v>919</v>
      </c>
      <c r="M8" s="22"/>
      <c r="N8" s="22"/>
      <c r="O8" s="22"/>
      <c r="P8" s="22"/>
      <c r="Q8" s="22"/>
      <c r="R8" s="22"/>
      <c r="S8" s="22"/>
      <c r="T8" s="22"/>
      <c r="U8" s="22"/>
      <c r="V8" s="17"/>
      <c r="W8" s="17"/>
      <c r="X8" s="17"/>
      <c r="Y8" s="17"/>
      <c r="Z8" s="17"/>
      <c r="AA8" s="17"/>
      <c r="AB8" s="17"/>
    </row>
    <row r="9" ht="15.75" customHeight="1">
      <c r="A9" s="1" t="s">
        <v>24</v>
      </c>
      <c r="B9" s="23" t="s">
        <v>25</v>
      </c>
      <c r="C9" s="17" t="s">
        <v>26</v>
      </c>
      <c r="D9" s="17" t="s">
        <v>11</v>
      </c>
      <c r="E9" s="17" t="s">
        <v>27</v>
      </c>
      <c r="F9" s="17" t="s">
        <v>28</v>
      </c>
      <c r="G9" s="17" t="s">
        <v>29</v>
      </c>
      <c r="H9" s="17" t="s">
        <v>30</v>
      </c>
      <c r="J9" s="5"/>
      <c r="L9" s="24" t="s">
        <v>24</v>
      </c>
      <c r="M9" s="24" t="s">
        <v>31</v>
      </c>
      <c r="N9" s="24" t="s">
        <v>32</v>
      </c>
      <c r="O9" s="24" t="s">
        <v>33</v>
      </c>
      <c r="P9" s="24" t="s">
        <v>34</v>
      </c>
      <c r="Q9" s="24" t="s">
        <v>35</v>
      </c>
      <c r="R9" s="24" t="s">
        <v>36</v>
      </c>
      <c r="S9" s="24" t="s">
        <v>37</v>
      </c>
      <c r="T9" s="24" t="s">
        <v>38</v>
      </c>
      <c r="U9" s="24" t="s">
        <v>39</v>
      </c>
    </row>
    <row r="10" ht="15.75" customHeight="1">
      <c r="B10" s="2"/>
      <c r="C10" s="13"/>
      <c r="D10" s="8"/>
      <c r="E10" s="9"/>
      <c r="F10" s="8"/>
      <c r="G10" s="8"/>
      <c r="H10" s="8">
        <f>+D3</f>
        <v>90000000</v>
      </c>
      <c r="J10" s="5"/>
      <c r="L10" s="25"/>
      <c r="M10" s="26" t="s">
        <v>40</v>
      </c>
      <c r="N10" s="25"/>
      <c r="O10" s="25"/>
      <c r="P10" s="25"/>
      <c r="Q10" s="25"/>
      <c r="R10" s="25"/>
      <c r="S10" s="25"/>
      <c r="T10" s="27">
        <v>1.30120017E8</v>
      </c>
      <c r="U10" s="25"/>
    </row>
    <row r="11" ht="15.75" customHeight="1">
      <c r="A11" s="29">
        <v>46042.0</v>
      </c>
      <c r="B11" s="2" t="s">
        <v>920</v>
      </c>
      <c r="C11" s="30">
        <v>46042.0</v>
      </c>
      <c r="D11" s="8">
        <f t="shared" ref="D11:D70" si="1">$D$6</f>
        <v>2002000.292</v>
      </c>
      <c r="E11" s="15">
        <f t="shared" ref="E11:E18" si="2">2000000-D11</f>
        <v>-2000.291641</v>
      </c>
      <c r="F11" s="8">
        <f t="shared" ref="F11:F70" si="3">+H10*$D$4</f>
        <v>900000</v>
      </c>
      <c r="G11" s="8">
        <f t="shared" ref="G11:G70" si="4">+D11+E11-F11</f>
        <v>1100000</v>
      </c>
      <c r="H11" s="8">
        <f t="shared" ref="H11:H70" si="5">+H10-G11</f>
        <v>88900000</v>
      </c>
      <c r="J11" s="5"/>
      <c r="L11" s="33">
        <v>45990.0</v>
      </c>
      <c r="M11" s="34" t="s">
        <v>44</v>
      </c>
      <c r="N11" s="35" t="s">
        <v>921</v>
      </c>
      <c r="O11" s="36">
        <v>1.0E7</v>
      </c>
      <c r="P11" s="36"/>
      <c r="Q11" s="36"/>
      <c r="R11" s="36"/>
      <c r="S11" s="36">
        <f t="shared" ref="S11:S19" si="6">SUM(O11:R11)</f>
        <v>10000000</v>
      </c>
      <c r="T11" s="36">
        <f t="shared" ref="T11:T19" si="7">T10-S11</f>
        <v>120120017</v>
      </c>
      <c r="U11" s="34"/>
    </row>
    <row r="12" ht="15.75" customHeight="1">
      <c r="A12" s="29">
        <v>46073.0</v>
      </c>
      <c r="B12" s="2" t="s">
        <v>922</v>
      </c>
      <c r="C12" s="30">
        <v>46073.0</v>
      </c>
      <c r="D12" s="8">
        <f t="shared" si="1"/>
        <v>2002000.292</v>
      </c>
      <c r="E12" s="15">
        <f t="shared" si="2"/>
        <v>-2000.291641</v>
      </c>
      <c r="F12" s="8">
        <f t="shared" si="3"/>
        <v>889000</v>
      </c>
      <c r="G12" s="8">
        <f t="shared" si="4"/>
        <v>1111000</v>
      </c>
      <c r="H12" s="8">
        <f t="shared" si="5"/>
        <v>87789000</v>
      </c>
      <c r="J12" s="5"/>
      <c r="L12" s="33">
        <v>46042.0</v>
      </c>
      <c r="M12" s="34" t="s">
        <v>73</v>
      </c>
      <c r="N12" s="35" t="s">
        <v>920</v>
      </c>
      <c r="O12" s="36">
        <v>2000000.0</v>
      </c>
      <c r="P12" s="36"/>
      <c r="Q12" s="36"/>
      <c r="R12" s="36"/>
      <c r="S12" s="36">
        <f t="shared" si="6"/>
        <v>2000000</v>
      </c>
      <c r="T12" s="36">
        <f t="shared" si="7"/>
        <v>118120017</v>
      </c>
      <c r="U12" s="34"/>
    </row>
    <row r="13" ht="15.75" customHeight="1">
      <c r="A13" s="29">
        <v>46106.0</v>
      </c>
      <c r="B13" s="2" t="s">
        <v>923</v>
      </c>
      <c r="C13" s="30">
        <v>46101.0</v>
      </c>
      <c r="D13" s="8">
        <f t="shared" si="1"/>
        <v>2002000.292</v>
      </c>
      <c r="E13" s="15">
        <f t="shared" si="2"/>
        <v>-2000.291641</v>
      </c>
      <c r="F13" s="8">
        <f t="shared" si="3"/>
        <v>877890</v>
      </c>
      <c r="G13" s="8">
        <f t="shared" si="4"/>
        <v>1122110</v>
      </c>
      <c r="H13" s="8">
        <f t="shared" si="5"/>
        <v>86666890</v>
      </c>
      <c r="J13" s="5" t="s">
        <v>56</v>
      </c>
      <c r="L13" s="33">
        <v>46073.0</v>
      </c>
      <c r="M13" s="34" t="s">
        <v>78</v>
      </c>
      <c r="N13" s="35" t="s">
        <v>922</v>
      </c>
      <c r="O13" s="36">
        <v>2000000.0</v>
      </c>
      <c r="P13" s="36"/>
      <c r="Q13" s="36"/>
      <c r="R13" s="36"/>
      <c r="S13" s="36">
        <f t="shared" si="6"/>
        <v>2000000</v>
      </c>
      <c r="T13" s="36">
        <f t="shared" si="7"/>
        <v>116120017</v>
      </c>
      <c r="U13" s="34"/>
    </row>
    <row r="14" ht="15.75" customHeight="1">
      <c r="A14" s="29">
        <v>46137.0</v>
      </c>
      <c r="B14" s="2" t="s">
        <v>924</v>
      </c>
      <c r="C14" s="30">
        <v>46132.0</v>
      </c>
      <c r="D14" s="8">
        <f t="shared" si="1"/>
        <v>2002000.292</v>
      </c>
      <c r="E14" s="15">
        <f t="shared" si="2"/>
        <v>-2000.291641</v>
      </c>
      <c r="F14" s="8">
        <f t="shared" si="3"/>
        <v>866668.9</v>
      </c>
      <c r="G14" s="8">
        <f t="shared" si="4"/>
        <v>1133331.1</v>
      </c>
      <c r="H14" s="8">
        <f t="shared" si="5"/>
        <v>85533558.9</v>
      </c>
      <c r="J14" s="8">
        <f>+H10</f>
        <v>90000000</v>
      </c>
      <c r="L14" s="33">
        <v>46106.0</v>
      </c>
      <c r="M14" s="34" t="s">
        <v>83</v>
      </c>
      <c r="N14" s="35" t="s">
        <v>923</v>
      </c>
      <c r="O14" s="36">
        <v>2000000.0</v>
      </c>
      <c r="P14" s="36"/>
      <c r="Q14" s="36"/>
      <c r="R14" s="36"/>
      <c r="S14" s="36">
        <f t="shared" si="6"/>
        <v>2000000</v>
      </c>
      <c r="T14" s="36">
        <f t="shared" si="7"/>
        <v>114120017</v>
      </c>
      <c r="U14" s="34"/>
    </row>
    <row r="15" ht="15.75" customHeight="1">
      <c r="A15" s="29">
        <v>46167.0</v>
      </c>
      <c r="B15" s="2" t="s">
        <v>925</v>
      </c>
      <c r="C15" s="30">
        <v>46162.0</v>
      </c>
      <c r="D15" s="8">
        <f t="shared" si="1"/>
        <v>2002000.292</v>
      </c>
      <c r="E15" s="15">
        <f t="shared" si="2"/>
        <v>-2000.291641</v>
      </c>
      <c r="F15" s="8">
        <f t="shared" si="3"/>
        <v>855335.589</v>
      </c>
      <c r="G15" s="8">
        <f t="shared" si="4"/>
        <v>1144664.411</v>
      </c>
      <c r="H15" s="8">
        <f t="shared" si="5"/>
        <v>84388894.49</v>
      </c>
      <c r="J15" s="5"/>
      <c r="L15" s="33">
        <v>46137.0</v>
      </c>
      <c r="M15" s="34" t="s">
        <v>85</v>
      </c>
      <c r="N15" s="35" t="s">
        <v>924</v>
      </c>
      <c r="O15" s="36">
        <v>2000000.0</v>
      </c>
      <c r="P15" s="36"/>
      <c r="Q15" s="36"/>
      <c r="R15" s="36"/>
      <c r="S15" s="36">
        <f t="shared" si="6"/>
        <v>2000000</v>
      </c>
      <c r="T15" s="36">
        <f t="shared" si="7"/>
        <v>112120017</v>
      </c>
      <c r="U15" s="34"/>
    </row>
    <row r="16" ht="15.75" customHeight="1">
      <c r="A16" s="29">
        <v>46198.0</v>
      </c>
      <c r="B16" s="2" t="s">
        <v>926</v>
      </c>
      <c r="C16" s="30">
        <v>46193.0</v>
      </c>
      <c r="D16" s="8">
        <f t="shared" si="1"/>
        <v>2002000.292</v>
      </c>
      <c r="E16" s="15">
        <f t="shared" si="2"/>
        <v>-2000.291641</v>
      </c>
      <c r="F16" s="8">
        <f t="shared" si="3"/>
        <v>843888.9449</v>
      </c>
      <c r="G16" s="8">
        <f t="shared" si="4"/>
        <v>1156111.055</v>
      </c>
      <c r="H16" s="8">
        <f t="shared" si="5"/>
        <v>83232783.43</v>
      </c>
      <c r="J16" s="5"/>
      <c r="L16" s="33">
        <v>46167.0</v>
      </c>
      <c r="M16" s="34" t="s">
        <v>89</v>
      </c>
      <c r="N16" s="35" t="s">
        <v>925</v>
      </c>
      <c r="O16" s="36">
        <v>2000000.0</v>
      </c>
      <c r="P16" s="36"/>
      <c r="Q16" s="36"/>
      <c r="R16" s="36"/>
      <c r="S16" s="36">
        <f t="shared" si="6"/>
        <v>2000000</v>
      </c>
      <c r="T16" s="36">
        <f t="shared" si="7"/>
        <v>110120017</v>
      </c>
      <c r="U16" s="34"/>
    </row>
    <row r="17" ht="15.75" customHeight="1">
      <c r="A17" s="29">
        <v>46234.0</v>
      </c>
      <c r="B17" s="2" t="s">
        <v>927</v>
      </c>
      <c r="C17" s="30">
        <v>46223.0</v>
      </c>
      <c r="D17" s="8">
        <f t="shared" si="1"/>
        <v>2002000.292</v>
      </c>
      <c r="E17" s="15">
        <f t="shared" si="2"/>
        <v>-2000.291641</v>
      </c>
      <c r="F17" s="8">
        <f t="shared" si="3"/>
        <v>832327.8343</v>
      </c>
      <c r="G17" s="8">
        <f t="shared" si="4"/>
        <v>1167672.166</v>
      </c>
      <c r="H17" s="8">
        <f t="shared" si="5"/>
        <v>82065111.27</v>
      </c>
      <c r="J17" s="5"/>
      <c r="L17" s="33">
        <v>46198.0</v>
      </c>
      <c r="M17" s="34" t="s">
        <v>93</v>
      </c>
      <c r="N17" s="35" t="s">
        <v>926</v>
      </c>
      <c r="O17" s="36">
        <v>2000000.0</v>
      </c>
      <c r="P17" s="36"/>
      <c r="Q17" s="36"/>
      <c r="R17" s="36"/>
      <c r="S17" s="36">
        <f t="shared" si="6"/>
        <v>2000000</v>
      </c>
      <c r="T17" s="36">
        <f t="shared" si="7"/>
        <v>108120017</v>
      </c>
      <c r="U17" s="34"/>
    </row>
    <row r="18" ht="15.75" customHeight="1">
      <c r="A18" s="29">
        <v>46258.0</v>
      </c>
      <c r="B18" s="2" t="s">
        <v>928</v>
      </c>
      <c r="C18" s="30">
        <v>46254.0</v>
      </c>
      <c r="D18" s="8">
        <f t="shared" si="1"/>
        <v>2002000.292</v>
      </c>
      <c r="E18" s="15">
        <f t="shared" si="2"/>
        <v>-2000.291641</v>
      </c>
      <c r="F18" s="8">
        <f t="shared" si="3"/>
        <v>820651.1127</v>
      </c>
      <c r="G18" s="8">
        <f t="shared" si="4"/>
        <v>1179348.887</v>
      </c>
      <c r="H18" s="8">
        <f t="shared" si="5"/>
        <v>80885762.38</v>
      </c>
      <c r="J18" s="5"/>
      <c r="L18" s="33">
        <v>46234.0</v>
      </c>
      <c r="M18" s="34" t="s">
        <v>96</v>
      </c>
      <c r="N18" s="35" t="s">
        <v>927</v>
      </c>
      <c r="O18" s="36">
        <v>2000000.0</v>
      </c>
      <c r="P18" s="36"/>
      <c r="Q18" s="36"/>
      <c r="R18" s="36"/>
      <c r="S18" s="36">
        <f t="shared" si="6"/>
        <v>2000000</v>
      </c>
      <c r="T18" s="36">
        <f t="shared" si="7"/>
        <v>106120017</v>
      </c>
      <c r="U18" s="34"/>
    </row>
    <row r="19" ht="15.75" customHeight="1">
      <c r="A19" s="37"/>
      <c r="B19" s="2"/>
      <c r="C19" s="30">
        <v>46285.0</v>
      </c>
      <c r="D19" s="8">
        <f t="shared" si="1"/>
        <v>2002000.292</v>
      </c>
      <c r="E19" s="15"/>
      <c r="F19" s="8">
        <f t="shared" si="3"/>
        <v>808857.6238</v>
      </c>
      <c r="G19" s="8">
        <f t="shared" si="4"/>
        <v>1193142.668</v>
      </c>
      <c r="H19" s="8">
        <f t="shared" si="5"/>
        <v>79692619.71</v>
      </c>
      <c r="I19" s="1"/>
      <c r="J19" s="41"/>
      <c r="K19" s="1"/>
      <c r="L19" s="78">
        <v>46258.0</v>
      </c>
      <c r="M19" s="43" t="s">
        <v>100</v>
      </c>
      <c r="N19" s="44" t="s">
        <v>928</v>
      </c>
      <c r="O19" s="45"/>
      <c r="P19" s="45"/>
      <c r="Q19" s="45"/>
      <c r="R19" s="45">
        <v>2000000.0</v>
      </c>
      <c r="S19" s="45">
        <f t="shared" si="6"/>
        <v>2000000</v>
      </c>
      <c r="T19" s="45">
        <f t="shared" si="7"/>
        <v>104120017</v>
      </c>
      <c r="U19" s="43" t="s">
        <v>125</v>
      </c>
      <c r="V19" s="1"/>
      <c r="W19" s="1"/>
      <c r="X19" s="1"/>
      <c r="Y19" s="1"/>
      <c r="Z19" s="1"/>
      <c r="AA19" s="1"/>
      <c r="AB19" s="1"/>
    </row>
    <row r="20" ht="15.75" customHeight="1">
      <c r="A20" s="37"/>
      <c r="B20" s="2"/>
      <c r="C20" s="30">
        <v>46315.0</v>
      </c>
      <c r="D20" s="8">
        <f t="shared" si="1"/>
        <v>2002000.292</v>
      </c>
      <c r="E20" s="15"/>
      <c r="F20" s="8">
        <f t="shared" si="3"/>
        <v>796926.1971</v>
      </c>
      <c r="G20" s="8">
        <f t="shared" si="4"/>
        <v>1205074.095</v>
      </c>
      <c r="H20" s="8">
        <f t="shared" si="5"/>
        <v>78487545.62</v>
      </c>
      <c r="J20" s="5"/>
      <c r="L20" s="25"/>
      <c r="M20" s="38" t="s">
        <v>69</v>
      </c>
      <c r="N20" s="39"/>
      <c r="O20" s="27">
        <f t="shared" ref="O20:S20" si="8">SUM(O11:O19)</f>
        <v>24000000</v>
      </c>
      <c r="P20" s="27">
        <f t="shared" si="8"/>
        <v>0</v>
      </c>
      <c r="Q20" s="27">
        <f t="shared" si="8"/>
        <v>0</v>
      </c>
      <c r="R20" s="27">
        <f t="shared" si="8"/>
        <v>2000000</v>
      </c>
      <c r="S20" s="27">
        <f t="shared" si="8"/>
        <v>26000000</v>
      </c>
      <c r="T20" s="27">
        <f>T19</f>
        <v>104120017</v>
      </c>
      <c r="U20" s="25"/>
    </row>
    <row r="21" ht="15.75" customHeight="1">
      <c r="A21" s="37"/>
      <c r="B21" s="2"/>
      <c r="C21" s="30">
        <v>46346.0</v>
      </c>
      <c r="D21" s="8">
        <f t="shared" si="1"/>
        <v>2002000.292</v>
      </c>
      <c r="E21" s="15"/>
      <c r="F21" s="8">
        <f t="shared" si="3"/>
        <v>784875.4562</v>
      </c>
      <c r="G21" s="8">
        <f t="shared" si="4"/>
        <v>1217124.835</v>
      </c>
      <c r="H21" s="8">
        <f t="shared" si="5"/>
        <v>77270420.78</v>
      </c>
      <c r="J21" s="5"/>
    </row>
    <row r="22" ht="15.75" customHeight="1">
      <c r="A22" s="37"/>
      <c r="B22" s="2"/>
      <c r="C22" s="30">
        <v>46376.0</v>
      </c>
      <c r="D22" s="8">
        <f t="shared" si="1"/>
        <v>2002000.292</v>
      </c>
      <c r="E22" s="15"/>
      <c r="F22" s="8">
        <f t="shared" si="3"/>
        <v>772704.2078</v>
      </c>
      <c r="G22" s="8">
        <f t="shared" si="4"/>
        <v>1229296.084</v>
      </c>
      <c r="H22" s="8">
        <f t="shared" si="5"/>
        <v>76041124.7</v>
      </c>
      <c r="J22" s="5"/>
    </row>
    <row r="23" ht="15.75" customHeight="1">
      <c r="A23" s="37"/>
      <c r="B23" s="2"/>
      <c r="C23" s="30">
        <v>46407.0</v>
      </c>
      <c r="D23" s="8">
        <f t="shared" si="1"/>
        <v>2002000.292</v>
      </c>
      <c r="E23" s="46"/>
      <c r="F23" s="8">
        <f t="shared" si="3"/>
        <v>760411.247</v>
      </c>
      <c r="G23" s="8">
        <f t="shared" si="4"/>
        <v>1241589.045</v>
      </c>
      <c r="H23" s="8">
        <f t="shared" si="5"/>
        <v>74799535.65</v>
      </c>
      <c r="J23" s="5"/>
    </row>
    <row r="24" ht="15.75" customHeight="1">
      <c r="A24" s="37"/>
      <c r="B24" s="2"/>
      <c r="C24" s="30">
        <v>46438.0</v>
      </c>
      <c r="D24" s="8">
        <f t="shared" si="1"/>
        <v>2002000.292</v>
      </c>
      <c r="E24" s="46"/>
      <c r="F24" s="8">
        <f t="shared" si="3"/>
        <v>747995.3565</v>
      </c>
      <c r="G24" s="8">
        <f t="shared" si="4"/>
        <v>1254004.935</v>
      </c>
      <c r="H24" s="8">
        <f t="shared" si="5"/>
        <v>73545530.72</v>
      </c>
      <c r="J24" s="5"/>
    </row>
    <row r="25" ht="15.75" customHeight="1">
      <c r="B25" s="2"/>
      <c r="C25" s="30">
        <v>46466.0</v>
      </c>
      <c r="D25" s="8">
        <f t="shared" si="1"/>
        <v>2002000.292</v>
      </c>
      <c r="E25" s="46"/>
      <c r="F25" s="8">
        <f t="shared" si="3"/>
        <v>735455.3072</v>
      </c>
      <c r="G25" s="8">
        <f t="shared" si="4"/>
        <v>1266544.984</v>
      </c>
      <c r="H25" s="8">
        <f t="shared" si="5"/>
        <v>72278985.74</v>
      </c>
      <c r="J25" s="5"/>
    </row>
    <row r="26" ht="15.75" customHeight="1">
      <c r="B26" s="2"/>
      <c r="C26" s="30">
        <v>46497.0</v>
      </c>
      <c r="D26" s="8">
        <f t="shared" si="1"/>
        <v>2002000.292</v>
      </c>
      <c r="E26" s="46"/>
      <c r="F26" s="8">
        <f t="shared" si="3"/>
        <v>722789.8574</v>
      </c>
      <c r="G26" s="8">
        <f t="shared" si="4"/>
        <v>1279210.434</v>
      </c>
      <c r="H26" s="8">
        <f t="shared" si="5"/>
        <v>70999775.3</v>
      </c>
      <c r="J26" s="5"/>
    </row>
    <row r="27" ht="15.75" customHeight="1">
      <c r="B27" s="2"/>
      <c r="C27" s="30">
        <v>46527.0</v>
      </c>
      <c r="D27" s="8">
        <f t="shared" si="1"/>
        <v>2002000.292</v>
      </c>
      <c r="E27" s="46"/>
      <c r="F27" s="8">
        <f t="shared" si="3"/>
        <v>709997.753</v>
      </c>
      <c r="G27" s="8">
        <f t="shared" si="4"/>
        <v>1292002.539</v>
      </c>
      <c r="H27" s="8">
        <f t="shared" si="5"/>
        <v>69707772.76</v>
      </c>
      <c r="J27" s="5"/>
    </row>
    <row r="28" ht="15.75" customHeight="1">
      <c r="B28" s="2"/>
      <c r="C28" s="30">
        <v>46558.0</v>
      </c>
      <c r="D28" s="8">
        <f t="shared" si="1"/>
        <v>2002000.292</v>
      </c>
      <c r="E28" s="46"/>
      <c r="F28" s="8">
        <f t="shared" si="3"/>
        <v>697077.7276</v>
      </c>
      <c r="G28" s="8">
        <f t="shared" si="4"/>
        <v>1304922.564</v>
      </c>
      <c r="H28" s="8">
        <f t="shared" si="5"/>
        <v>68402850.2</v>
      </c>
      <c r="J28" s="5"/>
    </row>
    <row r="29" ht="15.75" customHeight="1">
      <c r="B29" s="2"/>
      <c r="C29" s="30">
        <v>46588.0</v>
      </c>
      <c r="D29" s="8">
        <f t="shared" si="1"/>
        <v>2002000.292</v>
      </c>
      <c r="E29" s="46"/>
      <c r="F29" s="8">
        <f t="shared" si="3"/>
        <v>684028.502</v>
      </c>
      <c r="G29" s="8">
        <f t="shared" si="4"/>
        <v>1317971.79</v>
      </c>
      <c r="H29" s="8">
        <f t="shared" si="5"/>
        <v>67084878.41</v>
      </c>
      <c r="J29" s="5"/>
    </row>
    <row r="30" ht="15.75" customHeight="1">
      <c r="B30" s="2"/>
      <c r="C30" s="30">
        <v>46619.0</v>
      </c>
      <c r="D30" s="8">
        <f t="shared" si="1"/>
        <v>2002000.292</v>
      </c>
      <c r="E30" s="46"/>
      <c r="F30" s="8">
        <f t="shared" si="3"/>
        <v>670848.7841</v>
      </c>
      <c r="G30" s="8">
        <f t="shared" si="4"/>
        <v>1331151.508</v>
      </c>
      <c r="H30" s="8">
        <f t="shared" si="5"/>
        <v>65753726.9</v>
      </c>
      <c r="J30" s="5"/>
    </row>
    <row r="31" ht="15.75" customHeight="1">
      <c r="B31" s="2"/>
      <c r="C31" s="30">
        <v>46650.0</v>
      </c>
      <c r="D31" s="8">
        <f t="shared" si="1"/>
        <v>2002000.292</v>
      </c>
      <c r="E31" s="46"/>
      <c r="F31" s="8">
        <f t="shared" si="3"/>
        <v>657537.269</v>
      </c>
      <c r="G31" s="8">
        <f t="shared" si="4"/>
        <v>1344463.023</v>
      </c>
      <c r="H31" s="8">
        <f t="shared" si="5"/>
        <v>64409263.88</v>
      </c>
      <c r="J31" s="5"/>
    </row>
    <row r="32" ht="15.75" customHeight="1">
      <c r="B32" s="2"/>
      <c r="C32" s="30">
        <v>46680.0</v>
      </c>
      <c r="D32" s="8">
        <f t="shared" si="1"/>
        <v>2002000.292</v>
      </c>
      <c r="E32" s="46"/>
      <c r="F32" s="8">
        <f t="shared" si="3"/>
        <v>644092.6388</v>
      </c>
      <c r="G32" s="8">
        <f t="shared" si="4"/>
        <v>1357907.653</v>
      </c>
      <c r="H32" s="8">
        <f t="shared" si="5"/>
        <v>63051356.23</v>
      </c>
      <c r="J32" s="5"/>
    </row>
    <row r="33" ht="15.75" customHeight="1">
      <c r="B33" s="2"/>
      <c r="C33" s="30">
        <v>46711.0</v>
      </c>
      <c r="D33" s="8">
        <f t="shared" si="1"/>
        <v>2002000.292</v>
      </c>
      <c r="E33" s="46"/>
      <c r="F33" s="8">
        <f t="shared" si="3"/>
        <v>630513.5623</v>
      </c>
      <c r="G33" s="8">
        <f t="shared" si="4"/>
        <v>1371486.729</v>
      </c>
      <c r="H33" s="8">
        <f t="shared" si="5"/>
        <v>61679869.5</v>
      </c>
      <c r="J33" s="5"/>
    </row>
    <row r="34" ht="15.75" customHeight="1">
      <c r="B34" s="2"/>
      <c r="C34" s="30">
        <v>46741.0</v>
      </c>
      <c r="D34" s="8">
        <f t="shared" si="1"/>
        <v>2002000.292</v>
      </c>
      <c r="E34" s="46"/>
      <c r="F34" s="8">
        <f t="shared" si="3"/>
        <v>616798.695</v>
      </c>
      <c r="G34" s="8">
        <f t="shared" si="4"/>
        <v>1385201.597</v>
      </c>
      <c r="H34" s="8">
        <f t="shared" si="5"/>
        <v>60294667.9</v>
      </c>
      <c r="J34" s="5"/>
    </row>
    <row r="35" ht="15.75" customHeight="1">
      <c r="B35" s="2"/>
      <c r="C35" s="30">
        <v>46772.0</v>
      </c>
      <c r="D35" s="8">
        <f t="shared" si="1"/>
        <v>2002000.292</v>
      </c>
      <c r="E35" s="46"/>
      <c r="F35" s="8">
        <f t="shared" si="3"/>
        <v>602946.679</v>
      </c>
      <c r="G35" s="8">
        <f t="shared" si="4"/>
        <v>1399053.613</v>
      </c>
      <c r="H35" s="8">
        <f t="shared" si="5"/>
        <v>58895614.29</v>
      </c>
      <c r="J35" s="5"/>
    </row>
    <row r="36" ht="15.75" customHeight="1">
      <c r="B36" s="2"/>
      <c r="C36" s="30">
        <v>46803.0</v>
      </c>
      <c r="D36" s="8">
        <f t="shared" si="1"/>
        <v>2002000.292</v>
      </c>
      <c r="E36" s="46"/>
      <c r="F36" s="8">
        <f t="shared" si="3"/>
        <v>588956.1429</v>
      </c>
      <c r="G36" s="8">
        <f t="shared" si="4"/>
        <v>1413044.149</v>
      </c>
      <c r="H36" s="8">
        <f t="shared" si="5"/>
        <v>57482570.14</v>
      </c>
      <c r="J36" s="5"/>
    </row>
    <row r="37" ht="15.75" customHeight="1">
      <c r="B37" s="2"/>
      <c r="C37" s="30">
        <v>46832.0</v>
      </c>
      <c r="D37" s="8">
        <f t="shared" si="1"/>
        <v>2002000.292</v>
      </c>
      <c r="E37" s="46"/>
      <c r="F37" s="8">
        <f t="shared" si="3"/>
        <v>574825.7014</v>
      </c>
      <c r="G37" s="8">
        <f t="shared" si="4"/>
        <v>1427174.59</v>
      </c>
      <c r="H37" s="8">
        <f t="shared" si="5"/>
        <v>56055395.55</v>
      </c>
      <c r="J37" s="5"/>
    </row>
    <row r="38" ht="15.75" customHeight="1">
      <c r="B38" s="2"/>
      <c r="C38" s="30">
        <v>46863.0</v>
      </c>
      <c r="D38" s="8">
        <f t="shared" si="1"/>
        <v>2002000.292</v>
      </c>
      <c r="E38" s="46"/>
      <c r="F38" s="8">
        <f t="shared" si="3"/>
        <v>560553.9555</v>
      </c>
      <c r="G38" s="8">
        <f t="shared" si="4"/>
        <v>1441446.336</v>
      </c>
      <c r="H38" s="8">
        <f t="shared" si="5"/>
        <v>54613949.21</v>
      </c>
      <c r="J38" s="5"/>
    </row>
    <row r="39" ht="15.75" customHeight="1">
      <c r="B39" s="2"/>
      <c r="C39" s="30">
        <v>46893.0</v>
      </c>
      <c r="D39" s="8">
        <f t="shared" si="1"/>
        <v>2002000.292</v>
      </c>
      <c r="E39" s="46"/>
      <c r="F39" s="8">
        <f t="shared" si="3"/>
        <v>546139.4921</v>
      </c>
      <c r="G39" s="8">
        <f t="shared" si="4"/>
        <v>1455860.8</v>
      </c>
      <c r="H39" s="8">
        <f t="shared" si="5"/>
        <v>53158088.41</v>
      </c>
      <c r="J39" s="5"/>
    </row>
    <row r="40" ht="15.75" customHeight="1">
      <c r="B40" s="2"/>
      <c r="C40" s="30">
        <v>46924.0</v>
      </c>
      <c r="D40" s="8">
        <f t="shared" si="1"/>
        <v>2002000.292</v>
      </c>
      <c r="E40" s="46"/>
      <c r="F40" s="8">
        <f t="shared" si="3"/>
        <v>531580.8841</v>
      </c>
      <c r="G40" s="8">
        <f t="shared" si="4"/>
        <v>1470419.408</v>
      </c>
      <c r="H40" s="8">
        <f t="shared" si="5"/>
        <v>51687669</v>
      </c>
      <c r="J40" s="5"/>
    </row>
    <row r="41" ht="15.75" customHeight="1">
      <c r="B41" s="2"/>
      <c r="C41" s="30">
        <v>46954.0</v>
      </c>
      <c r="D41" s="8">
        <f t="shared" si="1"/>
        <v>2002000.292</v>
      </c>
      <c r="E41" s="46"/>
      <c r="F41" s="8">
        <f t="shared" si="3"/>
        <v>516876.69</v>
      </c>
      <c r="G41" s="8">
        <f t="shared" si="4"/>
        <v>1485123.602</v>
      </c>
      <c r="H41" s="8">
        <f t="shared" si="5"/>
        <v>50202545.4</v>
      </c>
      <c r="J41" s="5"/>
    </row>
    <row r="42" ht="15.75" customHeight="1">
      <c r="B42" s="2"/>
      <c r="C42" s="30">
        <v>46985.0</v>
      </c>
      <c r="D42" s="8">
        <f t="shared" si="1"/>
        <v>2002000.292</v>
      </c>
      <c r="E42" s="46"/>
      <c r="F42" s="8">
        <f t="shared" si="3"/>
        <v>502025.454</v>
      </c>
      <c r="G42" s="8">
        <f t="shared" si="4"/>
        <v>1499974.838</v>
      </c>
      <c r="H42" s="8">
        <f t="shared" si="5"/>
        <v>48702570.57</v>
      </c>
      <c r="J42" s="5"/>
    </row>
    <row r="43" ht="15.75" customHeight="1">
      <c r="B43" s="2"/>
      <c r="C43" s="30">
        <v>47016.0</v>
      </c>
      <c r="D43" s="8">
        <f t="shared" si="1"/>
        <v>2002000.292</v>
      </c>
      <c r="E43" s="46"/>
      <c r="F43" s="8">
        <f t="shared" si="3"/>
        <v>487025.7057</v>
      </c>
      <c r="G43" s="8">
        <f t="shared" si="4"/>
        <v>1514974.586</v>
      </c>
      <c r="H43" s="8">
        <f t="shared" si="5"/>
        <v>47187595.98</v>
      </c>
      <c r="J43" s="5"/>
    </row>
    <row r="44" ht="15.75" customHeight="1">
      <c r="B44" s="2"/>
      <c r="C44" s="30">
        <v>47046.0</v>
      </c>
      <c r="D44" s="8">
        <f t="shared" si="1"/>
        <v>2002000.292</v>
      </c>
      <c r="E44" s="46"/>
      <c r="F44" s="8">
        <f t="shared" si="3"/>
        <v>471875.9598</v>
      </c>
      <c r="G44" s="8">
        <f t="shared" si="4"/>
        <v>1530124.332</v>
      </c>
      <c r="H44" s="8">
        <f t="shared" si="5"/>
        <v>45657471.65</v>
      </c>
      <c r="J44" s="5"/>
    </row>
    <row r="45" ht="15.75" customHeight="1">
      <c r="B45" s="2"/>
      <c r="C45" s="30">
        <v>47077.0</v>
      </c>
      <c r="D45" s="8">
        <f t="shared" si="1"/>
        <v>2002000.292</v>
      </c>
      <c r="E45" s="46"/>
      <c r="F45" s="8">
        <f t="shared" si="3"/>
        <v>456574.7165</v>
      </c>
      <c r="G45" s="8">
        <f t="shared" si="4"/>
        <v>1545425.575</v>
      </c>
      <c r="H45" s="8">
        <f t="shared" si="5"/>
        <v>44112046.07</v>
      </c>
      <c r="J45" s="5"/>
    </row>
    <row r="46" ht="15.75" customHeight="1">
      <c r="B46" s="2"/>
      <c r="C46" s="30">
        <v>47107.0</v>
      </c>
      <c r="D46" s="8">
        <f t="shared" si="1"/>
        <v>2002000.292</v>
      </c>
      <c r="E46" s="46"/>
      <c r="F46" s="8">
        <f t="shared" si="3"/>
        <v>441120.4607</v>
      </c>
      <c r="G46" s="8">
        <f t="shared" si="4"/>
        <v>1560879.831</v>
      </c>
      <c r="H46" s="8">
        <f t="shared" si="5"/>
        <v>42551166.24</v>
      </c>
      <c r="J46" s="5"/>
    </row>
    <row r="47" ht="15.75" customHeight="1">
      <c r="B47" s="2"/>
      <c r="C47" s="30">
        <v>47138.0</v>
      </c>
      <c r="D47" s="8">
        <f t="shared" si="1"/>
        <v>2002000.292</v>
      </c>
      <c r="E47" s="46"/>
      <c r="F47" s="8">
        <f t="shared" si="3"/>
        <v>425511.6624</v>
      </c>
      <c r="G47" s="8">
        <f t="shared" si="4"/>
        <v>1576488.629</v>
      </c>
      <c r="H47" s="8">
        <f t="shared" si="5"/>
        <v>40974677.61</v>
      </c>
      <c r="J47" s="5"/>
    </row>
    <row r="48" ht="15.75" customHeight="1">
      <c r="B48" s="2"/>
      <c r="C48" s="30">
        <v>47169.0</v>
      </c>
      <c r="D48" s="8">
        <f t="shared" si="1"/>
        <v>2002000.292</v>
      </c>
      <c r="E48" s="46"/>
      <c r="F48" s="8">
        <f t="shared" si="3"/>
        <v>409746.7761</v>
      </c>
      <c r="G48" s="8">
        <f t="shared" si="4"/>
        <v>1592253.516</v>
      </c>
      <c r="H48" s="8">
        <f t="shared" si="5"/>
        <v>39382424.1</v>
      </c>
      <c r="J48" s="5"/>
    </row>
    <row r="49" ht="15.75" customHeight="1">
      <c r="B49" s="2"/>
      <c r="C49" s="30">
        <v>47197.0</v>
      </c>
      <c r="D49" s="8">
        <f t="shared" si="1"/>
        <v>2002000.292</v>
      </c>
      <c r="E49" s="46"/>
      <c r="F49" s="8">
        <f t="shared" si="3"/>
        <v>393824.241</v>
      </c>
      <c r="G49" s="8">
        <f t="shared" si="4"/>
        <v>1608176.051</v>
      </c>
      <c r="H49" s="8">
        <f t="shared" si="5"/>
        <v>37774248.05</v>
      </c>
      <c r="J49" s="5"/>
    </row>
    <row r="50" ht="15.75" customHeight="1">
      <c r="B50" s="2"/>
      <c r="C50" s="30">
        <v>47228.0</v>
      </c>
      <c r="D50" s="8">
        <f t="shared" si="1"/>
        <v>2002000.292</v>
      </c>
      <c r="E50" s="46"/>
      <c r="F50" s="8">
        <f t="shared" si="3"/>
        <v>377742.4805</v>
      </c>
      <c r="G50" s="8">
        <f t="shared" si="4"/>
        <v>1624257.811</v>
      </c>
      <c r="H50" s="8">
        <f t="shared" si="5"/>
        <v>36149990.23</v>
      </c>
      <c r="J50" s="5"/>
    </row>
    <row r="51" ht="15.75" customHeight="1">
      <c r="B51" s="2"/>
      <c r="C51" s="30">
        <v>47258.0</v>
      </c>
      <c r="D51" s="8">
        <f t="shared" si="1"/>
        <v>2002000.292</v>
      </c>
      <c r="E51" s="46"/>
      <c r="F51" s="8">
        <f t="shared" si="3"/>
        <v>361499.9023</v>
      </c>
      <c r="G51" s="8">
        <f t="shared" si="4"/>
        <v>1640500.389</v>
      </c>
      <c r="H51" s="8">
        <f t="shared" si="5"/>
        <v>34509489.85</v>
      </c>
      <c r="J51" s="5"/>
    </row>
    <row r="52" ht="15.75" customHeight="1">
      <c r="B52" s="2"/>
      <c r="C52" s="30">
        <v>47289.0</v>
      </c>
      <c r="D52" s="8">
        <f t="shared" si="1"/>
        <v>2002000.292</v>
      </c>
      <c r="E52" s="46"/>
      <c r="F52" s="8">
        <f t="shared" si="3"/>
        <v>345094.8985</v>
      </c>
      <c r="G52" s="8">
        <f t="shared" si="4"/>
        <v>1656905.393</v>
      </c>
      <c r="H52" s="8">
        <f t="shared" si="5"/>
        <v>32852584.45</v>
      </c>
      <c r="J52" s="5"/>
    </row>
    <row r="53" ht="15.75" customHeight="1">
      <c r="B53" s="2"/>
      <c r="C53" s="30">
        <v>47319.0</v>
      </c>
      <c r="D53" s="8">
        <f t="shared" si="1"/>
        <v>2002000.292</v>
      </c>
      <c r="E53" s="46"/>
      <c r="F53" s="8">
        <f t="shared" si="3"/>
        <v>328525.8445</v>
      </c>
      <c r="G53" s="8">
        <f t="shared" si="4"/>
        <v>1673474.447</v>
      </c>
      <c r="H53" s="8">
        <f t="shared" si="5"/>
        <v>31179110.01</v>
      </c>
      <c r="J53" s="5"/>
    </row>
    <row r="54" ht="15.75" customHeight="1">
      <c r="B54" s="2"/>
      <c r="C54" s="30">
        <v>47350.0</v>
      </c>
      <c r="D54" s="8">
        <f t="shared" si="1"/>
        <v>2002000.292</v>
      </c>
      <c r="E54" s="46"/>
      <c r="F54" s="8">
        <f t="shared" si="3"/>
        <v>311791.1001</v>
      </c>
      <c r="G54" s="8">
        <f t="shared" si="4"/>
        <v>1690209.192</v>
      </c>
      <c r="H54" s="8">
        <f t="shared" si="5"/>
        <v>29488900.81</v>
      </c>
      <c r="J54" s="5"/>
    </row>
    <row r="55" ht="15.75" customHeight="1">
      <c r="B55" s="2"/>
      <c r="C55" s="30">
        <v>47381.0</v>
      </c>
      <c r="D55" s="8">
        <f t="shared" si="1"/>
        <v>2002000.292</v>
      </c>
      <c r="E55" s="46"/>
      <c r="F55" s="8">
        <f t="shared" si="3"/>
        <v>294889.0081</v>
      </c>
      <c r="G55" s="8">
        <f t="shared" si="4"/>
        <v>1707111.284</v>
      </c>
      <c r="H55" s="8">
        <f t="shared" si="5"/>
        <v>27781789.53</v>
      </c>
      <c r="J55" s="5"/>
    </row>
    <row r="56" ht="15.75" customHeight="1">
      <c r="B56" s="2"/>
      <c r="C56" s="30">
        <v>47411.0</v>
      </c>
      <c r="D56" s="8">
        <f t="shared" si="1"/>
        <v>2002000.292</v>
      </c>
      <c r="E56" s="46"/>
      <c r="F56" s="8">
        <f t="shared" si="3"/>
        <v>277817.8953</v>
      </c>
      <c r="G56" s="8">
        <f t="shared" si="4"/>
        <v>1724182.396</v>
      </c>
      <c r="H56" s="8">
        <f t="shared" si="5"/>
        <v>26057607.13</v>
      </c>
      <c r="J56" s="5"/>
    </row>
    <row r="57" ht="15.75" customHeight="1">
      <c r="B57" s="2"/>
      <c r="C57" s="30">
        <v>47442.0</v>
      </c>
      <c r="D57" s="8">
        <f t="shared" si="1"/>
        <v>2002000.292</v>
      </c>
      <c r="E57" s="46"/>
      <c r="F57" s="8">
        <f t="shared" si="3"/>
        <v>260576.0713</v>
      </c>
      <c r="G57" s="8">
        <f t="shared" si="4"/>
        <v>1741424.22</v>
      </c>
      <c r="H57" s="8">
        <f t="shared" si="5"/>
        <v>24316182.91</v>
      </c>
      <c r="J57" s="5"/>
    </row>
    <row r="58" ht="15.75" customHeight="1">
      <c r="B58" s="2"/>
      <c r="C58" s="30">
        <v>47472.0</v>
      </c>
      <c r="D58" s="8">
        <f t="shared" si="1"/>
        <v>2002000.292</v>
      </c>
      <c r="E58" s="46"/>
      <c r="F58" s="8">
        <f t="shared" si="3"/>
        <v>243161.8291</v>
      </c>
      <c r="G58" s="8">
        <f t="shared" si="4"/>
        <v>1758838.463</v>
      </c>
      <c r="H58" s="8">
        <f t="shared" si="5"/>
        <v>22557344.45</v>
      </c>
      <c r="J58" s="5"/>
    </row>
    <row r="59" ht="15.75" customHeight="1">
      <c r="B59" s="2"/>
      <c r="C59" s="30">
        <v>47503.0</v>
      </c>
      <c r="D59" s="8">
        <f t="shared" si="1"/>
        <v>2002000.292</v>
      </c>
      <c r="E59" s="46"/>
      <c r="F59" s="8">
        <f t="shared" si="3"/>
        <v>225573.4445</v>
      </c>
      <c r="G59" s="8">
        <f t="shared" si="4"/>
        <v>1776426.847</v>
      </c>
      <c r="H59" s="8">
        <f t="shared" si="5"/>
        <v>20780917.6</v>
      </c>
      <c r="J59" s="5"/>
    </row>
    <row r="60" ht="15.75" customHeight="1">
      <c r="B60" s="2"/>
      <c r="C60" s="30">
        <v>47534.0</v>
      </c>
      <c r="D60" s="8">
        <f t="shared" si="1"/>
        <v>2002000.292</v>
      </c>
      <c r="E60" s="46"/>
      <c r="F60" s="8">
        <f t="shared" si="3"/>
        <v>207809.176</v>
      </c>
      <c r="G60" s="8">
        <f t="shared" si="4"/>
        <v>1794191.116</v>
      </c>
      <c r="H60" s="8">
        <f t="shared" si="5"/>
        <v>18986726.49</v>
      </c>
      <c r="J60" s="5"/>
    </row>
    <row r="61" ht="15.75" customHeight="1">
      <c r="B61" s="2"/>
      <c r="C61" s="30">
        <v>47562.0</v>
      </c>
      <c r="D61" s="8">
        <f t="shared" si="1"/>
        <v>2002000.292</v>
      </c>
      <c r="E61" s="46"/>
      <c r="F61" s="8">
        <f t="shared" si="3"/>
        <v>189867.2649</v>
      </c>
      <c r="G61" s="8">
        <f t="shared" si="4"/>
        <v>1812133.027</v>
      </c>
      <c r="H61" s="8">
        <f t="shared" si="5"/>
        <v>17174593.46</v>
      </c>
      <c r="J61" s="5"/>
    </row>
    <row r="62" ht="15.75" customHeight="1">
      <c r="B62" s="2"/>
      <c r="C62" s="30">
        <v>47593.0</v>
      </c>
      <c r="D62" s="8">
        <f t="shared" si="1"/>
        <v>2002000.292</v>
      </c>
      <c r="E62" s="46"/>
      <c r="F62" s="8">
        <f t="shared" si="3"/>
        <v>171745.9346</v>
      </c>
      <c r="G62" s="8">
        <f t="shared" si="4"/>
        <v>1830254.357</v>
      </c>
      <c r="H62" s="8">
        <f t="shared" si="5"/>
        <v>15344339.1</v>
      </c>
      <c r="J62" s="5"/>
    </row>
    <row r="63" ht="15.75" customHeight="1">
      <c r="B63" s="2"/>
      <c r="C63" s="30">
        <v>47623.0</v>
      </c>
      <c r="D63" s="8">
        <f t="shared" si="1"/>
        <v>2002000.292</v>
      </c>
      <c r="E63" s="46"/>
      <c r="F63" s="8">
        <f t="shared" si="3"/>
        <v>153443.391</v>
      </c>
      <c r="G63" s="8">
        <f t="shared" si="4"/>
        <v>1848556.901</v>
      </c>
      <c r="H63" s="8">
        <f t="shared" si="5"/>
        <v>13495782.2</v>
      </c>
      <c r="J63" s="5"/>
    </row>
    <row r="64" ht="15.75" customHeight="1">
      <c r="B64" s="2"/>
      <c r="C64" s="30">
        <v>47654.0</v>
      </c>
      <c r="D64" s="8">
        <f t="shared" si="1"/>
        <v>2002000.292</v>
      </c>
      <c r="E64" s="46"/>
      <c r="F64" s="8">
        <f t="shared" si="3"/>
        <v>134957.822</v>
      </c>
      <c r="G64" s="8">
        <f t="shared" si="4"/>
        <v>1867042.47</v>
      </c>
      <c r="H64" s="8">
        <f t="shared" si="5"/>
        <v>11628739.73</v>
      </c>
      <c r="J64" s="5"/>
    </row>
    <row r="65" ht="15.75" customHeight="1">
      <c r="B65" s="2"/>
      <c r="C65" s="30">
        <v>47684.0</v>
      </c>
      <c r="D65" s="8">
        <f t="shared" si="1"/>
        <v>2002000.292</v>
      </c>
      <c r="E65" s="46"/>
      <c r="F65" s="8">
        <f t="shared" si="3"/>
        <v>116287.3973</v>
      </c>
      <c r="G65" s="8">
        <f t="shared" si="4"/>
        <v>1885712.894</v>
      </c>
      <c r="H65" s="8">
        <f t="shared" si="5"/>
        <v>9743026.84</v>
      </c>
      <c r="J65" s="5"/>
    </row>
    <row r="66" ht="15.75" customHeight="1">
      <c r="B66" s="2"/>
      <c r="C66" s="30">
        <v>47715.0</v>
      </c>
      <c r="D66" s="8">
        <f t="shared" si="1"/>
        <v>2002000.292</v>
      </c>
      <c r="E66" s="46"/>
      <c r="F66" s="8">
        <f t="shared" si="3"/>
        <v>97430.2684</v>
      </c>
      <c r="G66" s="8">
        <f t="shared" si="4"/>
        <v>1904570.023</v>
      </c>
      <c r="H66" s="8">
        <f t="shared" si="5"/>
        <v>7838456.817</v>
      </c>
      <c r="J66" s="5"/>
    </row>
    <row r="67" ht="15.75" customHeight="1">
      <c r="B67" s="2"/>
      <c r="C67" s="30">
        <v>47746.0</v>
      </c>
      <c r="D67" s="8">
        <f t="shared" si="1"/>
        <v>2002000.292</v>
      </c>
      <c r="E67" s="46"/>
      <c r="F67" s="8">
        <f t="shared" si="3"/>
        <v>78384.56817</v>
      </c>
      <c r="G67" s="8">
        <f t="shared" si="4"/>
        <v>1923615.723</v>
      </c>
      <c r="H67" s="8">
        <f t="shared" si="5"/>
        <v>5914841.093</v>
      </c>
      <c r="J67" s="5"/>
    </row>
    <row r="68" ht="15.75" customHeight="1">
      <c r="B68" s="2"/>
      <c r="C68" s="30">
        <v>47776.0</v>
      </c>
      <c r="D68" s="8">
        <f t="shared" si="1"/>
        <v>2002000.292</v>
      </c>
      <c r="E68" s="46"/>
      <c r="F68" s="8">
        <f t="shared" si="3"/>
        <v>59148.41093</v>
      </c>
      <c r="G68" s="8">
        <f t="shared" si="4"/>
        <v>1942851.881</v>
      </c>
      <c r="H68" s="8">
        <f t="shared" si="5"/>
        <v>3971989.212</v>
      </c>
      <c r="J68" s="5"/>
    </row>
    <row r="69" ht="15.75" customHeight="1">
      <c r="B69" s="2"/>
      <c r="C69" s="30">
        <v>47807.0</v>
      </c>
      <c r="D69" s="8">
        <f t="shared" si="1"/>
        <v>2002000.292</v>
      </c>
      <c r="E69" s="46"/>
      <c r="F69" s="8">
        <f t="shared" si="3"/>
        <v>39719.89212</v>
      </c>
      <c r="G69" s="8">
        <f t="shared" si="4"/>
        <v>1962280.4</v>
      </c>
      <c r="H69" s="8">
        <f t="shared" si="5"/>
        <v>2009708.813</v>
      </c>
      <c r="J69" s="5"/>
    </row>
    <row r="70" ht="15.75" customHeight="1">
      <c r="B70" s="2"/>
      <c r="C70" s="30">
        <v>47837.0</v>
      </c>
      <c r="D70" s="8">
        <f t="shared" si="1"/>
        <v>2002000.292</v>
      </c>
      <c r="E70" s="46"/>
      <c r="F70" s="8">
        <f t="shared" si="3"/>
        <v>20097.08813</v>
      </c>
      <c r="G70" s="8">
        <f t="shared" si="4"/>
        <v>1981903.204</v>
      </c>
      <c r="H70" s="8">
        <f t="shared" si="5"/>
        <v>27805.60946</v>
      </c>
      <c r="J70" s="5"/>
    </row>
    <row r="71" ht="15.75" customHeight="1">
      <c r="B71" s="2"/>
      <c r="E71" s="9"/>
      <c r="J71" s="5"/>
    </row>
    <row r="72" ht="15.75" customHeight="1">
      <c r="B72" s="2"/>
      <c r="E72" s="9"/>
      <c r="J72" s="5"/>
    </row>
    <row r="73" ht="15.75" customHeight="1">
      <c r="B73" s="2"/>
      <c r="E73" s="9"/>
      <c r="J73" s="5"/>
    </row>
    <row r="74" ht="15.75" customHeight="1">
      <c r="B74" s="2"/>
      <c r="E74" s="9"/>
      <c r="J74" s="5"/>
    </row>
    <row r="75" ht="15.75" customHeight="1">
      <c r="B75" s="2"/>
      <c r="E75" s="9"/>
      <c r="J75" s="5"/>
    </row>
    <row r="76" ht="15.75" customHeight="1">
      <c r="B76" s="2"/>
      <c r="E76" s="9"/>
      <c r="J76" s="5"/>
    </row>
    <row r="77" ht="15.75" customHeight="1">
      <c r="B77" s="2"/>
      <c r="E77" s="9"/>
      <c r="J77" s="5"/>
    </row>
    <row r="78" ht="15.75" customHeight="1">
      <c r="B78" s="2"/>
      <c r="E78" s="9"/>
      <c r="J78" s="5"/>
    </row>
    <row r="79" ht="15.75" customHeight="1">
      <c r="B79" s="2"/>
      <c r="E79" s="9"/>
      <c r="J79" s="5"/>
    </row>
    <row r="80" ht="15.75" customHeight="1">
      <c r="B80" s="2"/>
      <c r="E80" s="9"/>
      <c r="J80" s="5"/>
    </row>
    <row r="81" ht="15.75" customHeight="1">
      <c r="B81" s="2"/>
      <c r="E81" s="9"/>
      <c r="J81" s="5"/>
    </row>
    <row r="82" ht="15.75" customHeight="1">
      <c r="B82" s="2"/>
      <c r="E82" s="9"/>
      <c r="J82" s="5"/>
    </row>
    <row r="83" ht="15.75" customHeight="1">
      <c r="B83" s="2"/>
      <c r="E83" s="9"/>
      <c r="J83" s="5"/>
    </row>
    <row r="84" ht="15.75" customHeight="1">
      <c r="B84" s="2"/>
      <c r="E84" s="9"/>
      <c r="J84" s="5"/>
    </row>
    <row r="85" ht="15.75" customHeight="1">
      <c r="B85" s="2"/>
      <c r="E85" s="9"/>
      <c r="J85" s="5"/>
    </row>
    <row r="86" ht="15.75" customHeight="1">
      <c r="B86" s="2"/>
      <c r="E86" s="9"/>
      <c r="J86" s="5"/>
    </row>
    <row r="87" ht="15.75" customHeight="1">
      <c r="B87" s="2"/>
      <c r="E87" s="9"/>
      <c r="J87" s="5"/>
    </row>
    <row r="88" ht="15.75" customHeight="1">
      <c r="B88" s="2"/>
      <c r="E88" s="9"/>
      <c r="J88" s="5"/>
    </row>
    <row r="89" ht="15.75" customHeight="1">
      <c r="B89" s="2"/>
      <c r="E89" s="9"/>
      <c r="J89" s="5"/>
    </row>
    <row r="90" ht="15.75" customHeight="1">
      <c r="B90" s="2"/>
      <c r="E90" s="9"/>
      <c r="J90" s="5"/>
    </row>
    <row r="91" ht="15.75" customHeight="1">
      <c r="B91" s="2"/>
      <c r="E91" s="9"/>
      <c r="J91" s="5"/>
    </row>
    <row r="92" ht="15.75" customHeight="1">
      <c r="B92" s="2"/>
      <c r="E92" s="9"/>
      <c r="J92" s="5"/>
    </row>
    <row r="93" ht="15.75" customHeight="1">
      <c r="B93" s="2"/>
      <c r="E93" s="9"/>
      <c r="J93" s="5"/>
    </row>
    <row r="94" ht="15.75" customHeight="1">
      <c r="B94" s="2"/>
      <c r="E94" s="9"/>
      <c r="J94" s="5"/>
    </row>
    <row r="95" ht="15.75" customHeight="1">
      <c r="B95" s="2"/>
      <c r="E95" s="9"/>
      <c r="J95" s="5"/>
    </row>
    <row r="96" ht="15.75" customHeight="1">
      <c r="B96" s="2"/>
      <c r="E96" s="9"/>
      <c r="J96" s="5"/>
    </row>
    <row r="97" ht="15.75" customHeight="1">
      <c r="B97" s="2"/>
      <c r="E97" s="9"/>
      <c r="J97" s="5"/>
    </row>
    <row r="98" ht="15.75" customHeight="1">
      <c r="B98" s="2"/>
      <c r="E98" s="9"/>
      <c r="J98" s="5"/>
    </row>
    <row r="99" ht="15.75" customHeight="1">
      <c r="B99" s="2"/>
      <c r="E99" s="9"/>
      <c r="J99" s="5"/>
    </row>
    <row r="100" ht="15.75" customHeight="1">
      <c r="B100" s="2"/>
      <c r="E100" s="9"/>
      <c r="J100" s="5"/>
    </row>
    <row r="101" ht="15.75" customHeight="1">
      <c r="B101" s="2"/>
      <c r="E101" s="9"/>
      <c r="J101" s="5"/>
    </row>
    <row r="102" ht="15.75" customHeight="1">
      <c r="B102" s="2"/>
      <c r="E102" s="9"/>
      <c r="J102" s="5"/>
    </row>
    <row r="103" ht="15.75" customHeight="1">
      <c r="B103" s="2"/>
      <c r="E103" s="9"/>
      <c r="J103" s="5"/>
    </row>
    <row r="104" ht="15.75" customHeight="1">
      <c r="B104" s="2"/>
      <c r="E104" s="9"/>
      <c r="J104" s="5"/>
    </row>
    <row r="105" ht="15.75" customHeight="1">
      <c r="B105" s="2"/>
      <c r="E105" s="9"/>
      <c r="J105" s="5"/>
    </row>
    <row r="106" ht="15.75" customHeight="1">
      <c r="B106" s="2"/>
      <c r="E106" s="9"/>
      <c r="J106" s="5"/>
    </row>
    <row r="107" ht="15.75" customHeight="1">
      <c r="B107" s="2"/>
      <c r="E107" s="9"/>
      <c r="J107" s="5"/>
    </row>
    <row r="108" ht="15.75" customHeight="1">
      <c r="B108" s="2"/>
      <c r="E108" s="9"/>
      <c r="J108" s="5"/>
    </row>
    <row r="109" ht="15.75" customHeight="1">
      <c r="B109" s="2"/>
      <c r="E109" s="9"/>
      <c r="J109" s="5"/>
    </row>
    <row r="110" ht="15.75" customHeight="1">
      <c r="B110" s="2"/>
      <c r="E110" s="9"/>
      <c r="J110" s="5"/>
    </row>
    <row r="111" ht="15.75" customHeight="1">
      <c r="B111" s="2"/>
      <c r="E111" s="9"/>
      <c r="J111" s="5"/>
    </row>
    <row r="112" ht="15.75" customHeight="1">
      <c r="B112" s="2"/>
      <c r="E112" s="9"/>
      <c r="J112" s="5"/>
    </row>
    <row r="113" ht="15.75" customHeight="1">
      <c r="B113" s="2"/>
      <c r="E113" s="9"/>
      <c r="J113" s="5"/>
    </row>
    <row r="114" ht="15.75" customHeight="1">
      <c r="B114" s="2"/>
      <c r="E114" s="9"/>
      <c r="J114" s="5"/>
    </row>
    <row r="115" ht="15.75" customHeight="1">
      <c r="B115" s="2"/>
      <c r="E115" s="9"/>
      <c r="J115" s="5"/>
    </row>
    <row r="116" ht="15.75" customHeight="1">
      <c r="B116" s="2"/>
      <c r="E116" s="9"/>
      <c r="J116" s="5"/>
    </row>
    <row r="117" ht="15.75" customHeight="1">
      <c r="B117" s="2"/>
      <c r="E117" s="9"/>
      <c r="J117" s="5"/>
    </row>
    <row r="118" ht="15.75" customHeight="1">
      <c r="B118" s="2"/>
      <c r="E118" s="9"/>
      <c r="J118" s="5"/>
    </row>
    <row r="119" ht="15.75" customHeight="1">
      <c r="B119" s="2"/>
      <c r="E119" s="9"/>
      <c r="J119" s="5"/>
    </row>
    <row r="120" ht="15.75" customHeight="1">
      <c r="B120" s="2"/>
      <c r="E120" s="9"/>
      <c r="J120" s="5"/>
    </row>
    <row r="121" ht="15.75" customHeight="1">
      <c r="B121" s="2"/>
      <c r="E121" s="9"/>
      <c r="J121" s="5"/>
    </row>
    <row r="122" ht="15.75" customHeight="1">
      <c r="B122" s="2"/>
      <c r="E122" s="9"/>
      <c r="J122" s="5"/>
    </row>
    <row r="123" ht="15.75" customHeight="1">
      <c r="B123" s="2"/>
      <c r="E123" s="9"/>
      <c r="J123" s="5"/>
    </row>
    <row r="124" ht="15.75" customHeight="1">
      <c r="B124" s="2"/>
      <c r="E124" s="9"/>
      <c r="J124" s="5"/>
    </row>
    <row r="125" ht="15.75" customHeight="1">
      <c r="B125" s="2"/>
      <c r="E125" s="9"/>
      <c r="J125" s="5"/>
    </row>
    <row r="126" ht="15.75" customHeight="1">
      <c r="B126" s="2"/>
      <c r="E126" s="9"/>
      <c r="J126" s="5"/>
    </row>
    <row r="127" ht="15.75" customHeight="1">
      <c r="B127" s="2"/>
      <c r="E127" s="9"/>
      <c r="J127" s="5"/>
    </row>
    <row r="128" ht="15.75" customHeight="1">
      <c r="B128" s="2"/>
      <c r="E128" s="9"/>
      <c r="J128" s="5"/>
    </row>
    <row r="129" ht="15.75" customHeight="1">
      <c r="B129" s="2"/>
      <c r="E129" s="9"/>
      <c r="J129" s="5"/>
    </row>
    <row r="130" ht="15.75" customHeight="1">
      <c r="B130" s="2"/>
      <c r="E130" s="9"/>
      <c r="J130" s="5"/>
    </row>
    <row r="131" ht="15.75" customHeight="1">
      <c r="B131" s="2"/>
      <c r="E131" s="9"/>
      <c r="J131" s="5"/>
    </row>
    <row r="132" ht="15.75" customHeight="1">
      <c r="B132" s="2"/>
      <c r="E132" s="9"/>
      <c r="J132" s="5"/>
    </row>
    <row r="133" ht="15.75" customHeight="1">
      <c r="B133" s="2"/>
      <c r="E133" s="9"/>
      <c r="J133" s="5"/>
    </row>
    <row r="134" ht="15.75" customHeight="1">
      <c r="B134" s="2"/>
      <c r="E134" s="9"/>
      <c r="J134" s="5"/>
    </row>
    <row r="135" ht="15.75" customHeight="1">
      <c r="B135" s="2"/>
      <c r="E135" s="9"/>
      <c r="J135" s="5"/>
    </row>
    <row r="136" ht="15.75" customHeight="1">
      <c r="B136" s="2"/>
      <c r="E136" s="9"/>
      <c r="J136" s="5"/>
    </row>
    <row r="137" ht="15.75" customHeight="1">
      <c r="B137" s="2"/>
      <c r="E137" s="9"/>
      <c r="J137" s="5"/>
    </row>
    <row r="138" ht="15.75" customHeight="1">
      <c r="B138" s="2"/>
      <c r="E138" s="9"/>
      <c r="J138" s="5"/>
    </row>
    <row r="139" ht="15.75" customHeight="1">
      <c r="B139" s="2"/>
      <c r="E139" s="9"/>
      <c r="J139" s="5"/>
    </row>
    <row r="140" ht="15.75" customHeight="1">
      <c r="B140" s="2"/>
      <c r="E140" s="9"/>
      <c r="J140" s="5"/>
    </row>
    <row r="141" ht="15.75" customHeight="1">
      <c r="B141" s="2"/>
      <c r="E141" s="9"/>
      <c r="J141" s="5"/>
    </row>
    <row r="142" ht="15.75" customHeight="1">
      <c r="B142" s="2"/>
      <c r="E142" s="9"/>
      <c r="J142" s="5"/>
    </row>
    <row r="143" ht="15.75" customHeight="1">
      <c r="B143" s="2"/>
      <c r="E143" s="9"/>
      <c r="J143" s="5"/>
    </row>
    <row r="144" ht="15.75" customHeight="1">
      <c r="B144" s="2"/>
      <c r="E144" s="9"/>
      <c r="J144" s="5"/>
    </row>
    <row r="145" ht="15.75" customHeight="1">
      <c r="B145" s="2"/>
      <c r="E145" s="9"/>
      <c r="J145" s="5"/>
    </row>
    <row r="146" ht="15.75" customHeight="1">
      <c r="B146" s="2"/>
      <c r="E146" s="9"/>
      <c r="J146" s="5"/>
    </row>
    <row r="147" ht="15.75" customHeight="1">
      <c r="B147" s="2"/>
      <c r="E147" s="9"/>
      <c r="J147" s="5"/>
    </row>
    <row r="148" ht="15.75" customHeight="1">
      <c r="B148" s="2"/>
      <c r="E148" s="9"/>
      <c r="J148" s="5"/>
    </row>
    <row r="149" ht="15.75" customHeight="1">
      <c r="B149" s="2"/>
      <c r="E149" s="9"/>
      <c r="J149" s="5"/>
    </row>
    <row r="150" ht="15.75" customHeight="1">
      <c r="B150" s="2"/>
      <c r="E150" s="9"/>
      <c r="J150" s="5"/>
    </row>
    <row r="151" ht="15.75" customHeight="1">
      <c r="B151" s="2"/>
      <c r="E151" s="9"/>
      <c r="J151" s="5"/>
    </row>
    <row r="152" ht="15.75" customHeight="1">
      <c r="B152" s="2"/>
      <c r="E152" s="9"/>
      <c r="J152" s="5"/>
    </row>
    <row r="153" ht="15.75" customHeight="1">
      <c r="B153" s="2"/>
      <c r="E153" s="9"/>
      <c r="J153" s="5"/>
    </row>
    <row r="154" ht="15.75" customHeight="1">
      <c r="B154" s="2"/>
      <c r="E154" s="9"/>
      <c r="J154" s="5"/>
    </row>
    <row r="155" ht="15.75" customHeight="1">
      <c r="B155" s="2"/>
      <c r="E155" s="9"/>
      <c r="J155" s="5"/>
    </row>
    <row r="156" ht="15.75" customHeight="1">
      <c r="B156" s="2"/>
      <c r="E156" s="9"/>
      <c r="J156" s="5"/>
    </row>
    <row r="157" ht="15.75" customHeight="1">
      <c r="B157" s="2"/>
      <c r="E157" s="9"/>
      <c r="J157" s="5"/>
    </row>
    <row r="158" ht="15.75" customHeight="1">
      <c r="B158" s="2"/>
      <c r="E158" s="9"/>
      <c r="J158" s="5"/>
    </row>
    <row r="159" ht="15.75" customHeight="1">
      <c r="B159" s="2"/>
      <c r="E159" s="9"/>
      <c r="J159" s="5"/>
    </row>
    <row r="160" ht="15.75" customHeight="1">
      <c r="B160" s="2"/>
      <c r="E160" s="9"/>
      <c r="J160" s="5"/>
    </row>
    <row r="161" ht="15.75" customHeight="1">
      <c r="B161" s="2"/>
      <c r="E161" s="9"/>
      <c r="J161" s="5"/>
    </row>
    <row r="162" ht="15.75" customHeight="1">
      <c r="B162" s="2"/>
      <c r="E162" s="9"/>
      <c r="J162" s="5"/>
    </row>
    <row r="163" ht="15.75" customHeight="1">
      <c r="B163" s="2"/>
      <c r="E163" s="9"/>
      <c r="J163" s="5"/>
    </row>
    <row r="164" ht="15.75" customHeight="1">
      <c r="B164" s="2"/>
      <c r="E164" s="9"/>
      <c r="J164" s="5"/>
    </row>
    <row r="165" ht="15.75" customHeight="1">
      <c r="B165" s="2"/>
      <c r="E165" s="9"/>
      <c r="J165" s="5"/>
    </row>
    <row r="166" ht="15.75" customHeight="1">
      <c r="B166" s="2"/>
      <c r="E166" s="9"/>
      <c r="J166" s="5"/>
    </row>
    <row r="167" ht="15.75" customHeight="1">
      <c r="B167" s="2"/>
      <c r="E167" s="9"/>
      <c r="J167" s="5"/>
    </row>
    <row r="168" ht="15.75" customHeight="1">
      <c r="B168" s="2"/>
      <c r="E168" s="9"/>
      <c r="J168" s="5"/>
    </row>
    <row r="169" ht="15.75" customHeight="1">
      <c r="B169" s="2"/>
      <c r="E169" s="9"/>
      <c r="J169" s="5"/>
    </row>
    <row r="170" ht="15.75" customHeight="1">
      <c r="B170" s="2"/>
      <c r="E170" s="9"/>
      <c r="J170" s="5"/>
    </row>
    <row r="171" ht="15.75" customHeight="1">
      <c r="B171" s="2"/>
      <c r="E171" s="9"/>
      <c r="J171" s="5"/>
    </row>
    <row r="172" ht="15.75" customHeight="1">
      <c r="B172" s="2"/>
      <c r="E172" s="9"/>
      <c r="J172" s="5"/>
    </row>
    <row r="173" ht="15.75" customHeight="1">
      <c r="B173" s="2"/>
      <c r="E173" s="9"/>
      <c r="J173" s="5"/>
    </row>
    <row r="174" ht="15.75" customHeight="1">
      <c r="B174" s="2"/>
      <c r="E174" s="9"/>
      <c r="J174" s="5"/>
    </row>
    <row r="175" ht="15.75" customHeight="1">
      <c r="B175" s="2"/>
      <c r="E175" s="9"/>
      <c r="J175" s="5"/>
    </row>
    <row r="176" ht="15.75" customHeight="1">
      <c r="B176" s="2"/>
      <c r="E176" s="9"/>
      <c r="J176" s="5"/>
    </row>
    <row r="177" ht="15.75" customHeight="1">
      <c r="B177" s="2"/>
      <c r="E177" s="9"/>
      <c r="J177" s="5"/>
    </row>
    <row r="178" ht="15.75" customHeight="1">
      <c r="B178" s="2"/>
      <c r="E178" s="9"/>
      <c r="J178" s="5"/>
    </row>
    <row r="179" ht="15.75" customHeight="1">
      <c r="B179" s="2"/>
      <c r="E179" s="9"/>
      <c r="J179" s="5"/>
    </row>
    <row r="180" ht="15.75" customHeight="1">
      <c r="B180" s="2"/>
      <c r="E180" s="9"/>
      <c r="J180" s="5"/>
    </row>
    <row r="181" ht="15.75" customHeight="1">
      <c r="B181" s="2"/>
      <c r="E181" s="9"/>
      <c r="J181" s="5"/>
    </row>
    <row r="182" ht="15.75" customHeight="1">
      <c r="B182" s="2"/>
      <c r="E182" s="9"/>
      <c r="J182" s="5"/>
    </row>
    <row r="183" ht="15.75" customHeight="1">
      <c r="B183" s="2"/>
      <c r="E183" s="9"/>
      <c r="J183" s="5"/>
    </row>
    <row r="184" ht="15.75" customHeight="1">
      <c r="B184" s="2"/>
      <c r="E184" s="9"/>
      <c r="J184" s="5"/>
    </row>
    <row r="185" ht="15.75" customHeight="1">
      <c r="B185" s="2"/>
      <c r="E185" s="9"/>
      <c r="J185" s="5"/>
    </row>
    <row r="186" ht="15.75" customHeight="1">
      <c r="B186" s="2"/>
      <c r="E186" s="9"/>
      <c r="J186" s="5"/>
    </row>
    <row r="187" ht="15.75" customHeight="1">
      <c r="B187" s="2"/>
      <c r="E187" s="9"/>
      <c r="J187" s="5"/>
    </row>
    <row r="188" ht="15.75" customHeight="1">
      <c r="B188" s="2"/>
      <c r="E188" s="9"/>
      <c r="J188" s="5"/>
    </row>
    <row r="189" ht="15.75" customHeight="1">
      <c r="B189" s="2"/>
      <c r="E189" s="9"/>
      <c r="J189" s="5"/>
    </row>
    <row r="190" ht="15.75" customHeight="1">
      <c r="B190" s="2"/>
      <c r="E190" s="9"/>
      <c r="J190" s="5"/>
    </row>
    <row r="191" ht="15.75" customHeight="1">
      <c r="B191" s="2"/>
      <c r="E191" s="9"/>
      <c r="J191" s="5"/>
    </row>
    <row r="192" ht="15.75" customHeight="1">
      <c r="B192" s="2"/>
      <c r="E192" s="9"/>
      <c r="J192" s="5"/>
    </row>
    <row r="193" ht="15.75" customHeight="1">
      <c r="B193" s="2"/>
      <c r="E193" s="9"/>
      <c r="J193" s="5"/>
    </row>
    <row r="194" ht="15.75" customHeight="1">
      <c r="B194" s="2"/>
      <c r="E194" s="9"/>
      <c r="J194" s="5"/>
    </row>
    <row r="195" ht="15.75" customHeight="1">
      <c r="B195" s="2"/>
      <c r="E195" s="9"/>
      <c r="J195" s="5"/>
    </row>
    <row r="196" ht="15.75" customHeight="1">
      <c r="B196" s="2"/>
      <c r="E196" s="9"/>
      <c r="J196" s="5"/>
    </row>
    <row r="197" ht="15.75" customHeight="1">
      <c r="B197" s="2"/>
      <c r="E197" s="9"/>
      <c r="J197" s="5"/>
    </row>
    <row r="198" ht="15.75" customHeight="1">
      <c r="B198" s="2"/>
      <c r="E198" s="9"/>
      <c r="J198" s="5"/>
    </row>
    <row r="199" ht="15.75" customHeight="1">
      <c r="B199" s="2"/>
      <c r="E199" s="9"/>
      <c r="J199" s="5"/>
    </row>
    <row r="200" ht="15.75" customHeight="1">
      <c r="B200" s="2"/>
      <c r="E200" s="9"/>
      <c r="J200" s="5"/>
    </row>
    <row r="201" ht="15.75" customHeight="1">
      <c r="B201" s="2"/>
      <c r="E201" s="9"/>
      <c r="J201" s="5"/>
    </row>
    <row r="202" ht="15.75" customHeight="1">
      <c r="B202" s="2"/>
      <c r="E202" s="9"/>
      <c r="J202" s="5"/>
    </row>
    <row r="203" ht="15.75" customHeight="1">
      <c r="B203" s="2"/>
      <c r="E203" s="9"/>
      <c r="J203" s="5"/>
    </row>
    <row r="204" ht="15.75" customHeight="1">
      <c r="B204" s="2"/>
      <c r="E204" s="9"/>
      <c r="J204" s="5"/>
    </row>
    <row r="205" ht="15.75" customHeight="1">
      <c r="B205" s="2"/>
      <c r="E205" s="9"/>
      <c r="J205" s="5"/>
    </row>
    <row r="206" ht="15.75" customHeight="1">
      <c r="B206" s="2"/>
      <c r="E206" s="9"/>
      <c r="J206" s="5"/>
    </row>
    <row r="207" ht="15.75" customHeight="1">
      <c r="B207" s="2"/>
      <c r="E207" s="9"/>
      <c r="J207" s="5"/>
    </row>
    <row r="208" ht="15.75" customHeight="1">
      <c r="B208" s="2"/>
      <c r="E208" s="9"/>
      <c r="J208" s="5"/>
    </row>
    <row r="209" ht="15.75" customHeight="1">
      <c r="B209" s="2"/>
      <c r="E209" s="9"/>
      <c r="J209" s="5"/>
    </row>
    <row r="210" ht="15.75" customHeight="1">
      <c r="B210" s="2"/>
      <c r="E210" s="9"/>
      <c r="J210" s="5"/>
    </row>
    <row r="211" ht="15.75" customHeight="1">
      <c r="B211" s="2"/>
      <c r="E211" s="9"/>
      <c r="J211" s="5"/>
    </row>
    <row r="212" ht="15.75" customHeight="1">
      <c r="B212" s="2"/>
      <c r="E212" s="9"/>
      <c r="J212" s="5"/>
    </row>
    <row r="213" ht="15.75" customHeight="1">
      <c r="B213" s="2"/>
      <c r="E213" s="9"/>
      <c r="J213" s="5"/>
    </row>
    <row r="214" ht="15.75" customHeight="1">
      <c r="B214" s="2"/>
      <c r="E214" s="9"/>
      <c r="J214" s="5"/>
    </row>
    <row r="215" ht="15.75" customHeight="1">
      <c r="B215" s="2"/>
      <c r="E215" s="9"/>
      <c r="J215" s="5"/>
    </row>
    <row r="216" ht="15.75" customHeight="1">
      <c r="B216" s="2"/>
      <c r="E216" s="9"/>
      <c r="J216" s="5"/>
    </row>
    <row r="217" ht="15.75" customHeight="1">
      <c r="B217" s="2"/>
      <c r="E217" s="9"/>
      <c r="J217" s="5"/>
    </row>
    <row r="218" ht="15.75" customHeight="1">
      <c r="B218" s="2"/>
      <c r="E218" s="9"/>
      <c r="J218" s="5"/>
    </row>
    <row r="219" ht="15.75" customHeight="1">
      <c r="B219" s="2"/>
      <c r="E219" s="9"/>
      <c r="J219" s="5"/>
    </row>
    <row r="220" ht="15.75" customHeight="1">
      <c r="B220" s="2"/>
      <c r="E220" s="9"/>
      <c r="J220" s="5"/>
    </row>
    <row r="221" ht="15.75" customHeight="1">
      <c r="B221" s="2"/>
      <c r="E221" s="9"/>
      <c r="J221" s="5"/>
    </row>
    <row r="222" ht="15.75" customHeight="1">
      <c r="B222" s="2"/>
      <c r="E222" s="9"/>
      <c r="J222" s="5"/>
    </row>
    <row r="223" ht="15.75" customHeight="1">
      <c r="B223" s="2"/>
      <c r="E223" s="9"/>
      <c r="J223" s="5"/>
    </row>
    <row r="224" ht="15.75" customHeight="1">
      <c r="B224" s="2"/>
      <c r="E224" s="9"/>
      <c r="J224" s="5"/>
    </row>
    <row r="225" ht="15.75" customHeight="1">
      <c r="B225" s="2"/>
      <c r="E225" s="9"/>
      <c r="J225" s="5"/>
    </row>
    <row r="226" ht="15.75" customHeight="1">
      <c r="B226" s="2"/>
      <c r="E226" s="9"/>
      <c r="J226" s="5"/>
    </row>
    <row r="227" ht="15.75" customHeight="1">
      <c r="B227" s="2"/>
      <c r="E227" s="9"/>
      <c r="J227" s="5"/>
    </row>
    <row r="228" ht="15.75" customHeight="1">
      <c r="B228" s="2"/>
      <c r="E228" s="9"/>
      <c r="J228" s="5"/>
    </row>
    <row r="229" ht="15.75" customHeight="1">
      <c r="B229" s="2"/>
      <c r="E229" s="9"/>
      <c r="J229" s="5"/>
    </row>
    <row r="230" ht="15.75" customHeight="1">
      <c r="B230" s="2"/>
      <c r="E230" s="9"/>
      <c r="J230" s="5"/>
    </row>
    <row r="231" ht="15.75" customHeight="1">
      <c r="B231" s="2"/>
      <c r="E231" s="9"/>
      <c r="J231" s="5"/>
    </row>
    <row r="232" ht="15.75" customHeight="1">
      <c r="B232" s="2"/>
      <c r="E232" s="9"/>
      <c r="J232" s="5"/>
    </row>
    <row r="233" ht="15.75" customHeight="1">
      <c r="B233" s="2"/>
      <c r="E233" s="9"/>
      <c r="J233" s="5"/>
    </row>
    <row r="234" ht="15.75" customHeight="1">
      <c r="B234" s="2"/>
      <c r="E234" s="9"/>
      <c r="J234" s="5"/>
    </row>
    <row r="235" ht="15.75" customHeight="1">
      <c r="B235" s="2"/>
      <c r="E235" s="9"/>
      <c r="J235" s="5"/>
    </row>
    <row r="236" ht="15.75" customHeight="1">
      <c r="B236" s="2"/>
      <c r="E236" s="9"/>
      <c r="J236" s="5"/>
    </row>
    <row r="237" ht="15.75" customHeight="1">
      <c r="B237" s="2"/>
      <c r="E237" s="9"/>
      <c r="J237" s="5"/>
    </row>
    <row r="238" ht="15.75" customHeight="1">
      <c r="B238" s="2"/>
      <c r="E238" s="9"/>
      <c r="J238" s="5"/>
    </row>
    <row r="239" ht="15.75" customHeight="1">
      <c r="B239" s="2"/>
      <c r="E239" s="9"/>
      <c r="J239" s="5"/>
    </row>
    <row r="240" ht="15.75" customHeight="1">
      <c r="B240" s="2"/>
      <c r="E240" s="9"/>
      <c r="J240" s="5"/>
    </row>
    <row r="241" ht="15.75" customHeight="1">
      <c r="B241" s="2"/>
      <c r="E241" s="9"/>
      <c r="J241" s="5"/>
    </row>
    <row r="242" ht="15.75" customHeight="1">
      <c r="B242" s="2"/>
      <c r="E242" s="9"/>
      <c r="J242" s="5"/>
    </row>
    <row r="243" ht="15.75" customHeight="1">
      <c r="B243" s="2"/>
      <c r="E243" s="9"/>
      <c r="J243" s="5"/>
    </row>
    <row r="244" ht="15.75" customHeight="1">
      <c r="B244" s="2"/>
      <c r="E244" s="9"/>
      <c r="J244" s="5"/>
    </row>
    <row r="245" ht="15.75" customHeight="1">
      <c r="B245" s="2"/>
      <c r="E245" s="9"/>
      <c r="J245" s="5"/>
    </row>
    <row r="246" ht="15.75" customHeight="1">
      <c r="B246" s="2"/>
      <c r="E246" s="9"/>
      <c r="J246" s="5"/>
    </row>
    <row r="247" ht="15.75" customHeight="1">
      <c r="B247" s="2"/>
      <c r="E247" s="9"/>
      <c r="J247" s="5"/>
    </row>
    <row r="248" ht="15.75" customHeight="1">
      <c r="B248" s="2"/>
      <c r="E248" s="9"/>
      <c r="J248" s="5"/>
    </row>
    <row r="249" ht="15.75" customHeight="1">
      <c r="B249" s="2"/>
      <c r="E249" s="9"/>
      <c r="J249" s="5"/>
    </row>
    <row r="250" ht="15.75" customHeight="1">
      <c r="B250" s="2"/>
      <c r="E250" s="9"/>
      <c r="J250" s="5"/>
    </row>
    <row r="251" ht="15.75" customHeight="1">
      <c r="B251" s="2"/>
      <c r="E251" s="9"/>
      <c r="J251" s="5"/>
    </row>
    <row r="252" ht="15.75" customHeight="1">
      <c r="B252" s="2"/>
      <c r="E252" s="9"/>
      <c r="J252" s="5"/>
    </row>
    <row r="253" ht="15.75" customHeight="1">
      <c r="B253" s="2"/>
      <c r="E253" s="9"/>
      <c r="J253" s="5"/>
    </row>
    <row r="254" ht="15.75" customHeight="1">
      <c r="B254" s="2"/>
      <c r="E254" s="9"/>
      <c r="J254" s="5"/>
    </row>
    <row r="255" ht="15.75" customHeight="1">
      <c r="B255" s="2"/>
      <c r="E255" s="9"/>
      <c r="J255" s="5"/>
    </row>
    <row r="256" ht="15.75" customHeight="1">
      <c r="B256" s="2"/>
      <c r="E256" s="9"/>
      <c r="J256" s="5"/>
    </row>
    <row r="257" ht="15.75" customHeight="1">
      <c r="B257" s="2"/>
      <c r="E257" s="9"/>
      <c r="J257" s="5"/>
    </row>
    <row r="258" ht="15.75" customHeight="1">
      <c r="B258" s="2"/>
      <c r="E258" s="9"/>
      <c r="J258" s="5"/>
    </row>
    <row r="259" ht="15.75" customHeight="1">
      <c r="B259" s="2"/>
      <c r="E259" s="9"/>
      <c r="J259" s="5"/>
    </row>
    <row r="260" ht="15.75" customHeight="1">
      <c r="B260" s="2"/>
      <c r="E260" s="9"/>
      <c r="J260" s="5"/>
    </row>
    <row r="261" ht="15.75" customHeight="1">
      <c r="B261" s="2"/>
      <c r="E261" s="9"/>
      <c r="J261" s="5"/>
    </row>
    <row r="262" ht="15.75" customHeight="1">
      <c r="B262" s="2"/>
      <c r="E262" s="9"/>
      <c r="J262" s="5"/>
    </row>
    <row r="263" ht="15.75" customHeight="1">
      <c r="B263" s="2"/>
      <c r="E263" s="9"/>
      <c r="J263" s="5"/>
    </row>
    <row r="264" ht="15.75" customHeight="1">
      <c r="B264" s="2"/>
      <c r="E264" s="9"/>
      <c r="J264" s="5"/>
    </row>
    <row r="265" ht="15.75" customHeight="1">
      <c r="B265" s="2"/>
      <c r="E265" s="9"/>
      <c r="J265" s="5"/>
    </row>
    <row r="266" ht="15.75" customHeight="1">
      <c r="B266" s="2"/>
      <c r="E266" s="9"/>
      <c r="J266" s="5"/>
    </row>
    <row r="267" ht="15.75" customHeight="1">
      <c r="B267" s="2"/>
      <c r="E267" s="9"/>
      <c r="J267" s="5"/>
    </row>
    <row r="268" ht="15.75" customHeight="1">
      <c r="B268" s="2"/>
      <c r="E268" s="9"/>
      <c r="J268" s="5"/>
    </row>
    <row r="269" ht="15.75" customHeight="1">
      <c r="B269" s="2"/>
      <c r="E269" s="9"/>
      <c r="J269" s="5"/>
    </row>
    <row r="270" ht="15.75" customHeight="1">
      <c r="B270" s="2"/>
      <c r="E270" s="9"/>
      <c r="J270" s="5"/>
    </row>
    <row r="271" ht="15.75" customHeight="1">
      <c r="B271" s="2"/>
      <c r="E271" s="9"/>
      <c r="J271" s="5"/>
    </row>
    <row r="272" ht="15.75" customHeight="1">
      <c r="B272" s="2"/>
      <c r="E272" s="9"/>
      <c r="J272" s="5"/>
    </row>
    <row r="273" ht="15.75" customHeight="1">
      <c r="B273" s="2"/>
      <c r="E273" s="9"/>
      <c r="J273" s="5"/>
    </row>
    <row r="274" ht="15.75" customHeight="1">
      <c r="B274" s="2"/>
      <c r="E274" s="9"/>
      <c r="J274" s="5"/>
    </row>
    <row r="275" ht="15.75" customHeight="1">
      <c r="B275" s="2"/>
      <c r="E275" s="9"/>
      <c r="J275" s="5"/>
    </row>
    <row r="276" ht="15.75" customHeight="1">
      <c r="B276" s="2"/>
      <c r="E276" s="9"/>
      <c r="J276" s="5"/>
    </row>
    <row r="277" ht="15.75" customHeight="1">
      <c r="B277" s="2"/>
      <c r="E277" s="9"/>
      <c r="J277" s="5"/>
    </row>
    <row r="278" ht="15.75" customHeight="1">
      <c r="B278" s="2"/>
      <c r="E278" s="9"/>
      <c r="J278" s="5"/>
    </row>
    <row r="279" ht="15.75" customHeight="1">
      <c r="B279" s="2"/>
      <c r="E279" s="9"/>
      <c r="J279" s="5"/>
    </row>
    <row r="280" ht="15.75" customHeight="1">
      <c r="B280" s="2"/>
      <c r="E280" s="9"/>
      <c r="J280" s="5"/>
    </row>
    <row r="281" ht="15.75" customHeight="1">
      <c r="B281" s="2"/>
      <c r="E281" s="9"/>
      <c r="J281" s="5"/>
    </row>
    <row r="282" ht="15.75" customHeight="1">
      <c r="B282" s="2"/>
      <c r="E282" s="9"/>
      <c r="J282" s="5"/>
    </row>
    <row r="283" ht="15.75" customHeight="1">
      <c r="B283" s="2"/>
      <c r="E283" s="9"/>
      <c r="J283" s="5"/>
    </row>
    <row r="284" ht="15.75" customHeight="1">
      <c r="B284" s="2"/>
      <c r="E284" s="9"/>
      <c r="J284" s="5"/>
    </row>
    <row r="285" ht="15.75" customHeight="1">
      <c r="B285" s="2"/>
      <c r="E285" s="9"/>
      <c r="J285" s="5"/>
    </row>
    <row r="286" ht="15.75" customHeight="1">
      <c r="B286" s="2"/>
      <c r="E286" s="9"/>
      <c r="J286" s="5"/>
    </row>
    <row r="287" ht="15.75" customHeight="1">
      <c r="B287" s="2"/>
      <c r="E287" s="9"/>
      <c r="J287" s="5"/>
    </row>
    <row r="288" ht="15.75" customHeight="1">
      <c r="B288" s="2"/>
      <c r="E288" s="9"/>
      <c r="J288" s="5"/>
    </row>
    <row r="289" ht="15.75" customHeight="1">
      <c r="B289" s="2"/>
      <c r="E289" s="9"/>
      <c r="J289" s="5"/>
    </row>
    <row r="290" ht="15.75" customHeight="1">
      <c r="B290" s="2"/>
      <c r="E290" s="9"/>
      <c r="J290" s="5"/>
    </row>
    <row r="291" ht="15.75" customHeight="1">
      <c r="B291" s="2"/>
      <c r="E291" s="9"/>
      <c r="J291" s="5"/>
    </row>
    <row r="292" ht="15.75" customHeight="1">
      <c r="B292" s="2"/>
      <c r="E292" s="9"/>
      <c r="J292" s="5"/>
    </row>
    <row r="293" ht="15.75" customHeight="1">
      <c r="B293" s="2"/>
      <c r="E293" s="9"/>
      <c r="J293" s="5"/>
    </row>
    <row r="294" ht="15.75" customHeight="1">
      <c r="B294" s="2"/>
      <c r="E294" s="9"/>
      <c r="J294" s="5"/>
    </row>
    <row r="295" ht="15.75" customHeight="1">
      <c r="B295" s="2"/>
      <c r="E295" s="9"/>
      <c r="J295" s="5"/>
    </row>
    <row r="296" ht="15.75" customHeight="1">
      <c r="B296" s="2"/>
      <c r="E296" s="9"/>
      <c r="J296" s="5"/>
    </row>
    <row r="297" ht="15.75" customHeight="1">
      <c r="B297" s="2"/>
      <c r="E297" s="9"/>
      <c r="J297" s="5"/>
    </row>
    <row r="298" ht="15.75" customHeight="1">
      <c r="B298" s="2"/>
      <c r="E298" s="9"/>
      <c r="J298" s="5"/>
    </row>
    <row r="299" ht="15.75" customHeight="1">
      <c r="B299" s="2"/>
      <c r="E299" s="9"/>
      <c r="J299" s="5"/>
    </row>
    <row r="300" ht="15.75" customHeight="1">
      <c r="B300" s="2"/>
      <c r="E300" s="9"/>
      <c r="J300" s="5"/>
    </row>
    <row r="301" ht="15.75" customHeight="1">
      <c r="B301" s="2"/>
      <c r="E301" s="9"/>
      <c r="J301" s="5"/>
    </row>
    <row r="302" ht="15.75" customHeight="1">
      <c r="B302" s="2"/>
      <c r="E302" s="9"/>
      <c r="J302" s="5"/>
    </row>
    <row r="303" ht="15.75" customHeight="1">
      <c r="B303" s="2"/>
      <c r="E303" s="9"/>
      <c r="J303" s="5"/>
    </row>
    <row r="304" ht="15.75" customHeight="1">
      <c r="B304" s="2"/>
      <c r="E304" s="9"/>
      <c r="J304" s="5"/>
    </row>
    <row r="305" ht="15.75" customHeight="1">
      <c r="B305" s="2"/>
      <c r="E305" s="9"/>
      <c r="J305" s="5"/>
    </row>
    <row r="306" ht="15.75" customHeight="1">
      <c r="B306" s="2"/>
      <c r="E306" s="9"/>
      <c r="J306" s="5"/>
    </row>
    <row r="307" ht="15.75" customHeight="1">
      <c r="B307" s="2"/>
      <c r="E307" s="9"/>
      <c r="J307" s="5"/>
    </row>
    <row r="308" ht="15.75" customHeight="1">
      <c r="B308" s="2"/>
      <c r="E308" s="9"/>
      <c r="J308" s="5"/>
    </row>
    <row r="309" ht="15.75" customHeight="1">
      <c r="B309" s="2"/>
      <c r="E309" s="9"/>
      <c r="J309" s="5"/>
    </row>
    <row r="310" ht="15.75" customHeight="1">
      <c r="B310" s="2"/>
      <c r="E310" s="9"/>
      <c r="J310" s="5"/>
    </row>
    <row r="311" ht="15.75" customHeight="1">
      <c r="B311" s="2"/>
      <c r="E311" s="9"/>
      <c r="J311" s="5"/>
    </row>
    <row r="312" ht="15.75" customHeight="1">
      <c r="B312" s="2"/>
      <c r="E312" s="9"/>
      <c r="J312" s="5"/>
    </row>
    <row r="313" ht="15.75" customHeight="1">
      <c r="B313" s="2"/>
      <c r="E313" s="9"/>
      <c r="J313" s="5"/>
    </row>
    <row r="314" ht="15.75" customHeight="1">
      <c r="B314" s="2"/>
      <c r="E314" s="9"/>
      <c r="J314" s="5"/>
    </row>
    <row r="315" ht="15.75" customHeight="1">
      <c r="B315" s="2"/>
      <c r="E315" s="9"/>
      <c r="J315" s="5"/>
    </row>
    <row r="316" ht="15.75" customHeight="1">
      <c r="B316" s="2"/>
      <c r="E316" s="9"/>
      <c r="J316" s="5"/>
    </row>
    <row r="317" ht="15.75" customHeight="1">
      <c r="B317" s="2"/>
      <c r="E317" s="9"/>
      <c r="J317" s="5"/>
    </row>
    <row r="318" ht="15.75" customHeight="1">
      <c r="B318" s="2"/>
      <c r="E318" s="9"/>
      <c r="J318" s="5"/>
    </row>
    <row r="319" ht="15.75" customHeight="1">
      <c r="B319" s="2"/>
      <c r="E319" s="9"/>
      <c r="J319" s="5"/>
    </row>
    <row r="320" ht="15.75" customHeight="1">
      <c r="B320" s="2"/>
      <c r="E320" s="9"/>
      <c r="J320" s="5"/>
    </row>
    <row r="321" ht="15.75" customHeight="1">
      <c r="B321" s="2"/>
      <c r="E321" s="9"/>
      <c r="J321" s="5"/>
    </row>
    <row r="322" ht="15.75" customHeight="1">
      <c r="B322" s="2"/>
      <c r="E322" s="9"/>
      <c r="J322" s="5"/>
    </row>
    <row r="323" ht="15.75" customHeight="1">
      <c r="B323" s="2"/>
      <c r="E323" s="9"/>
      <c r="J323" s="5"/>
    </row>
    <row r="324" ht="15.75" customHeight="1">
      <c r="B324" s="2"/>
      <c r="E324" s="9"/>
      <c r="J324" s="5"/>
    </row>
    <row r="325" ht="15.75" customHeight="1">
      <c r="B325" s="2"/>
      <c r="E325" s="9"/>
      <c r="J325" s="5"/>
    </row>
    <row r="326" ht="15.75" customHeight="1">
      <c r="B326" s="2"/>
      <c r="E326" s="9"/>
      <c r="J326" s="5"/>
    </row>
    <row r="327" ht="15.75" customHeight="1">
      <c r="B327" s="2"/>
      <c r="E327" s="9"/>
      <c r="J327" s="5"/>
    </row>
    <row r="328" ht="15.75" customHeight="1">
      <c r="B328" s="2"/>
      <c r="E328" s="9"/>
      <c r="J328" s="5"/>
    </row>
    <row r="329" ht="15.75" customHeight="1">
      <c r="B329" s="2"/>
      <c r="E329" s="9"/>
      <c r="J329" s="5"/>
    </row>
    <row r="330" ht="15.75" customHeight="1">
      <c r="B330" s="2"/>
      <c r="E330" s="9"/>
      <c r="J330" s="5"/>
    </row>
    <row r="331" ht="15.75" customHeight="1">
      <c r="B331" s="2"/>
      <c r="E331" s="9"/>
      <c r="J331" s="5"/>
    </row>
    <row r="332" ht="15.75" customHeight="1">
      <c r="B332" s="2"/>
      <c r="E332" s="9"/>
      <c r="J332" s="5"/>
    </row>
    <row r="333" ht="15.75" customHeight="1">
      <c r="B333" s="2"/>
      <c r="E333" s="9"/>
      <c r="J333" s="5"/>
    </row>
    <row r="334" ht="15.75" customHeight="1">
      <c r="B334" s="2"/>
      <c r="E334" s="9"/>
      <c r="J334" s="5"/>
    </row>
    <row r="335" ht="15.75" customHeight="1">
      <c r="B335" s="2"/>
      <c r="E335" s="9"/>
      <c r="J335" s="5"/>
    </row>
    <row r="336" ht="15.75" customHeight="1">
      <c r="B336" s="2"/>
      <c r="E336" s="9"/>
      <c r="J336" s="5"/>
    </row>
    <row r="337" ht="15.75" customHeight="1">
      <c r="B337" s="2"/>
      <c r="E337" s="9"/>
      <c r="J337" s="5"/>
    </row>
    <row r="338" ht="15.75" customHeight="1">
      <c r="B338" s="2"/>
      <c r="E338" s="9"/>
      <c r="J338" s="5"/>
    </row>
    <row r="339" ht="15.75" customHeight="1">
      <c r="B339" s="2"/>
      <c r="E339" s="9"/>
      <c r="J339" s="5"/>
    </row>
    <row r="340" ht="15.75" customHeight="1">
      <c r="B340" s="2"/>
      <c r="E340" s="9"/>
      <c r="J340" s="5"/>
    </row>
    <row r="341" ht="15.75" customHeight="1">
      <c r="B341" s="2"/>
      <c r="E341" s="9"/>
      <c r="J341" s="5"/>
    </row>
    <row r="342" ht="15.75" customHeight="1">
      <c r="B342" s="2"/>
      <c r="E342" s="9"/>
      <c r="J342" s="5"/>
    </row>
    <row r="343" ht="15.75" customHeight="1">
      <c r="B343" s="2"/>
      <c r="E343" s="9"/>
      <c r="J343" s="5"/>
    </row>
    <row r="344" ht="15.75" customHeight="1">
      <c r="B344" s="2"/>
      <c r="E344" s="9"/>
      <c r="J344" s="5"/>
    </row>
    <row r="345" ht="15.75" customHeight="1">
      <c r="B345" s="2"/>
      <c r="E345" s="9"/>
      <c r="J345" s="5"/>
    </row>
    <row r="346" ht="15.75" customHeight="1">
      <c r="B346" s="2"/>
      <c r="E346" s="9"/>
      <c r="J346" s="5"/>
    </row>
    <row r="347" ht="15.75" customHeight="1">
      <c r="B347" s="2"/>
      <c r="E347" s="9"/>
      <c r="J347" s="5"/>
    </row>
    <row r="348" ht="15.75" customHeight="1">
      <c r="B348" s="2"/>
      <c r="E348" s="9"/>
      <c r="J348" s="5"/>
    </row>
    <row r="349" ht="15.75" customHeight="1">
      <c r="B349" s="2"/>
      <c r="E349" s="9"/>
      <c r="J349" s="5"/>
    </row>
    <row r="350" ht="15.75" customHeight="1">
      <c r="B350" s="2"/>
      <c r="E350" s="9"/>
      <c r="J350" s="5"/>
    </row>
    <row r="351" ht="15.75" customHeight="1">
      <c r="B351" s="2"/>
      <c r="E351" s="9"/>
      <c r="J351" s="5"/>
    </row>
    <row r="352" ht="15.75" customHeight="1">
      <c r="B352" s="2"/>
      <c r="E352" s="9"/>
      <c r="J352" s="5"/>
    </row>
    <row r="353" ht="15.75" customHeight="1">
      <c r="B353" s="2"/>
      <c r="E353" s="9"/>
      <c r="J353" s="5"/>
    </row>
    <row r="354" ht="15.75" customHeight="1">
      <c r="B354" s="2"/>
      <c r="E354" s="9"/>
      <c r="J354" s="5"/>
    </row>
    <row r="355" ht="15.75" customHeight="1">
      <c r="B355" s="2"/>
      <c r="E355" s="9"/>
      <c r="J355" s="5"/>
    </row>
    <row r="356" ht="15.75" customHeight="1">
      <c r="B356" s="2"/>
      <c r="E356" s="9"/>
      <c r="J356" s="5"/>
    </row>
    <row r="357" ht="15.75" customHeight="1">
      <c r="B357" s="2"/>
      <c r="E357" s="9"/>
      <c r="J357" s="5"/>
    </row>
    <row r="358" ht="15.75" customHeight="1">
      <c r="B358" s="2"/>
      <c r="E358" s="9"/>
      <c r="J358" s="5"/>
    </row>
    <row r="359" ht="15.75" customHeight="1">
      <c r="B359" s="2"/>
      <c r="E359" s="9"/>
      <c r="J359" s="5"/>
    </row>
    <row r="360" ht="15.75" customHeight="1">
      <c r="B360" s="2"/>
      <c r="E360" s="9"/>
      <c r="J360" s="5"/>
    </row>
    <row r="361" ht="15.75" customHeight="1">
      <c r="B361" s="2"/>
      <c r="E361" s="9"/>
      <c r="J361" s="5"/>
    </row>
    <row r="362" ht="15.75" customHeight="1">
      <c r="B362" s="2"/>
      <c r="E362" s="9"/>
      <c r="J362" s="5"/>
    </row>
    <row r="363" ht="15.75" customHeight="1">
      <c r="B363" s="2"/>
      <c r="E363" s="9"/>
      <c r="J363" s="5"/>
    </row>
    <row r="364" ht="15.75" customHeight="1">
      <c r="B364" s="2"/>
      <c r="E364" s="9"/>
      <c r="J364" s="5"/>
    </row>
    <row r="365" ht="15.75" customHeight="1">
      <c r="B365" s="2"/>
      <c r="E365" s="9"/>
      <c r="J365" s="5"/>
    </row>
    <row r="366" ht="15.75" customHeight="1">
      <c r="B366" s="2"/>
      <c r="E366" s="9"/>
      <c r="J366" s="5"/>
    </row>
    <row r="367" ht="15.75" customHeight="1">
      <c r="B367" s="2"/>
      <c r="E367" s="9"/>
      <c r="J367" s="5"/>
    </row>
    <row r="368" ht="15.75" customHeight="1">
      <c r="B368" s="2"/>
      <c r="E368" s="9"/>
      <c r="J368" s="5"/>
    </row>
    <row r="369" ht="15.75" customHeight="1">
      <c r="B369" s="2"/>
      <c r="E369" s="9"/>
      <c r="J369" s="5"/>
    </row>
    <row r="370" ht="15.75" customHeight="1">
      <c r="B370" s="2"/>
      <c r="E370" s="9"/>
      <c r="J370" s="5"/>
    </row>
    <row r="371" ht="15.75" customHeight="1">
      <c r="B371" s="2"/>
      <c r="E371" s="9"/>
      <c r="J371" s="5"/>
    </row>
    <row r="372" ht="15.75" customHeight="1">
      <c r="B372" s="2"/>
      <c r="E372" s="9"/>
      <c r="J372" s="5"/>
    </row>
    <row r="373" ht="15.75" customHeight="1">
      <c r="B373" s="2"/>
      <c r="E373" s="9"/>
      <c r="J373" s="5"/>
    </row>
    <row r="374" ht="15.75" customHeight="1">
      <c r="B374" s="2"/>
      <c r="E374" s="9"/>
      <c r="J374" s="5"/>
    </row>
    <row r="375" ht="15.75" customHeight="1">
      <c r="B375" s="2"/>
      <c r="E375" s="9"/>
      <c r="J375" s="5"/>
    </row>
    <row r="376" ht="15.75" customHeight="1">
      <c r="B376" s="2"/>
      <c r="E376" s="9"/>
      <c r="J376" s="5"/>
    </row>
    <row r="377" ht="15.75" customHeight="1">
      <c r="B377" s="2"/>
      <c r="E377" s="9"/>
      <c r="J377" s="5"/>
    </row>
    <row r="378" ht="15.75" customHeight="1">
      <c r="B378" s="2"/>
      <c r="E378" s="9"/>
      <c r="J378" s="5"/>
    </row>
    <row r="379" ht="15.75" customHeight="1">
      <c r="B379" s="2"/>
      <c r="E379" s="9"/>
      <c r="J379" s="5"/>
    </row>
    <row r="380" ht="15.75" customHeight="1">
      <c r="B380" s="2"/>
      <c r="E380" s="9"/>
      <c r="J380" s="5"/>
    </row>
    <row r="381" ht="15.75" customHeight="1">
      <c r="B381" s="2"/>
      <c r="E381" s="9"/>
      <c r="J381" s="5"/>
    </row>
    <row r="382" ht="15.75" customHeight="1">
      <c r="B382" s="2"/>
      <c r="E382" s="9"/>
      <c r="J382" s="5"/>
    </row>
    <row r="383" ht="15.75" customHeight="1">
      <c r="B383" s="2"/>
      <c r="E383" s="9"/>
      <c r="J383" s="5"/>
    </row>
    <row r="384" ht="15.75" customHeight="1">
      <c r="B384" s="2"/>
      <c r="E384" s="9"/>
      <c r="J384" s="5"/>
    </row>
    <row r="385" ht="15.75" customHeight="1">
      <c r="B385" s="2"/>
      <c r="E385" s="9"/>
      <c r="J385" s="5"/>
    </row>
    <row r="386" ht="15.75" customHeight="1">
      <c r="B386" s="2"/>
      <c r="E386" s="9"/>
      <c r="J386" s="5"/>
    </row>
    <row r="387" ht="15.75" customHeight="1">
      <c r="B387" s="2"/>
      <c r="E387" s="9"/>
      <c r="J387" s="5"/>
    </row>
    <row r="388" ht="15.75" customHeight="1">
      <c r="B388" s="2"/>
      <c r="E388" s="9"/>
      <c r="J388" s="5"/>
    </row>
    <row r="389" ht="15.75" customHeight="1">
      <c r="B389" s="2"/>
      <c r="E389" s="9"/>
      <c r="J389" s="5"/>
    </row>
    <row r="390" ht="15.75" customHeight="1">
      <c r="B390" s="2"/>
      <c r="E390" s="9"/>
      <c r="J390" s="5"/>
    </row>
    <row r="391" ht="15.75" customHeight="1">
      <c r="B391" s="2"/>
      <c r="E391" s="9"/>
      <c r="J391" s="5"/>
    </row>
    <row r="392" ht="15.75" customHeight="1">
      <c r="B392" s="2"/>
      <c r="E392" s="9"/>
      <c r="J392" s="5"/>
    </row>
    <row r="393" ht="15.75" customHeight="1">
      <c r="B393" s="2"/>
      <c r="E393" s="9"/>
      <c r="J393" s="5"/>
    </row>
    <row r="394" ht="15.75" customHeight="1">
      <c r="B394" s="2"/>
      <c r="E394" s="9"/>
      <c r="J394" s="5"/>
    </row>
    <row r="395" ht="15.75" customHeight="1">
      <c r="B395" s="2"/>
      <c r="E395" s="9"/>
      <c r="J395" s="5"/>
    </row>
    <row r="396" ht="15.75" customHeight="1">
      <c r="B396" s="2"/>
      <c r="E396" s="9"/>
      <c r="J396" s="5"/>
    </row>
    <row r="397" ht="15.75" customHeight="1">
      <c r="B397" s="2"/>
      <c r="E397" s="9"/>
      <c r="J397" s="5"/>
    </row>
    <row r="398" ht="15.75" customHeight="1">
      <c r="B398" s="2"/>
      <c r="E398" s="9"/>
      <c r="J398" s="5"/>
    </row>
    <row r="399" ht="15.75" customHeight="1">
      <c r="B399" s="2"/>
      <c r="E399" s="9"/>
      <c r="J399" s="5"/>
    </row>
    <row r="400" ht="15.75" customHeight="1">
      <c r="B400" s="2"/>
      <c r="E400" s="9"/>
      <c r="J400" s="5"/>
    </row>
    <row r="401" ht="15.75" customHeight="1">
      <c r="B401" s="2"/>
      <c r="E401" s="9"/>
      <c r="J401" s="5"/>
    </row>
    <row r="402" ht="15.75" customHeight="1">
      <c r="B402" s="2"/>
      <c r="E402" s="9"/>
      <c r="J402" s="5"/>
    </row>
    <row r="403" ht="15.75" customHeight="1">
      <c r="B403" s="2"/>
      <c r="E403" s="9"/>
      <c r="J403" s="5"/>
    </row>
    <row r="404" ht="15.75" customHeight="1">
      <c r="B404" s="2"/>
      <c r="E404" s="9"/>
      <c r="J404" s="5"/>
    </row>
    <row r="405" ht="15.75" customHeight="1">
      <c r="B405" s="2"/>
      <c r="E405" s="9"/>
      <c r="J405" s="5"/>
    </row>
    <row r="406" ht="15.75" customHeight="1">
      <c r="B406" s="2"/>
      <c r="E406" s="9"/>
      <c r="J406" s="5"/>
    </row>
    <row r="407" ht="15.75" customHeight="1">
      <c r="B407" s="2"/>
      <c r="E407" s="9"/>
      <c r="J407" s="5"/>
    </row>
    <row r="408" ht="15.75" customHeight="1">
      <c r="B408" s="2"/>
      <c r="E408" s="9"/>
      <c r="J408" s="5"/>
    </row>
    <row r="409" ht="15.75" customHeight="1">
      <c r="B409" s="2"/>
      <c r="E409" s="9"/>
      <c r="J409" s="5"/>
    </row>
    <row r="410" ht="15.75" customHeight="1">
      <c r="B410" s="2"/>
      <c r="E410" s="9"/>
      <c r="J410" s="5"/>
    </row>
    <row r="411" ht="15.75" customHeight="1">
      <c r="B411" s="2"/>
      <c r="E411" s="9"/>
      <c r="J411" s="5"/>
    </row>
    <row r="412" ht="15.75" customHeight="1">
      <c r="B412" s="2"/>
      <c r="E412" s="9"/>
      <c r="J412" s="5"/>
    </row>
    <row r="413" ht="15.75" customHeight="1">
      <c r="B413" s="2"/>
      <c r="E413" s="9"/>
      <c r="J413" s="5"/>
    </row>
    <row r="414" ht="15.75" customHeight="1">
      <c r="B414" s="2"/>
      <c r="E414" s="9"/>
      <c r="J414" s="5"/>
    </row>
    <row r="415" ht="15.75" customHeight="1">
      <c r="B415" s="2"/>
      <c r="E415" s="9"/>
      <c r="J415" s="5"/>
    </row>
    <row r="416" ht="15.75" customHeight="1">
      <c r="B416" s="2"/>
      <c r="E416" s="9"/>
      <c r="J416" s="5"/>
    </row>
    <row r="417" ht="15.75" customHeight="1">
      <c r="B417" s="2"/>
      <c r="E417" s="9"/>
      <c r="J417" s="5"/>
    </row>
    <row r="418" ht="15.75" customHeight="1">
      <c r="B418" s="2"/>
      <c r="E418" s="9"/>
      <c r="J418" s="5"/>
    </row>
    <row r="419" ht="15.75" customHeight="1">
      <c r="B419" s="2"/>
      <c r="E419" s="9"/>
      <c r="J419" s="5"/>
    </row>
    <row r="420" ht="15.75" customHeight="1">
      <c r="B420" s="2"/>
      <c r="E420" s="9"/>
      <c r="J420" s="5"/>
    </row>
    <row r="421" ht="15.75" customHeight="1">
      <c r="B421" s="2"/>
      <c r="E421" s="9"/>
      <c r="J421" s="5"/>
    </row>
    <row r="422" ht="15.75" customHeight="1">
      <c r="B422" s="2"/>
      <c r="E422" s="9"/>
      <c r="J422" s="5"/>
    </row>
    <row r="423" ht="15.75" customHeight="1">
      <c r="B423" s="2"/>
      <c r="E423" s="9"/>
      <c r="J423" s="5"/>
    </row>
    <row r="424" ht="15.75" customHeight="1">
      <c r="B424" s="2"/>
      <c r="E424" s="9"/>
      <c r="J424" s="5"/>
    </row>
    <row r="425" ht="15.75" customHeight="1">
      <c r="B425" s="2"/>
      <c r="E425" s="9"/>
      <c r="J425" s="5"/>
    </row>
    <row r="426" ht="15.75" customHeight="1">
      <c r="B426" s="2"/>
      <c r="E426" s="9"/>
      <c r="J426" s="5"/>
    </row>
    <row r="427" ht="15.75" customHeight="1">
      <c r="B427" s="2"/>
      <c r="E427" s="9"/>
      <c r="J427" s="5"/>
    </row>
    <row r="428" ht="15.75" customHeight="1">
      <c r="B428" s="2"/>
      <c r="E428" s="9"/>
      <c r="J428" s="5"/>
    </row>
    <row r="429" ht="15.75" customHeight="1">
      <c r="B429" s="2"/>
      <c r="E429" s="9"/>
      <c r="J429" s="5"/>
    </row>
    <row r="430" ht="15.75" customHeight="1">
      <c r="B430" s="2"/>
      <c r="E430" s="9"/>
      <c r="J430" s="5"/>
    </row>
    <row r="431" ht="15.75" customHeight="1">
      <c r="B431" s="2"/>
      <c r="E431" s="9"/>
      <c r="J431" s="5"/>
    </row>
    <row r="432" ht="15.75" customHeight="1">
      <c r="B432" s="2"/>
      <c r="E432" s="9"/>
      <c r="J432" s="5"/>
    </row>
    <row r="433" ht="15.75" customHeight="1">
      <c r="B433" s="2"/>
      <c r="E433" s="9"/>
      <c r="J433" s="5"/>
    </row>
    <row r="434" ht="15.75" customHeight="1">
      <c r="B434" s="2"/>
      <c r="E434" s="9"/>
      <c r="J434" s="5"/>
    </row>
    <row r="435" ht="15.75" customHeight="1">
      <c r="B435" s="2"/>
      <c r="E435" s="9"/>
      <c r="J435" s="5"/>
    </row>
    <row r="436" ht="15.75" customHeight="1">
      <c r="B436" s="2"/>
      <c r="E436" s="9"/>
      <c r="J436" s="5"/>
    </row>
    <row r="437" ht="15.75" customHeight="1">
      <c r="B437" s="2"/>
      <c r="E437" s="9"/>
      <c r="J437" s="5"/>
    </row>
    <row r="438" ht="15.75" customHeight="1">
      <c r="B438" s="2"/>
      <c r="E438" s="9"/>
      <c r="J438" s="5"/>
    </row>
    <row r="439" ht="15.75" customHeight="1">
      <c r="B439" s="2"/>
      <c r="E439" s="9"/>
      <c r="J439" s="5"/>
    </row>
    <row r="440" ht="15.75" customHeight="1">
      <c r="B440" s="2"/>
      <c r="E440" s="9"/>
      <c r="J440" s="5"/>
    </row>
    <row r="441" ht="15.75" customHeight="1">
      <c r="B441" s="2"/>
      <c r="E441" s="9"/>
      <c r="J441" s="5"/>
    </row>
    <row r="442" ht="15.75" customHeight="1">
      <c r="B442" s="2"/>
      <c r="E442" s="9"/>
      <c r="J442" s="5"/>
    </row>
    <row r="443" ht="15.75" customHeight="1">
      <c r="B443" s="2"/>
      <c r="E443" s="9"/>
      <c r="J443" s="5"/>
    </row>
    <row r="444" ht="15.75" customHeight="1">
      <c r="B444" s="2"/>
      <c r="E444" s="9"/>
      <c r="J444" s="5"/>
    </row>
    <row r="445" ht="15.75" customHeight="1">
      <c r="B445" s="2"/>
      <c r="E445" s="9"/>
      <c r="J445" s="5"/>
    </row>
    <row r="446" ht="15.75" customHeight="1">
      <c r="B446" s="2"/>
      <c r="E446" s="9"/>
      <c r="J446" s="5"/>
    </row>
    <row r="447" ht="15.75" customHeight="1">
      <c r="B447" s="2"/>
      <c r="E447" s="9"/>
      <c r="J447" s="5"/>
    </row>
    <row r="448" ht="15.75" customHeight="1">
      <c r="B448" s="2"/>
      <c r="E448" s="9"/>
      <c r="J448" s="5"/>
    </row>
    <row r="449" ht="15.75" customHeight="1">
      <c r="B449" s="2"/>
      <c r="E449" s="9"/>
      <c r="J449" s="5"/>
    </row>
    <row r="450" ht="15.75" customHeight="1">
      <c r="B450" s="2"/>
      <c r="E450" s="9"/>
      <c r="J450" s="5"/>
    </row>
    <row r="451" ht="15.75" customHeight="1">
      <c r="B451" s="2"/>
      <c r="E451" s="9"/>
      <c r="J451" s="5"/>
    </row>
    <row r="452" ht="15.75" customHeight="1">
      <c r="B452" s="2"/>
      <c r="E452" s="9"/>
      <c r="J452" s="5"/>
    </row>
    <row r="453" ht="15.75" customHeight="1">
      <c r="B453" s="2"/>
      <c r="E453" s="9"/>
      <c r="J453" s="5"/>
    </row>
    <row r="454" ht="15.75" customHeight="1">
      <c r="B454" s="2"/>
      <c r="E454" s="9"/>
      <c r="J454" s="5"/>
    </row>
    <row r="455" ht="15.75" customHeight="1">
      <c r="B455" s="2"/>
      <c r="E455" s="9"/>
      <c r="J455" s="5"/>
    </row>
    <row r="456" ht="15.75" customHeight="1">
      <c r="B456" s="2"/>
      <c r="E456" s="9"/>
      <c r="J456" s="5"/>
    </row>
    <row r="457" ht="15.75" customHeight="1">
      <c r="B457" s="2"/>
      <c r="E457" s="9"/>
      <c r="J457" s="5"/>
    </row>
    <row r="458" ht="15.75" customHeight="1">
      <c r="B458" s="2"/>
      <c r="E458" s="9"/>
      <c r="J458" s="5"/>
    </row>
    <row r="459" ht="15.75" customHeight="1">
      <c r="B459" s="2"/>
      <c r="E459" s="9"/>
      <c r="J459" s="5"/>
    </row>
    <row r="460" ht="15.75" customHeight="1">
      <c r="B460" s="2"/>
      <c r="E460" s="9"/>
      <c r="J460" s="5"/>
    </row>
    <row r="461" ht="15.75" customHeight="1">
      <c r="B461" s="2"/>
      <c r="E461" s="9"/>
      <c r="J461" s="5"/>
    </row>
    <row r="462" ht="15.75" customHeight="1">
      <c r="B462" s="2"/>
      <c r="E462" s="9"/>
      <c r="J462" s="5"/>
    </row>
    <row r="463" ht="15.75" customHeight="1">
      <c r="B463" s="2"/>
      <c r="E463" s="9"/>
      <c r="J463" s="5"/>
    </row>
    <row r="464" ht="15.75" customHeight="1">
      <c r="B464" s="2"/>
      <c r="E464" s="9"/>
      <c r="J464" s="5"/>
    </row>
    <row r="465" ht="15.75" customHeight="1">
      <c r="B465" s="2"/>
      <c r="E465" s="9"/>
      <c r="J465" s="5"/>
    </row>
    <row r="466" ht="15.75" customHeight="1">
      <c r="B466" s="2"/>
      <c r="E466" s="9"/>
      <c r="J466" s="5"/>
    </row>
    <row r="467" ht="15.75" customHeight="1">
      <c r="B467" s="2"/>
      <c r="E467" s="9"/>
      <c r="J467" s="5"/>
    </row>
    <row r="468" ht="15.75" customHeight="1">
      <c r="B468" s="2"/>
      <c r="E468" s="9"/>
      <c r="J468" s="5"/>
    </row>
    <row r="469" ht="15.75" customHeight="1">
      <c r="B469" s="2"/>
      <c r="E469" s="9"/>
      <c r="J469" s="5"/>
    </row>
    <row r="470" ht="15.75" customHeight="1">
      <c r="B470" s="2"/>
      <c r="E470" s="9"/>
      <c r="J470" s="5"/>
    </row>
    <row r="471" ht="15.75" customHeight="1">
      <c r="B471" s="2"/>
      <c r="E471" s="9"/>
      <c r="J471" s="5"/>
    </row>
    <row r="472" ht="15.75" customHeight="1">
      <c r="B472" s="2"/>
      <c r="E472" s="9"/>
      <c r="J472" s="5"/>
    </row>
    <row r="473" ht="15.75" customHeight="1">
      <c r="B473" s="2"/>
      <c r="E473" s="9"/>
      <c r="J473" s="5"/>
    </row>
    <row r="474" ht="15.75" customHeight="1">
      <c r="B474" s="2"/>
      <c r="E474" s="9"/>
      <c r="J474" s="5"/>
    </row>
    <row r="475" ht="15.75" customHeight="1">
      <c r="B475" s="2"/>
      <c r="E475" s="9"/>
      <c r="J475" s="5"/>
    </row>
    <row r="476" ht="15.75" customHeight="1">
      <c r="B476" s="2"/>
      <c r="E476" s="9"/>
      <c r="J476" s="5"/>
    </row>
    <row r="477" ht="15.75" customHeight="1">
      <c r="B477" s="2"/>
      <c r="E477" s="9"/>
      <c r="J477" s="5"/>
    </row>
    <row r="478" ht="15.75" customHeight="1">
      <c r="B478" s="2"/>
      <c r="E478" s="9"/>
      <c r="J478" s="5"/>
    </row>
    <row r="479" ht="15.75" customHeight="1">
      <c r="B479" s="2"/>
      <c r="E479" s="9"/>
      <c r="J479" s="5"/>
    </row>
    <row r="480" ht="15.75" customHeight="1">
      <c r="B480" s="2"/>
      <c r="E480" s="9"/>
      <c r="J480" s="5"/>
    </row>
    <row r="481" ht="15.75" customHeight="1">
      <c r="B481" s="2"/>
      <c r="E481" s="9"/>
      <c r="J481" s="5"/>
    </row>
    <row r="482" ht="15.75" customHeight="1">
      <c r="B482" s="2"/>
      <c r="E482" s="9"/>
      <c r="J482" s="5"/>
    </row>
    <row r="483" ht="15.75" customHeight="1">
      <c r="B483" s="2"/>
      <c r="E483" s="9"/>
      <c r="J483" s="5"/>
    </row>
    <row r="484" ht="15.75" customHeight="1">
      <c r="B484" s="2"/>
      <c r="E484" s="9"/>
      <c r="J484" s="5"/>
    </row>
    <row r="485" ht="15.75" customHeight="1">
      <c r="B485" s="2"/>
      <c r="E485" s="9"/>
      <c r="J485" s="5"/>
    </row>
    <row r="486" ht="15.75" customHeight="1">
      <c r="B486" s="2"/>
      <c r="E486" s="9"/>
      <c r="J486" s="5"/>
    </row>
    <row r="487" ht="15.75" customHeight="1">
      <c r="B487" s="2"/>
      <c r="E487" s="9"/>
      <c r="J487" s="5"/>
    </row>
    <row r="488" ht="15.75" customHeight="1">
      <c r="B488" s="2"/>
      <c r="E488" s="9"/>
      <c r="J488" s="5"/>
    </row>
    <row r="489" ht="15.75" customHeight="1">
      <c r="B489" s="2"/>
      <c r="E489" s="9"/>
      <c r="J489" s="5"/>
    </row>
    <row r="490" ht="15.75" customHeight="1">
      <c r="B490" s="2"/>
      <c r="E490" s="9"/>
      <c r="J490" s="5"/>
    </row>
    <row r="491" ht="15.75" customHeight="1">
      <c r="B491" s="2"/>
      <c r="E491" s="9"/>
      <c r="J491" s="5"/>
    </row>
    <row r="492" ht="15.75" customHeight="1">
      <c r="B492" s="2"/>
      <c r="E492" s="9"/>
      <c r="J492" s="5"/>
    </row>
    <row r="493" ht="15.75" customHeight="1">
      <c r="B493" s="2"/>
      <c r="E493" s="9"/>
      <c r="J493" s="5"/>
    </row>
    <row r="494" ht="15.75" customHeight="1">
      <c r="B494" s="2"/>
      <c r="E494" s="9"/>
      <c r="J494" s="5"/>
    </row>
    <row r="495" ht="15.75" customHeight="1">
      <c r="B495" s="2"/>
      <c r="E495" s="9"/>
      <c r="J495" s="5"/>
    </row>
    <row r="496" ht="15.75" customHeight="1">
      <c r="B496" s="2"/>
      <c r="E496" s="9"/>
      <c r="J496" s="5"/>
    </row>
    <row r="497" ht="15.75" customHeight="1">
      <c r="B497" s="2"/>
      <c r="E497" s="9"/>
      <c r="J497" s="5"/>
    </row>
    <row r="498" ht="15.75" customHeight="1">
      <c r="B498" s="2"/>
      <c r="E498" s="9"/>
      <c r="J498" s="5"/>
    </row>
    <row r="499" ht="15.75" customHeight="1">
      <c r="B499" s="2"/>
      <c r="E499" s="9"/>
      <c r="J499" s="5"/>
    </row>
    <row r="500" ht="15.75" customHeight="1">
      <c r="B500" s="2"/>
      <c r="E500" s="9"/>
      <c r="J500" s="5"/>
    </row>
    <row r="501" ht="15.75" customHeight="1">
      <c r="B501" s="2"/>
      <c r="E501" s="9"/>
      <c r="J501" s="5"/>
    </row>
    <row r="502" ht="15.75" customHeight="1">
      <c r="B502" s="2"/>
      <c r="E502" s="9"/>
      <c r="J502" s="5"/>
    </row>
    <row r="503" ht="15.75" customHeight="1">
      <c r="B503" s="2"/>
      <c r="E503" s="9"/>
      <c r="J503" s="5"/>
    </row>
    <row r="504" ht="15.75" customHeight="1">
      <c r="B504" s="2"/>
      <c r="E504" s="9"/>
      <c r="J504" s="5"/>
    </row>
    <row r="505" ht="15.75" customHeight="1">
      <c r="B505" s="2"/>
      <c r="E505" s="9"/>
      <c r="J505" s="5"/>
    </row>
    <row r="506" ht="15.75" customHeight="1">
      <c r="B506" s="2"/>
      <c r="E506" s="9"/>
      <c r="J506" s="5"/>
    </row>
    <row r="507" ht="15.75" customHeight="1">
      <c r="B507" s="2"/>
      <c r="E507" s="9"/>
      <c r="J507" s="5"/>
    </row>
    <row r="508" ht="15.75" customHeight="1">
      <c r="B508" s="2"/>
      <c r="E508" s="9"/>
      <c r="J508" s="5"/>
    </row>
    <row r="509" ht="15.75" customHeight="1">
      <c r="B509" s="2"/>
      <c r="E509" s="9"/>
      <c r="J509" s="5"/>
    </row>
    <row r="510" ht="15.75" customHeight="1">
      <c r="B510" s="2"/>
      <c r="E510" s="9"/>
      <c r="J510" s="5"/>
    </row>
    <row r="511" ht="15.75" customHeight="1">
      <c r="B511" s="2"/>
      <c r="E511" s="9"/>
      <c r="J511" s="5"/>
    </row>
    <row r="512" ht="15.75" customHeight="1">
      <c r="B512" s="2"/>
      <c r="E512" s="9"/>
      <c r="J512" s="5"/>
    </row>
    <row r="513" ht="15.75" customHeight="1">
      <c r="B513" s="2"/>
      <c r="E513" s="9"/>
      <c r="J513" s="5"/>
    </row>
    <row r="514" ht="15.75" customHeight="1">
      <c r="B514" s="2"/>
      <c r="E514" s="9"/>
      <c r="J514" s="5"/>
    </row>
    <row r="515" ht="15.75" customHeight="1">
      <c r="B515" s="2"/>
      <c r="E515" s="9"/>
      <c r="J515" s="5"/>
    </row>
    <row r="516" ht="15.75" customHeight="1">
      <c r="B516" s="2"/>
      <c r="E516" s="9"/>
      <c r="J516" s="5"/>
    </row>
    <row r="517" ht="15.75" customHeight="1">
      <c r="B517" s="2"/>
      <c r="E517" s="9"/>
      <c r="J517" s="5"/>
    </row>
    <row r="518" ht="15.75" customHeight="1">
      <c r="B518" s="2"/>
      <c r="E518" s="9"/>
      <c r="J518" s="5"/>
    </row>
    <row r="519" ht="15.75" customHeight="1">
      <c r="B519" s="2"/>
      <c r="E519" s="9"/>
      <c r="J519" s="5"/>
    </row>
    <row r="520" ht="15.75" customHeight="1">
      <c r="B520" s="2"/>
      <c r="E520" s="9"/>
      <c r="J520" s="5"/>
    </row>
    <row r="521" ht="15.75" customHeight="1">
      <c r="B521" s="2"/>
      <c r="E521" s="9"/>
      <c r="J521" s="5"/>
    </row>
    <row r="522" ht="15.75" customHeight="1">
      <c r="B522" s="2"/>
      <c r="E522" s="9"/>
      <c r="J522" s="5"/>
    </row>
    <row r="523" ht="15.75" customHeight="1">
      <c r="B523" s="2"/>
      <c r="E523" s="9"/>
      <c r="J523" s="5"/>
    </row>
    <row r="524" ht="15.75" customHeight="1">
      <c r="B524" s="2"/>
      <c r="E524" s="9"/>
      <c r="J524" s="5"/>
    </row>
    <row r="525" ht="15.75" customHeight="1">
      <c r="B525" s="2"/>
      <c r="E525" s="9"/>
      <c r="J525" s="5"/>
    </row>
    <row r="526" ht="15.75" customHeight="1">
      <c r="B526" s="2"/>
      <c r="E526" s="9"/>
      <c r="J526" s="5"/>
    </row>
    <row r="527" ht="15.75" customHeight="1">
      <c r="B527" s="2"/>
      <c r="E527" s="9"/>
      <c r="J527" s="5"/>
    </row>
    <row r="528" ht="15.75" customHeight="1">
      <c r="B528" s="2"/>
      <c r="E528" s="9"/>
      <c r="J528" s="5"/>
    </row>
    <row r="529" ht="15.75" customHeight="1">
      <c r="B529" s="2"/>
      <c r="E529" s="9"/>
      <c r="J529" s="5"/>
    </row>
    <row r="530" ht="15.75" customHeight="1">
      <c r="B530" s="2"/>
      <c r="E530" s="9"/>
      <c r="J530" s="5"/>
    </row>
    <row r="531" ht="15.75" customHeight="1">
      <c r="B531" s="2"/>
      <c r="E531" s="9"/>
      <c r="J531" s="5"/>
    </row>
    <row r="532" ht="15.75" customHeight="1">
      <c r="B532" s="2"/>
      <c r="E532" s="9"/>
      <c r="J532" s="5"/>
    </row>
    <row r="533" ht="15.75" customHeight="1">
      <c r="B533" s="2"/>
      <c r="E533" s="9"/>
      <c r="J533" s="5"/>
    </row>
    <row r="534" ht="15.75" customHeight="1">
      <c r="B534" s="2"/>
      <c r="E534" s="9"/>
      <c r="J534" s="5"/>
    </row>
    <row r="535" ht="15.75" customHeight="1">
      <c r="B535" s="2"/>
      <c r="E535" s="9"/>
      <c r="J535" s="5"/>
    </row>
    <row r="536" ht="15.75" customHeight="1">
      <c r="B536" s="2"/>
      <c r="E536" s="9"/>
      <c r="J536" s="5"/>
    </row>
    <row r="537" ht="15.75" customHeight="1">
      <c r="B537" s="2"/>
      <c r="E537" s="9"/>
      <c r="J537" s="5"/>
    </row>
    <row r="538" ht="15.75" customHeight="1">
      <c r="B538" s="2"/>
      <c r="E538" s="9"/>
      <c r="J538" s="5"/>
    </row>
    <row r="539" ht="15.75" customHeight="1">
      <c r="B539" s="2"/>
      <c r="E539" s="9"/>
      <c r="J539" s="5"/>
    </row>
    <row r="540" ht="15.75" customHeight="1">
      <c r="B540" s="2"/>
      <c r="E540" s="9"/>
      <c r="J540" s="5"/>
    </row>
    <row r="541" ht="15.75" customHeight="1">
      <c r="B541" s="2"/>
      <c r="E541" s="9"/>
      <c r="J541" s="5"/>
    </row>
    <row r="542" ht="15.75" customHeight="1">
      <c r="B542" s="2"/>
      <c r="E542" s="9"/>
      <c r="J542" s="5"/>
    </row>
    <row r="543" ht="15.75" customHeight="1">
      <c r="B543" s="2"/>
      <c r="E543" s="9"/>
      <c r="J543" s="5"/>
    </row>
    <row r="544" ht="15.75" customHeight="1">
      <c r="B544" s="2"/>
      <c r="E544" s="9"/>
      <c r="J544" s="5"/>
    </row>
    <row r="545" ht="15.75" customHeight="1">
      <c r="B545" s="2"/>
      <c r="E545" s="9"/>
      <c r="J545" s="5"/>
    </row>
    <row r="546" ht="15.75" customHeight="1">
      <c r="B546" s="2"/>
      <c r="E546" s="9"/>
      <c r="J546" s="5"/>
    </row>
    <row r="547" ht="15.75" customHeight="1">
      <c r="B547" s="2"/>
      <c r="E547" s="9"/>
      <c r="J547" s="5"/>
    </row>
    <row r="548" ht="15.75" customHeight="1">
      <c r="B548" s="2"/>
      <c r="E548" s="9"/>
      <c r="J548" s="5"/>
    </row>
    <row r="549" ht="15.75" customHeight="1">
      <c r="B549" s="2"/>
      <c r="E549" s="9"/>
      <c r="J549" s="5"/>
    </row>
    <row r="550" ht="15.75" customHeight="1">
      <c r="B550" s="2"/>
      <c r="E550" s="9"/>
      <c r="J550" s="5"/>
    </row>
    <row r="551" ht="15.75" customHeight="1">
      <c r="B551" s="2"/>
      <c r="E551" s="9"/>
      <c r="J551" s="5"/>
    </row>
    <row r="552" ht="15.75" customHeight="1">
      <c r="B552" s="2"/>
      <c r="E552" s="9"/>
      <c r="J552" s="5"/>
    </row>
    <row r="553" ht="15.75" customHeight="1">
      <c r="B553" s="2"/>
      <c r="E553" s="9"/>
      <c r="J553" s="5"/>
    </row>
    <row r="554" ht="15.75" customHeight="1">
      <c r="B554" s="2"/>
      <c r="E554" s="9"/>
      <c r="J554" s="5"/>
    </row>
    <row r="555" ht="15.75" customHeight="1">
      <c r="B555" s="2"/>
      <c r="E555" s="9"/>
      <c r="J555" s="5"/>
    </row>
    <row r="556" ht="15.75" customHeight="1">
      <c r="B556" s="2"/>
      <c r="E556" s="9"/>
      <c r="J556" s="5"/>
    </row>
    <row r="557" ht="15.75" customHeight="1">
      <c r="B557" s="2"/>
      <c r="E557" s="9"/>
      <c r="J557" s="5"/>
    </row>
    <row r="558" ht="15.75" customHeight="1">
      <c r="B558" s="2"/>
      <c r="E558" s="9"/>
      <c r="J558" s="5"/>
    </row>
    <row r="559" ht="15.75" customHeight="1">
      <c r="B559" s="2"/>
      <c r="E559" s="9"/>
      <c r="J559" s="5"/>
    </row>
    <row r="560" ht="15.75" customHeight="1">
      <c r="B560" s="2"/>
      <c r="E560" s="9"/>
      <c r="J560" s="5"/>
    </row>
    <row r="561" ht="15.75" customHeight="1">
      <c r="B561" s="2"/>
      <c r="E561" s="9"/>
      <c r="J561" s="5"/>
    </row>
    <row r="562" ht="15.75" customHeight="1">
      <c r="B562" s="2"/>
      <c r="E562" s="9"/>
      <c r="J562" s="5"/>
    </row>
    <row r="563" ht="15.75" customHeight="1">
      <c r="B563" s="2"/>
      <c r="E563" s="9"/>
      <c r="J563" s="5"/>
    </row>
    <row r="564" ht="15.75" customHeight="1">
      <c r="B564" s="2"/>
      <c r="E564" s="9"/>
      <c r="J564" s="5"/>
    </row>
    <row r="565" ht="15.75" customHeight="1">
      <c r="B565" s="2"/>
      <c r="E565" s="9"/>
      <c r="J565" s="5"/>
    </row>
    <row r="566" ht="15.75" customHeight="1">
      <c r="B566" s="2"/>
      <c r="E566" s="9"/>
      <c r="J566" s="5"/>
    </row>
    <row r="567" ht="15.75" customHeight="1">
      <c r="B567" s="2"/>
      <c r="E567" s="9"/>
      <c r="J567" s="5"/>
    </row>
    <row r="568" ht="15.75" customHeight="1">
      <c r="B568" s="2"/>
      <c r="E568" s="9"/>
      <c r="J568" s="5"/>
    </row>
    <row r="569" ht="15.75" customHeight="1">
      <c r="B569" s="2"/>
      <c r="E569" s="9"/>
      <c r="J569" s="5"/>
    </row>
    <row r="570" ht="15.75" customHeight="1">
      <c r="B570" s="2"/>
      <c r="E570" s="9"/>
      <c r="J570" s="5"/>
    </row>
    <row r="571" ht="15.75" customHeight="1">
      <c r="B571" s="2"/>
      <c r="E571" s="9"/>
      <c r="J571" s="5"/>
    </row>
    <row r="572" ht="15.75" customHeight="1">
      <c r="B572" s="2"/>
      <c r="E572" s="9"/>
      <c r="J572" s="5"/>
    </row>
    <row r="573" ht="15.75" customHeight="1">
      <c r="B573" s="2"/>
      <c r="E573" s="9"/>
      <c r="J573" s="5"/>
    </row>
    <row r="574" ht="15.75" customHeight="1">
      <c r="B574" s="2"/>
      <c r="E574" s="9"/>
      <c r="J574" s="5"/>
    </row>
    <row r="575" ht="15.75" customHeight="1">
      <c r="B575" s="2"/>
      <c r="E575" s="9"/>
      <c r="J575" s="5"/>
    </row>
    <row r="576" ht="15.75" customHeight="1">
      <c r="B576" s="2"/>
      <c r="E576" s="9"/>
      <c r="J576" s="5"/>
    </row>
    <row r="577" ht="15.75" customHeight="1">
      <c r="B577" s="2"/>
      <c r="E577" s="9"/>
      <c r="J577" s="5"/>
    </row>
    <row r="578" ht="15.75" customHeight="1">
      <c r="B578" s="2"/>
      <c r="E578" s="9"/>
      <c r="J578" s="5"/>
    </row>
    <row r="579" ht="15.75" customHeight="1">
      <c r="B579" s="2"/>
      <c r="E579" s="9"/>
      <c r="J579" s="5"/>
    </row>
    <row r="580" ht="15.75" customHeight="1">
      <c r="B580" s="2"/>
      <c r="E580" s="9"/>
      <c r="J580" s="5"/>
    </row>
    <row r="581" ht="15.75" customHeight="1">
      <c r="B581" s="2"/>
      <c r="E581" s="9"/>
      <c r="J581" s="5"/>
    </row>
    <row r="582" ht="15.75" customHeight="1">
      <c r="B582" s="2"/>
      <c r="E582" s="9"/>
      <c r="J582" s="5"/>
    </row>
    <row r="583" ht="15.75" customHeight="1">
      <c r="B583" s="2"/>
      <c r="E583" s="9"/>
      <c r="J583" s="5"/>
    </row>
    <row r="584" ht="15.75" customHeight="1">
      <c r="B584" s="2"/>
      <c r="E584" s="9"/>
      <c r="J584" s="5"/>
    </row>
    <row r="585" ht="15.75" customHeight="1">
      <c r="B585" s="2"/>
      <c r="E585" s="9"/>
      <c r="J585" s="5"/>
    </row>
    <row r="586" ht="15.75" customHeight="1">
      <c r="B586" s="2"/>
      <c r="E586" s="9"/>
      <c r="J586" s="5"/>
    </row>
    <row r="587" ht="15.75" customHeight="1">
      <c r="B587" s="2"/>
      <c r="E587" s="9"/>
      <c r="J587" s="5"/>
    </row>
    <row r="588" ht="15.75" customHeight="1">
      <c r="B588" s="2"/>
      <c r="E588" s="9"/>
      <c r="J588" s="5"/>
    </row>
    <row r="589" ht="15.75" customHeight="1">
      <c r="B589" s="2"/>
      <c r="E589" s="9"/>
      <c r="J589" s="5"/>
    </row>
    <row r="590" ht="15.75" customHeight="1">
      <c r="B590" s="2"/>
      <c r="E590" s="9"/>
      <c r="J590" s="5"/>
    </row>
    <row r="591" ht="15.75" customHeight="1">
      <c r="B591" s="2"/>
      <c r="E591" s="9"/>
      <c r="J591" s="5"/>
    </row>
    <row r="592" ht="15.75" customHeight="1">
      <c r="B592" s="2"/>
      <c r="E592" s="9"/>
      <c r="J592" s="5"/>
    </row>
    <row r="593" ht="15.75" customHeight="1">
      <c r="B593" s="2"/>
      <c r="E593" s="9"/>
      <c r="J593" s="5"/>
    </row>
    <row r="594" ht="15.75" customHeight="1">
      <c r="B594" s="2"/>
      <c r="E594" s="9"/>
      <c r="J594" s="5"/>
    </row>
    <row r="595" ht="15.75" customHeight="1">
      <c r="B595" s="2"/>
      <c r="E595" s="9"/>
      <c r="J595" s="5"/>
    </row>
    <row r="596" ht="15.75" customHeight="1">
      <c r="B596" s="2"/>
      <c r="E596" s="9"/>
      <c r="J596" s="5"/>
    </row>
    <row r="597" ht="15.75" customHeight="1">
      <c r="B597" s="2"/>
      <c r="E597" s="9"/>
      <c r="J597" s="5"/>
    </row>
    <row r="598" ht="15.75" customHeight="1">
      <c r="B598" s="2"/>
      <c r="E598" s="9"/>
      <c r="J598" s="5"/>
    </row>
    <row r="599" ht="15.75" customHeight="1">
      <c r="B599" s="2"/>
      <c r="E599" s="9"/>
      <c r="J599" s="5"/>
    </row>
    <row r="600" ht="15.75" customHeight="1">
      <c r="B600" s="2"/>
      <c r="E600" s="9"/>
      <c r="J600" s="5"/>
    </row>
    <row r="601" ht="15.75" customHeight="1">
      <c r="B601" s="2"/>
      <c r="E601" s="9"/>
      <c r="J601" s="5"/>
    </row>
    <row r="602" ht="15.75" customHeight="1">
      <c r="B602" s="2"/>
      <c r="E602" s="9"/>
      <c r="J602" s="5"/>
    </row>
    <row r="603" ht="15.75" customHeight="1">
      <c r="B603" s="2"/>
      <c r="E603" s="9"/>
      <c r="J603" s="5"/>
    </row>
    <row r="604" ht="15.75" customHeight="1">
      <c r="B604" s="2"/>
      <c r="E604" s="9"/>
      <c r="J604" s="5"/>
    </row>
    <row r="605" ht="15.75" customHeight="1">
      <c r="B605" s="2"/>
      <c r="E605" s="9"/>
      <c r="J605" s="5"/>
    </row>
    <row r="606" ht="15.75" customHeight="1">
      <c r="B606" s="2"/>
      <c r="E606" s="9"/>
      <c r="J606" s="5"/>
    </row>
    <row r="607" ht="15.75" customHeight="1">
      <c r="B607" s="2"/>
      <c r="E607" s="9"/>
      <c r="J607" s="5"/>
    </row>
    <row r="608" ht="15.75" customHeight="1">
      <c r="B608" s="2"/>
      <c r="E608" s="9"/>
      <c r="J608" s="5"/>
    </row>
    <row r="609" ht="15.75" customHeight="1">
      <c r="B609" s="2"/>
      <c r="E609" s="9"/>
      <c r="J609" s="5"/>
    </row>
    <row r="610" ht="15.75" customHeight="1">
      <c r="B610" s="2"/>
      <c r="E610" s="9"/>
      <c r="J610" s="5"/>
    </row>
    <row r="611" ht="15.75" customHeight="1">
      <c r="B611" s="2"/>
      <c r="E611" s="9"/>
      <c r="J611" s="5"/>
    </row>
    <row r="612" ht="15.75" customHeight="1">
      <c r="B612" s="2"/>
      <c r="E612" s="9"/>
      <c r="J612" s="5"/>
    </row>
    <row r="613" ht="15.75" customHeight="1">
      <c r="B613" s="2"/>
      <c r="E613" s="9"/>
      <c r="J613" s="5"/>
    </row>
    <row r="614" ht="15.75" customHeight="1">
      <c r="B614" s="2"/>
      <c r="E614" s="9"/>
      <c r="J614" s="5"/>
    </row>
    <row r="615" ht="15.75" customHeight="1">
      <c r="B615" s="2"/>
      <c r="E615" s="9"/>
      <c r="J615" s="5"/>
    </row>
    <row r="616" ht="15.75" customHeight="1">
      <c r="B616" s="2"/>
      <c r="E616" s="9"/>
      <c r="J616" s="5"/>
    </row>
    <row r="617" ht="15.75" customHeight="1">
      <c r="B617" s="2"/>
      <c r="E617" s="9"/>
      <c r="J617" s="5"/>
    </row>
    <row r="618" ht="15.75" customHeight="1">
      <c r="B618" s="2"/>
      <c r="E618" s="9"/>
      <c r="J618" s="5"/>
    </row>
    <row r="619" ht="15.75" customHeight="1">
      <c r="B619" s="2"/>
      <c r="E619" s="9"/>
      <c r="J619" s="5"/>
    </row>
    <row r="620" ht="15.75" customHeight="1">
      <c r="B620" s="2"/>
      <c r="E620" s="9"/>
      <c r="J620" s="5"/>
    </row>
    <row r="621" ht="15.75" customHeight="1">
      <c r="B621" s="2"/>
      <c r="E621" s="9"/>
      <c r="J621" s="5"/>
    </row>
    <row r="622" ht="15.75" customHeight="1">
      <c r="B622" s="2"/>
      <c r="E622" s="9"/>
      <c r="J622" s="5"/>
    </row>
    <row r="623" ht="15.75" customHeight="1">
      <c r="B623" s="2"/>
      <c r="E623" s="9"/>
      <c r="J623" s="5"/>
    </row>
    <row r="624" ht="15.75" customHeight="1">
      <c r="B624" s="2"/>
      <c r="E624" s="9"/>
      <c r="J624" s="5"/>
    </row>
    <row r="625" ht="15.75" customHeight="1">
      <c r="B625" s="2"/>
      <c r="E625" s="9"/>
      <c r="J625" s="5"/>
    </row>
    <row r="626" ht="15.75" customHeight="1">
      <c r="B626" s="2"/>
      <c r="E626" s="9"/>
      <c r="J626" s="5"/>
    </row>
    <row r="627" ht="15.75" customHeight="1">
      <c r="B627" s="2"/>
      <c r="E627" s="9"/>
      <c r="J627" s="5"/>
    </row>
    <row r="628" ht="15.75" customHeight="1">
      <c r="B628" s="2"/>
      <c r="E628" s="9"/>
      <c r="J628" s="5"/>
    </row>
    <row r="629" ht="15.75" customHeight="1">
      <c r="B629" s="2"/>
      <c r="E629" s="9"/>
      <c r="J629" s="5"/>
    </row>
    <row r="630" ht="15.75" customHeight="1">
      <c r="B630" s="2"/>
      <c r="E630" s="9"/>
      <c r="J630" s="5"/>
    </row>
    <row r="631" ht="15.75" customHeight="1">
      <c r="B631" s="2"/>
      <c r="E631" s="9"/>
      <c r="J631" s="5"/>
    </row>
    <row r="632" ht="15.75" customHeight="1">
      <c r="B632" s="2"/>
      <c r="E632" s="9"/>
      <c r="J632" s="5"/>
    </row>
    <row r="633" ht="15.75" customHeight="1">
      <c r="B633" s="2"/>
      <c r="E633" s="9"/>
      <c r="J633" s="5"/>
    </row>
    <row r="634" ht="15.75" customHeight="1">
      <c r="B634" s="2"/>
      <c r="E634" s="9"/>
      <c r="J634" s="5"/>
    </row>
    <row r="635" ht="15.75" customHeight="1">
      <c r="B635" s="2"/>
      <c r="E635" s="9"/>
      <c r="J635" s="5"/>
    </row>
    <row r="636" ht="15.75" customHeight="1">
      <c r="B636" s="2"/>
      <c r="E636" s="9"/>
      <c r="J636" s="5"/>
    </row>
    <row r="637" ht="15.75" customHeight="1">
      <c r="B637" s="2"/>
      <c r="E637" s="9"/>
      <c r="J637" s="5"/>
    </row>
    <row r="638" ht="15.75" customHeight="1">
      <c r="B638" s="2"/>
      <c r="E638" s="9"/>
      <c r="J638" s="5"/>
    </row>
    <row r="639" ht="15.75" customHeight="1">
      <c r="B639" s="2"/>
      <c r="E639" s="9"/>
      <c r="J639" s="5"/>
    </row>
    <row r="640" ht="15.75" customHeight="1">
      <c r="B640" s="2"/>
      <c r="E640" s="9"/>
      <c r="J640" s="5"/>
    </row>
    <row r="641" ht="15.75" customHeight="1">
      <c r="B641" s="2"/>
      <c r="E641" s="9"/>
      <c r="J641" s="5"/>
    </row>
    <row r="642" ht="15.75" customHeight="1">
      <c r="B642" s="2"/>
      <c r="E642" s="9"/>
      <c r="J642" s="5"/>
    </row>
    <row r="643" ht="15.75" customHeight="1">
      <c r="B643" s="2"/>
      <c r="E643" s="9"/>
      <c r="J643" s="5"/>
    </row>
    <row r="644" ht="15.75" customHeight="1">
      <c r="B644" s="2"/>
      <c r="E644" s="9"/>
      <c r="J644" s="5"/>
    </row>
    <row r="645" ht="15.75" customHeight="1">
      <c r="B645" s="2"/>
      <c r="E645" s="9"/>
      <c r="J645" s="5"/>
    </row>
    <row r="646" ht="15.75" customHeight="1">
      <c r="B646" s="2"/>
      <c r="E646" s="9"/>
      <c r="J646" s="5"/>
    </row>
    <row r="647" ht="15.75" customHeight="1">
      <c r="B647" s="2"/>
      <c r="E647" s="9"/>
      <c r="J647" s="5"/>
    </row>
    <row r="648" ht="15.75" customHeight="1">
      <c r="B648" s="2"/>
      <c r="E648" s="9"/>
      <c r="J648" s="5"/>
    </row>
    <row r="649" ht="15.75" customHeight="1">
      <c r="B649" s="2"/>
      <c r="E649" s="9"/>
      <c r="J649" s="5"/>
    </row>
    <row r="650" ht="15.75" customHeight="1">
      <c r="B650" s="2"/>
      <c r="E650" s="9"/>
      <c r="J650" s="5"/>
    </row>
    <row r="651" ht="15.75" customHeight="1">
      <c r="B651" s="2"/>
      <c r="E651" s="9"/>
      <c r="J651" s="5"/>
    </row>
    <row r="652" ht="15.75" customHeight="1">
      <c r="B652" s="2"/>
      <c r="E652" s="9"/>
      <c r="J652" s="5"/>
    </row>
    <row r="653" ht="15.75" customHeight="1">
      <c r="B653" s="2"/>
      <c r="E653" s="9"/>
      <c r="J653" s="5"/>
    </row>
    <row r="654" ht="15.75" customHeight="1">
      <c r="B654" s="2"/>
      <c r="E654" s="9"/>
      <c r="J654" s="5"/>
    </row>
    <row r="655" ht="15.75" customHeight="1">
      <c r="B655" s="2"/>
      <c r="E655" s="9"/>
      <c r="J655" s="5"/>
    </row>
    <row r="656" ht="15.75" customHeight="1">
      <c r="B656" s="2"/>
      <c r="E656" s="9"/>
      <c r="J656" s="5"/>
    </row>
    <row r="657" ht="15.75" customHeight="1">
      <c r="B657" s="2"/>
      <c r="E657" s="9"/>
      <c r="J657" s="5"/>
    </row>
    <row r="658" ht="15.75" customHeight="1">
      <c r="B658" s="2"/>
      <c r="E658" s="9"/>
      <c r="J658" s="5"/>
    </row>
    <row r="659" ht="15.75" customHeight="1">
      <c r="B659" s="2"/>
      <c r="E659" s="9"/>
      <c r="J659" s="5"/>
    </row>
    <row r="660" ht="15.75" customHeight="1">
      <c r="B660" s="2"/>
      <c r="E660" s="9"/>
      <c r="J660" s="5"/>
    </row>
    <row r="661" ht="15.75" customHeight="1">
      <c r="B661" s="2"/>
      <c r="E661" s="9"/>
      <c r="J661" s="5"/>
    </row>
    <row r="662" ht="15.75" customHeight="1">
      <c r="B662" s="2"/>
      <c r="E662" s="9"/>
      <c r="J662" s="5"/>
    </row>
    <row r="663" ht="15.75" customHeight="1">
      <c r="B663" s="2"/>
      <c r="E663" s="9"/>
      <c r="J663" s="5"/>
    </row>
    <row r="664" ht="15.75" customHeight="1">
      <c r="B664" s="2"/>
      <c r="E664" s="9"/>
      <c r="J664" s="5"/>
    </row>
    <row r="665" ht="15.75" customHeight="1">
      <c r="B665" s="2"/>
      <c r="E665" s="9"/>
      <c r="J665" s="5"/>
    </row>
    <row r="666" ht="15.75" customHeight="1">
      <c r="B666" s="2"/>
      <c r="E666" s="9"/>
      <c r="J666" s="5"/>
    </row>
    <row r="667" ht="15.75" customHeight="1">
      <c r="B667" s="2"/>
      <c r="E667" s="9"/>
      <c r="J667" s="5"/>
    </row>
    <row r="668" ht="15.75" customHeight="1">
      <c r="B668" s="2"/>
      <c r="E668" s="9"/>
      <c r="J668" s="5"/>
    </row>
    <row r="669" ht="15.75" customHeight="1">
      <c r="B669" s="2"/>
      <c r="E669" s="9"/>
      <c r="J669" s="5"/>
    </row>
    <row r="670" ht="15.75" customHeight="1">
      <c r="B670" s="2"/>
      <c r="E670" s="9"/>
      <c r="J670" s="5"/>
    </row>
    <row r="671" ht="15.75" customHeight="1">
      <c r="B671" s="2"/>
      <c r="E671" s="9"/>
      <c r="J671" s="5"/>
    </row>
    <row r="672" ht="15.75" customHeight="1">
      <c r="B672" s="2"/>
      <c r="E672" s="9"/>
      <c r="J672" s="5"/>
    </row>
    <row r="673" ht="15.75" customHeight="1">
      <c r="B673" s="2"/>
      <c r="E673" s="9"/>
      <c r="J673" s="5"/>
    </row>
    <row r="674" ht="15.75" customHeight="1">
      <c r="B674" s="2"/>
      <c r="E674" s="9"/>
      <c r="J674" s="5"/>
    </row>
    <row r="675" ht="15.75" customHeight="1">
      <c r="B675" s="2"/>
      <c r="E675" s="9"/>
      <c r="J675" s="5"/>
    </row>
    <row r="676" ht="15.75" customHeight="1">
      <c r="B676" s="2"/>
      <c r="E676" s="9"/>
      <c r="J676" s="5"/>
    </row>
    <row r="677" ht="15.75" customHeight="1">
      <c r="B677" s="2"/>
      <c r="E677" s="9"/>
      <c r="J677" s="5"/>
    </row>
    <row r="678" ht="15.75" customHeight="1">
      <c r="B678" s="2"/>
      <c r="E678" s="9"/>
      <c r="J678" s="5"/>
    </row>
    <row r="679" ht="15.75" customHeight="1">
      <c r="B679" s="2"/>
      <c r="E679" s="9"/>
      <c r="J679" s="5"/>
    </row>
    <row r="680" ht="15.75" customHeight="1">
      <c r="B680" s="2"/>
      <c r="E680" s="9"/>
      <c r="J680" s="5"/>
    </row>
    <row r="681" ht="15.75" customHeight="1">
      <c r="B681" s="2"/>
      <c r="E681" s="9"/>
      <c r="J681" s="5"/>
    </row>
    <row r="682" ht="15.75" customHeight="1">
      <c r="B682" s="2"/>
      <c r="E682" s="9"/>
      <c r="J682" s="5"/>
    </row>
    <row r="683" ht="15.75" customHeight="1">
      <c r="B683" s="2"/>
      <c r="E683" s="9"/>
      <c r="J683" s="5"/>
    </row>
    <row r="684" ht="15.75" customHeight="1">
      <c r="B684" s="2"/>
      <c r="E684" s="9"/>
      <c r="J684" s="5"/>
    </row>
    <row r="685" ht="15.75" customHeight="1">
      <c r="B685" s="2"/>
      <c r="E685" s="9"/>
      <c r="J685" s="5"/>
    </row>
    <row r="686" ht="15.75" customHeight="1">
      <c r="B686" s="2"/>
      <c r="E686" s="9"/>
      <c r="J686" s="5"/>
    </row>
    <row r="687" ht="15.75" customHeight="1">
      <c r="B687" s="2"/>
      <c r="E687" s="9"/>
      <c r="J687" s="5"/>
    </row>
    <row r="688" ht="15.75" customHeight="1">
      <c r="B688" s="2"/>
      <c r="E688" s="9"/>
      <c r="J688" s="5"/>
    </row>
    <row r="689" ht="15.75" customHeight="1">
      <c r="B689" s="2"/>
      <c r="E689" s="9"/>
      <c r="J689" s="5"/>
    </row>
    <row r="690" ht="15.75" customHeight="1">
      <c r="B690" s="2"/>
      <c r="E690" s="9"/>
      <c r="J690" s="5"/>
    </row>
    <row r="691" ht="15.75" customHeight="1">
      <c r="B691" s="2"/>
      <c r="E691" s="9"/>
      <c r="J691" s="5"/>
    </row>
    <row r="692" ht="15.75" customHeight="1">
      <c r="B692" s="2"/>
      <c r="E692" s="9"/>
      <c r="J692" s="5"/>
    </row>
    <row r="693" ht="15.75" customHeight="1">
      <c r="B693" s="2"/>
      <c r="E693" s="9"/>
      <c r="J693" s="5"/>
    </row>
    <row r="694" ht="15.75" customHeight="1">
      <c r="B694" s="2"/>
      <c r="E694" s="9"/>
      <c r="J694" s="5"/>
    </row>
    <row r="695" ht="15.75" customHeight="1">
      <c r="B695" s="2"/>
      <c r="E695" s="9"/>
      <c r="J695" s="5"/>
    </row>
    <row r="696" ht="15.75" customHeight="1">
      <c r="B696" s="2"/>
      <c r="E696" s="9"/>
      <c r="J696" s="5"/>
    </row>
    <row r="697" ht="15.75" customHeight="1">
      <c r="B697" s="2"/>
      <c r="E697" s="9"/>
      <c r="J697" s="5"/>
    </row>
    <row r="698" ht="15.75" customHeight="1">
      <c r="B698" s="2"/>
      <c r="E698" s="9"/>
      <c r="J698" s="5"/>
    </row>
    <row r="699" ht="15.75" customHeight="1">
      <c r="B699" s="2"/>
      <c r="E699" s="9"/>
      <c r="J699" s="5"/>
    </row>
    <row r="700" ht="15.75" customHeight="1">
      <c r="B700" s="2"/>
      <c r="E700" s="9"/>
      <c r="J700" s="5"/>
    </row>
    <row r="701" ht="15.75" customHeight="1">
      <c r="B701" s="2"/>
      <c r="E701" s="9"/>
      <c r="J701" s="5"/>
    </row>
    <row r="702" ht="15.75" customHeight="1">
      <c r="B702" s="2"/>
      <c r="E702" s="9"/>
      <c r="J702" s="5"/>
    </row>
    <row r="703" ht="15.75" customHeight="1">
      <c r="B703" s="2"/>
      <c r="E703" s="9"/>
      <c r="J703" s="5"/>
    </row>
    <row r="704" ht="15.75" customHeight="1">
      <c r="B704" s="2"/>
      <c r="E704" s="9"/>
      <c r="J704" s="5"/>
    </row>
    <row r="705" ht="15.75" customHeight="1">
      <c r="B705" s="2"/>
      <c r="E705" s="9"/>
      <c r="J705" s="5"/>
    </row>
    <row r="706" ht="15.75" customHeight="1">
      <c r="B706" s="2"/>
      <c r="E706" s="9"/>
      <c r="J706" s="5"/>
    </row>
    <row r="707" ht="15.75" customHeight="1">
      <c r="B707" s="2"/>
      <c r="E707" s="9"/>
      <c r="J707" s="5"/>
    </row>
    <row r="708" ht="15.75" customHeight="1">
      <c r="B708" s="2"/>
      <c r="E708" s="9"/>
      <c r="J708" s="5"/>
    </row>
    <row r="709" ht="15.75" customHeight="1">
      <c r="B709" s="2"/>
      <c r="E709" s="9"/>
      <c r="J709" s="5"/>
    </row>
    <row r="710" ht="15.75" customHeight="1">
      <c r="B710" s="2"/>
      <c r="E710" s="9"/>
      <c r="J710" s="5"/>
    </row>
    <row r="711" ht="15.75" customHeight="1">
      <c r="B711" s="2"/>
      <c r="E711" s="9"/>
      <c r="J711" s="5"/>
    </row>
    <row r="712" ht="15.75" customHeight="1">
      <c r="B712" s="2"/>
      <c r="E712" s="9"/>
      <c r="J712" s="5"/>
    </row>
    <row r="713" ht="15.75" customHeight="1">
      <c r="B713" s="2"/>
      <c r="E713" s="9"/>
      <c r="J713" s="5"/>
    </row>
    <row r="714" ht="15.75" customHeight="1">
      <c r="B714" s="2"/>
      <c r="E714" s="9"/>
      <c r="J714" s="5"/>
    </row>
    <row r="715" ht="15.75" customHeight="1">
      <c r="B715" s="2"/>
      <c r="E715" s="9"/>
      <c r="J715" s="5"/>
    </row>
    <row r="716" ht="15.75" customHeight="1">
      <c r="B716" s="2"/>
      <c r="E716" s="9"/>
      <c r="J716" s="5"/>
    </row>
    <row r="717" ht="15.75" customHeight="1">
      <c r="B717" s="2"/>
      <c r="E717" s="9"/>
      <c r="J717" s="5"/>
    </row>
    <row r="718" ht="15.75" customHeight="1">
      <c r="B718" s="2"/>
      <c r="E718" s="9"/>
      <c r="J718" s="5"/>
    </row>
    <row r="719" ht="15.75" customHeight="1">
      <c r="B719" s="2"/>
      <c r="E719" s="9"/>
      <c r="J719" s="5"/>
    </row>
    <row r="720" ht="15.75" customHeight="1">
      <c r="B720" s="2"/>
      <c r="E720" s="9"/>
      <c r="J720" s="5"/>
    </row>
    <row r="721" ht="15.75" customHeight="1">
      <c r="B721" s="2"/>
      <c r="E721" s="9"/>
      <c r="J721" s="5"/>
    </row>
    <row r="722" ht="15.75" customHeight="1">
      <c r="B722" s="2"/>
      <c r="E722" s="9"/>
      <c r="J722" s="5"/>
    </row>
    <row r="723" ht="15.75" customHeight="1">
      <c r="B723" s="2"/>
      <c r="E723" s="9"/>
      <c r="J723" s="5"/>
    </row>
    <row r="724" ht="15.75" customHeight="1">
      <c r="B724" s="2"/>
      <c r="E724" s="9"/>
      <c r="J724" s="5"/>
    </row>
    <row r="725" ht="15.75" customHeight="1">
      <c r="B725" s="2"/>
      <c r="E725" s="9"/>
      <c r="J725" s="5"/>
    </row>
    <row r="726" ht="15.75" customHeight="1">
      <c r="B726" s="2"/>
      <c r="E726" s="9"/>
      <c r="J726" s="5"/>
    </row>
    <row r="727" ht="15.75" customHeight="1">
      <c r="B727" s="2"/>
      <c r="E727" s="9"/>
      <c r="J727" s="5"/>
    </row>
    <row r="728" ht="15.75" customHeight="1">
      <c r="B728" s="2"/>
      <c r="E728" s="9"/>
      <c r="J728" s="5"/>
    </row>
    <row r="729" ht="15.75" customHeight="1">
      <c r="B729" s="2"/>
      <c r="E729" s="9"/>
      <c r="J729" s="5"/>
    </row>
    <row r="730" ht="15.75" customHeight="1">
      <c r="B730" s="2"/>
      <c r="E730" s="9"/>
      <c r="J730" s="5"/>
    </row>
    <row r="731" ht="15.75" customHeight="1">
      <c r="B731" s="2"/>
      <c r="E731" s="9"/>
      <c r="J731" s="5"/>
    </row>
    <row r="732" ht="15.75" customHeight="1">
      <c r="B732" s="2"/>
      <c r="E732" s="9"/>
      <c r="J732" s="5"/>
    </row>
    <row r="733" ht="15.75" customHeight="1">
      <c r="B733" s="2"/>
      <c r="E733" s="9"/>
      <c r="J733" s="5"/>
    </row>
    <row r="734" ht="15.75" customHeight="1">
      <c r="B734" s="2"/>
      <c r="E734" s="9"/>
      <c r="J734" s="5"/>
    </row>
    <row r="735" ht="15.75" customHeight="1">
      <c r="B735" s="2"/>
      <c r="E735" s="9"/>
      <c r="J735" s="5"/>
    </row>
    <row r="736" ht="15.75" customHeight="1">
      <c r="B736" s="2"/>
      <c r="E736" s="9"/>
      <c r="J736" s="5"/>
    </row>
    <row r="737" ht="15.75" customHeight="1">
      <c r="B737" s="2"/>
      <c r="E737" s="9"/>
      <c r="J737" s="5"/>
    </row>
    <row r="738" ht="15.75" customHeight="1">
      <c r="B738" s="2"/>
      <c r="E738" s="9"/>
      <c r="J738" s="5"/>
    </row>
    <row r="739" ht="15.75" customHeight="1">
      <c r="B739" s="2"/>
      <c r="E739" s="9"/>
      <c r="J739" s="5"/>
    </row>
    <row r="740" ht="15.75" customHeight="1">
      <c r="B740" s="2"/>
      <c r="E740" s="9"/>
      <c r="J740" s="5"/>
    </row>
    <row r="741" ht="15.75" customHeight="1">
      <c r="B741" s="2"/>
      <c r="E741" s="9"/>
      <c r="J741" s="5"/>
    </row>
    <row r="742" ht="15.75" customHeight="1">
      <c r="B742" s="2"/>
      <c r="E742" s="9"/>
      <c r="J742" s="5"/>
    </row>
    <row r="743" ht="15.75" customHeight="1">
      <c r="B743" s="2"/>
      <c r="E743" s="9"/>
      <c r="J743" s="5"/>
    </row>
    <row r="744" ht="15.75" customHeight="1">
      <c r="B744" s="2"/>
      <c r="E744" s="9"/>
      <c r="J744" s="5"/>
    </row>
    <row r="745" ht="15.75" customHeight="1">
      <c r="B745" s="2"/>
      <c r="E745" s="9"/>
      <c r="J745" s="5"/>
    </row>
    <row r="746" ht="15.75" customHeight="1">
      <c r="B746" s="2"/>
      <c r="E746" s="9"/>
      <c r="J746" s="5"/>
    </row>
    <row r="747" ht="15.75" customHeight="1">
      <c r="B747" s="2"/>
      <c r="E747" s="9"/>
      <c r="J747" s="5"/>
    </row>
    <row r="748" ht="15.75" customHeight="1">
      <c r="B748" s="2"/>
      <c r="E748" s="9"/>
      <c r="J748" s="5"/>
    </row>
    <row r="749" ht="15.75" customHeight="1">
      <c r="B749" s="2"/>
      <c r="E749" s="9"/>
      <c r="J749" s="5"/>
    </row>
    <row r="750" ht="15.75" customHeight="1">
      <c r="B750" s="2"/>
      <c r="E750" s="9"/>
      <c r="J750" s="5"/>
    </row>
    <row r="751" ht="15.75" customHeight="1">
      <c r="B751" s="2"/>
      <c r="E751" s="9"/>
      <c r="J751" s="5"/>
    </row>
    <row r="752" ht="15.75" customHeight="1">
      <c r="B752" s="2"/>
      <c r="E752" s="9"/>
      <c r="J752" s="5"/>
    </row>
    <row r="753" ht="15.75" customHeight="1">
      <c r="B753" s="2"/>
      <c r="E753" s="9"/>
      <c r="J753" s="5"/>
    </row>
    <row r="754" ht="15.75" customHeight="1">
      <c r="B754" s="2"/>
      <c r="E754" s="9"/>
      <c r="J754" s="5"/>
    </row>
    <row r="755" ht="15.75" customHeight="1">
      <c r="B755" s="2"/>
      <c r="E755" s="9"/>
      <c r="J755" s="5"/>
    </row>
    <row r="756" ht="15.75" customHeight="1">
      <c r="B756" s="2"/>
      <c r="E756" s="9"/>
      <c r="J756" s="5"/>
    </row>
    <row r="757" ht="15.75" customHeight="1">
      <c r="B757" s="2"/>
      <c r="E757" s="9"/>
      <c r="J757" s="5"/>
    </row>
    <row r="758" ht="15.75" customHeight="1">
      <c r="B758" s="2"/>
      <c r="E758" s="9"/>
      <c r="J758" s="5"/>
    </row>
    <row r="759" ht="15.75" customHeight="1">
      <c r="B759" s="2"/>
      <c r="E759" s="9"/>
      <c r="J759" s="5"/>
    </row>
    <row r="760" ht="15.75" customHeight="1">
      <c r="B760" s="2"/>
      <c r="E760" s="9"/>
      <c r="J760" s="5"/>
    </row>
    <row r="761" ht="15.75" customHeight="1">
      <c r="B761" s="2"/>
      <c r="E761" s="9"/>
      <c r="J761" s="5"/>
    </row>
    <row r="762" ht="15.75" customHeight="1">
      <c r="B762" s="2"/>
      <c r="E762" s="9"/>
      <c r="J762" s="5"/>
    </row>
    <row r="763" ht="15.75" customHeight="1">
      <c r="B763" s="2"/>
      <c r="E763" s="9"/>
      <c r="J763" s="5"/>
    </row>
    <row r="764" ht="15.75" customHeight="1">
      <c r="B764" s="2"/>
      <c r="E764" s="9"/>
      <c r="J764" s="5"/>
    </row>
    <row r="765" ht="15.75" customHeight="1">
      <c r="B765" s="2"/>
      <c r="E765" s="9"/>
      <c r="J765" s="5"/>
    </row>
    <row r="766" ht="15.75" customHeight="1">
      <c r="B766" s="2"/>
      <c r="E766" s="9"/>
      <c r="J766" s="5"/>
    </row>
    <row r="767" ht="15.75" customHeight="1">
      <c r="B767" s="2"/>
      <c r="E767" s="9"/>
      <c r="J767" s="5"/>
    </row>
    <row r="768" ht="15.75" customHeight="1">
      <c r="B768" s="2"/>
      <c r="E768" s="9"/>
      <c r="J768" s="5"/>
    </row>
    <row r="769" ht="15.75" customHeight="1">
      <c r="B769" s="2"/>
      <c r="E769" s="9"/>
      <c r="J769" s="5"/>
    </row>
    <row r="770" ht="15.75" customHeight="1">
      <c r="B770" s="2"/>
      <c r="E770" s="9"/>
      <c r="J770" s="5"/>
    </row>
    <row r="771" ht="15.75" customHeight="1">
      <c r="B771" s="2"/>
      <c r="E771" s="9"/>
      <c r="J771" s="5"/>
    </row>
    <row r="772" ht="15.75" customHeight="1">
      <c r="B772" s="2"/>
      <c r="E772" s="9"/>
      <c r="J772" s="5"/>
    </row>
    <row r="773" ht="15.75" customHeight="1">
      <c r="B773" s="2"/>
      <c r="E773" s="9"/>
      <c r="J773" s="5"/>
    </row>
    <row r="774" ht="15.75" customHeight="1">
      <c r="B774" s="2"/>
      <c r="E774" s="9"/>
      <c r="J774" s="5"/>
    </row>
    <row r="775" ht="15.75" customHeight="1">
      <c r="B775" s="2"/>
      <c r="E775" s="9"/>
      <c r="J775" s="5"/>
    </row>
    <row r="776" ht="15.75" customHeight="1">
      <c r="B776" s="2"/>
      <c r="E776" s="9"/>
      <c r="J776" s="5"/>
    </row>
    <row r="777" ht="15.75" customHeight="1">
      <c r="B777" s="2"/>
      <c r="E777" s="9"/>
      <c r="J777" s="5"/>
    </row>
    <row r="778" ht="15.75" customHeight="1">
      <c r="B778" s="2"/>
      <c r="E778" s="9"/>
      <c r="J778" s="5"/>
    </row>
    <row r="779" ht="15.75" customHeight="1">
      <c r="B779" s="2"/>
      <c r="E779" s="9"/>
      <c r="J779" s="5"/>
    </row>
    <row r="780" ht="15.75" customHeight="1">
      <c r="B780" s="2"/>
      <c r="E780" s="9"/>
      <c r="J780" s="5"/>
    </row>
    <row r="781" ht="15.75" customHeight="1">
      <c r="B781" s="2"/>
      <c r="E781" s="9"/>
      <c r="J781" s="5"/>
    </row>
    <row r="782" ht="15.75" customHeight="1">
      <c r="B782" s="2"/>
      <c r="E782" s="9"/>
      <c r="J782" s="5"/>
    </row>
    <row r="783" ht="15.75" customHeight="1">
      <c r="B783" s="2"/>
      <c r="E783" s="9"/>
      <c r="J783" s="5"/>
    </row>
    <row r="784" ht="15.75" customHeight="1">
      <c r="B784" s="2"/>
      <c r="E784" s="9"/>
      <c r="J784" s="5"/>
    </row>
    <row r="785" ht="15.75" customHeight="1">
      <c r="B785" s="2"/>
      <c r="E785" s="9"/>
      <c r="J785" s="5"/>
    </row>
    <row r="786" ht="15.75" customHeight="1">
      <c r="B786" s="2"/>
      <c r="E786" s="9"/>
      <c r="J786" s="5"/>
    </row>
    <row r="787" ht="15.75" customHeight="1">
      <c r="B787" s="2"/>
      <c r="E787" s="9"/>
      <c r="J787" s="5"/>
    </row>
    <row r="788" ht="15.75" customHeight="1">
      <c r="B788" s="2"/>
      <c r="E788" s="9"/>
      <c r="J788" s="5"/>
    </row>
    <row r="789" ht="15.75" customHeight="1">
      <c r="B789" s="2"/>
      <c r="E789" s="9"/>
      <c r="J789" s="5"/>
    </row>
    <row r="790" ht="15.75" customHeight="1">
      <c r="B790" s="2"/>
      <c r="E790" s="9"/>
      <c r="J790" s="5"/>
    </row>
    <row r="791" ht="15.75" customHeight="1">
      <c r="B791" s="2"/>
      <c r="E791" s="9"/>
      <c r="J791" s="5"/>
    </row>
    <row r="792" ht="15.75" customHeight="1">
      <c r="B792" s="2"/>
      <c r="E792" s="9"/>
      <c r="J792" s="5"/>
    </row>
    <row r="793" ht="15.75" customHeight="1">
      <c r="B793" s="2"/>
      <c r="E793" s="9"/>
      <c r="J793" s="5"/>
    </row>
    <row r="794" ht="15.75" customHeight="1">
      <c r="B794" s="2"/>
      <c r="E794" s="9"/>
      <c r="J794" s="5"/>
    </row>
    <row r="795" ht="15.75" customHeight="1">
      <c r="B795" s="2"/>
      <c r="E795" s="9"/>
      <c r="J795" s="5"/>
    </row>
    <row r="796" ht="15.75" customHeight="1">
      <c r="B796" s="2"/>
      <c r="E796" s="9"/>
      <c r="J796" s="5"/>
    </row>
    <row r="797" ht="15.75" customHeight="1">
      <c r="B797" s="2"/>
      <c r="E797" s="9"/>
      <c r="J797" s="5"/>
    </row>
    <row r="798" ht="15.75" customHeight="1">
      <c r="B798" s="2"/>
      <c r="E798" s="9"/>
      <c r="J798" s="5"/>
    </row>
    <row r="799" ht="15.75" customHeight="1">
      <c r="B799" s="2"/>
      <c r="E799" s="9"/>
      <c r="J799" s="5"/>
    </row>
    <row r="800" ht="15.75" customHeight="1">
      <c r="B800" s="2"/>
      <c r="E800" s="9"/>
      <c r="J800" s="5"/>
    </row>
    <row r="801" ht="15.75" customHeight="1">
      <c r="B801" s="2"/>
      <c r="E801" s="9"/>
      <c r="J801" s="5"/>
    </row>
    <row r="802" ht="15.75" customHeight="1">
      <c r="B802" s="2"/>
      <c r="E802" s="9"/>
      <c r="J802" s="5"/>
    </row>
    <row r="803" ht="15.75" customHeight="1">
      <c r="B803" s="2"/>
      <c r="E803" s="9"/>
      <c r="J803" s="5"/>
    </row>
    <row r="804" ht="15.75" customHeight="1">
      <c r="B804" s="2"/>
      <c r="E804" s="9"/>
      <c r="J804" s="5"/>
    </row>
    <row r="805" ht="15.75" customHeight="1">
      <c r="B805" s="2"/>
      <c r="E805" s="9"/>
      <c r="J805" s="5"/>
    </row>
    <row r="806" ht="15.75" customHeight="1">
      <c r="B806" s="2"/>
      <c r="E806" s="9"/>
      <c r="J806" s="5"/>
    </row>
    <row r="807" ht="15.75" customHeight="1">
      <c r="B807" s="2"/>
      <c r="E807" s="9"/>
      <c r="J807" s="5"/>
    </row>
    <row r="808" ht="15.75" customHeight="1">
      <c r="B808" s="2"/>
      <c r="E808" s="9"/>
      <c r="J808" s="5"/>
    </row>
    <row r="809" ht="15.75" customHeight="1">
      <c r="B809" s="2"/>
      <c r="E809" s="9"/>
      <c r="J809" s="5"/>
    </row>
    <row r="810" ht="15.75" customHeight="1">
      <c r="B810" s="2"/>
      <c r="E810" s="9"/>
      <c r="J810" s="5"/>
    </row>
    <row r="811" ht="15.75" customHeight="1">
      <c r="B811" s="2"/>
      <c r="E811" s="9"/>
      <c r="J811" s="5"/>
    </row>
    <row r="812" ht="15.75" customHeight="1">
      <c r="B812" s="2"/>
      <c r="E812" s="9"/>
      <c r="J812" s="5"/>
    </row>
    <row r="813" ht="15.75" customHeight="1">
      <c r="B813" s="2"/>
      <c r="E813" s="9"/>
      <c r="J813" s="5"/>
    </row>
    <row r="814" ht="15.75" customHeight="1">
      <c r="B814" s="2"/>
      <c r="E814" s="9"/>
      <c r="J814" s="5"/>
    </row>
    <row r="815" ht="15.75" customHeight="1">
      <c r="B815" s="2"/>
      <c r="E815" s="9"/>
      <c r="J815" s="5"/>
    </row>
    <row r="816" ht="15.75" customHeight="1">
      <c r="B816" s="2"/>
      <c r="E816" s="9"/>
      <c r="J816" s="5"/>
    </row>
    <row r="817" ht="15.75" customHeight="1">
      <c r="B817" s="2"/>
      <c r="E817" s="9"/>
      <c r="J817" s="5"/>
    </row>
    <row r="818" ht="15.75" customHeight="1">
      <c r="B818" s="2"/>
      <c r="E818" s="9"/>
      <c r="J818" s="5"/>
    </row>
    <row r="819" ht="15.75" customHeight="1">
      <c r="B819" s="2"/>
      <c r="E819" s="9"/>
      <c r="J819" s="5"/>
    </row>
    <row r="820" ht="15.75" customHeight="1">
      <c r="B820" s="2"/>
      <c r="E820" s="9"/>
      <c r="J820" s="5"/>
    </row>
    <row r="821" ht="15.75" customHeight="1">
      <c r="B821" s="2"/>
      <c r="E821" s="9"/>
      <c r="J821" s="5"/>
    </row>
    <row r="822" ht="15.75" customHeight="1">
      <c r="B822" s="2"/>
      <c r="E822" s="9"/>
      <c r="J822" s="5"/>
    </row>
    <row r="823" ht="15.75" customHeight="1">
      <c r="B823" s="2"/>
      <c r="E823" s="9"/>
      <c r="J823" s="5"/>
    </row>
    <row r="824" ht="15.75" customHeight="1">
      <c r="B824" s="2"/>
      <c r="E824" s="9"/>
      <c r="J824" s="5"/>
    </row>
    <row r="825" ht="15.75" customHeight="1">
      <c r="B825" s="2"/>
      <c r="E825" s="9"/>
      <c r="J825" s="5"/>
    </row>
    <row r="826" ht="15.75" customHeight="1">
      <c r="B826" s="2"/>
      <c r="E826" s="9"/>
      <c r="J826" s="5"/>
    </row>
    <row r="827" ht="15.75" customHeight="1">
      <c r="B827" s="2"/>
      <c r="E827" s="9"/>
      <c r="J827" s="5"/>
    </row>
    <row r="828" ht="15.75" customHeight="1">
      <c r="B828" s="2"/>
      <c r="E828" s="9"/>
      <c r="J828" s="5"/>
    </row>
    <row r="829" ht="15.75" customHeight="1">
      <c r="B829" s="2"/>
      <c r="E829" s="9"/>
      <c r="J829" s="5"/>
    </row>
    <row r="830" ht="15.75" customHeight="1">
      <c r="B830" s="2"/>
      <c r="E830" s="9"/>
      <c r="J830" s="5"/>
    </row>
    <row r="831" ht="15.75" customHeight="1">
      <c r="B831" s="2"/>
      <c r="E831" s="9"/>
      <c r="J831" s="5"/>
    </row>
    <row r="832" ht="15.75" customHeight="1">
      <c r="B832" s="2"/>
      <c r="E832" s="9"/>
      <c r="J832" s="5"/>
    </row>
    <row r="833" ht="15.75" customHeight="1">
      <c r="B833" s="2"/>
      <c r="E833" s="9"/>
      <c r="J833" s="5"/>
    </row>
    <row r="834" ht="15.75" customHeight="1">
      <c r="B834" s="2"/>
      <c r="E834" s="9"/>
      <c r="J834" s="5"/>
    </row>
    <row r="835" ht="15.75" customHeight="1">
      <c r="B835" s="2"/>
      <c r="E835" s="9"/>
      <c r="J835" s="5"/>
    </row>
    <row r="836" ht="15.75" customHeight="1">
      <c r="B836" s="2"/>
      <c r="E836" s="9"/>
      <c r="J836" s="5"/>
    </row>
    <row r="837" ht="15.75" customHeight="1">
      <c r="B837" s="2"/>
      <c r="E837" s="9"/>
      <c r="J837" s="5"/>
    </row>
    <row r="838" ht="15.75" customHeight="1">
      <c r="B838" s="2"/>
      <c r="E838" s="9"/>
      <c r="J838" s="5"/>
    </row>
    <row r="839" ht="15.75" customHeight="1">
      <c r="B839" s="2"/>
      <c r="E839" s="9"/>
      <c r="J839" s="5"/>
    </row>
    <row r="840" ht="15.75" customHeight="1">
      <c r="B840" s="2"/>
      <c r="E840" s="9"/>
      <c r="J840" s="5"/>
    </row>
    <row r="841" ht="15.75" customHeight="1">
      <c r="B841" s="2"/>
      <c r="E841" s="9"/>
      <c r="J841" s="5"/>
    </row>
    <row r="842" ht="15.75" customHeight="1">
      <c r="B842" s="2"/>
      <c r="E842" s="9"/>
      <c r="J842" s="5"/>
    </row>
    <row r="843" ht="15.75" customHeight="1">
      <c r="B843" s="2"/>
      <c r="E843" s="9"/>
      <c r="J843" s="5"/>
    </row>
    <row r="844" ht="15.75" customHeight="1">
      <c r="B844" s="2"/>
      <c r="E844" s="9"/>
      <c r="J844" s="5"/>
    </row>
    <row r="845" ht="15.75" customHeight="1">
      <c r="B845" s="2"/>
      <c r="E845" s="9"/>
      <c r="J845" s="5"/>
    </row>
    <row r="846" ht="15.75" customHeight="1">
      <c r="B846" s="2"/>
      <c r="E846" s="9"/>
      <c r="J846" s="5"/>
    </row>
    <row r="847" ht="15.75" customHeight="1">
      <c r="B847" s="2"/>
      <c r="E847" s="9"/>
      <c r="J847" s="5"/>
    </row>
    <row r="848" ht="15.75" customHeight="1">
      <c r="B848" s="2"/>
      <c r="E848" s="9"/>
      <c r="J848" s="5"/>
    </row>
    <row r="849" ht="15.75" customHeight="1">
      <c r="B849" s="2"/>
      <c r="E849" s="9"/>
      <c r="J849" s="5"/>
    </row>
    <row r="850" ht="15.75" customHeight="1">
      <c r="B850" s="2"/>
      <c r="E850" s="9"/>
      <c r="J850" s="5"/>
    </row>
    <row r="851" ht="15.75" customHeight="1">
      <c r="B851" s="2"/>
      <c r="E851" s="9"/>
      <c r="J851" s="5"/>
    </row>
    <row r="852" ht="15.75" customHeight="1">
      <c r="B852" s="2"/>
      <c r="E852" s="9"/>
      <c r="J852" s="5"/>
    </row>
    <row r="853" ht="15.75" customHeight="1">
      <c r="B853" s="2"/>
      <c r="E853" s="9"/>
      <c r="J853" s="5"/>
    </row>
    <row r="854" ht="15.75" customHeight="1">
      <c r="B854" s="2"/>
      <c r="E854" s="9"/>
      <c r="J854" s="5"/>
    </row>
    <row r="855" ht="15.75" customHeight="1">
      <c r="B855" s="2"/>
      <c r="E855" s="9"/>
      <c r="J855" s="5"/>
    </row>
    <row r="856" ht="15.75" customHeight="1">
      <c r="B856" s="2"/>
      <c r="E856" s="9"/>
      <c r="J856" s="5"/>
    </row>
    <row r="857" ht="15.75" customHeight="1">
      <c r="B857" s="2"/>
      <c r="E857" s="9"/>
      <c r="J857" s="5"/>
    </row>
    <row r="858" ht="15.75" customHeight="1">
      <c r="B858" s="2"/>
      <c r="E858" s="9"/>
      <c r="J858" s="5"/>
    </row>
    <row r="859" ht="15.75" customHeight="1">
      <c r="B859" s="2"/>
      <c r="E859" s="9"/>
      <c r="J859" s="5"/>
    </row>
    <row r="860" ht="15.75" customHeight="1">
      <c r="B860" s="2"/>
      <c r="E860" s="9"/>
      <c r="J860" s="5"/>
    </row>
    <row r="861" ht="15.75" customHeight="1">
      <c r="B861" s="2"/>
      <c r="E861" s="9"/>
      <c r="J861" s="5"/>
    </row>
    <row r="862" ht="15.75" customHeight="1">
      <c r="B862" s="2"/>
      <c r="E862" s="9"/>
      <c r="J862" s="5"/>
    </row>
    <row r="863" ht="15.75" customHeight="1">
      <c r="B863" s="2"/>
      <c r="E863" s="9"/>
      <c r="J863" s="5"/>
    </row>
    <row r="864" ht="15.75" customHeight="1">
      <c r="B864" s="2"/>
      <c r="E864" s="9"/>
      <c r="J864" s="5"/>
    </row>
    <row r="865" ht="15.75" customHeight="1">
      <c r="B865" s="2"/>
      <c r="E865" s="9"/>
      <c r="J865" s="5"/>
    </row>
    <row r="866" ht="15.75" customHeight="1">
      <c r="B866" s="2"/>
      <c r="E866" s="9"/>
      <c r="J866" s="5"/>
    </row>
    <row r="867" ht="15.75" customHeight="1">
      <c r="B867" s="2"/>
      <c r="E867" s="9"/>
      <c r="J867" s="5"/>
    </row>
    <row r="868" ht="15.75" customHeight="1">
      <c r="B868" s="2"/>
      <c r="E868" s="9"/>
      <c r="J868" s="5"/>
    </row>
    <row r="869" ht="15.75" customHeight="1">
      <c r="B869" s="2"/>
      <c r="E869" s="9"/>
      <c r="J869" s="5"/>
    </row>
    <row r="870" ht="15.75" customHeight="1">
      <c r="B870" s="2"/>
      <c r="E870" s="9"/>
      <c r="J870" s="5"/>
    </row>
    <row r="871" ht="15.75" customHeight="1">
      <c r="B871" s="2"/>
      <c r="E871" s="9"/>
      <c r="J871" s="5"/>
    </row>
    <row r="872" ht="15.75" customHeight="1">
      <c r="B872" s="2"/>
      <c r="E872" s="9"/>
      <c r="J872" s="5"/>
    </row>
    <row r="873" ht="15.75" customHeight="1">
      <c r="B873" s="2"/>
      <c r="E873" s="9"/>
      <c r="J873" s="5"/>
    </row>
    <row r="874" ht="15.75" customHeight="1">
      <c r="B874" s="2"/>
      <c r="E874" s="9"/>
      <c r="J874" s="5"/>
    </row>
    <row r="875" ht="15.75" customHeight="1">
      <c r="B875" s="2"/>
      <c r="E875" s="9"/>
      <c r="J875" s="5"/>
    </row>
    <row r="876" ht="15.75" customHeight="1">
      <c r="B876" s="2"/>
      <c r="E876" s="9"/>
      <c r="J876" s="5"/>
    </row>
    <row r="877" ht="15.75" customHeight="1">
      <c r="B877" s="2"/>
      <c r="E877" s="9"/>
      <c r="J877" s="5"/>
    </row>
    <row r="878" ht="15.75" customHeight="1">
      <c r="B878" s="2"/>
      <c r="E878" s="9"/>
      <c r="J878" s="5"/>
    </row>
    <row r="879" ht="15.75" customHeight="1">
      <c r="B879" s="2"/>
      <c r="E879" s="9"/>
      <c r="J879" s="5"/>
    </row>
    <row r="880" ht="15.75" customHeight="1">
      <c r="B880" s="2"/>
      <c r="E880" s="9"/>
      <c r="J880" s="5"/>
    </row>
    <row r="881" ht="15.75" customHeight="1">
      <c r="B881" s="2"/>
      <c r="E881" s="9"/>
      <c r="J881" s="5"/>
    </row>
    <row r="882" ht="15.75" customHeight="1">
      <c r="B882" s="2"/>
      <c r="E882" s="9"/>
      <c r="J882" s="5"/>
    </row>
    <row r="883" ht="15.75" customHeight="1">
      <c r="B883" s="2"/>
      <c r="E883" s="9"/>
      <c r="J883" s="5"/>
    </row>
    <row r="884" ht="15.75" customHeight="1">
      <c r="B884" s="2"/>
      <c r="E884" s="9"/>
      <c r="J884" s="5"/>
    </row>
    <row r="885" ht="15.75" customHeight="1">
      <c r="B885" s="2"/>
      <c r="E885" s="9"/>
      <c r="J885" s="5"/>
    </row>
    <row r="886" ht="15.75" customHeight="1">
      <c r="B886" s="2"/>
      <c r="E886" s="9"/>
      <c r="J886" s="5"/>
    </row>
    <row r="887" ht="15.75" customHeight="1">
      <c r="B887" s="2"/>
      <c r="E887" s="9"/>
      <c r="J887" s="5"/>
    </row>
    <row r="888" ht="15.75" customHeight="1">
      <c r="B888" s="2"/>
      <c r="E888" s="9"/>
      <c r="J888" s="5"/>
    </row>
    <row r="889" ht="15.75" customHeight="1">
      <c r="B889" s="2"/>
      <c r="E889" s="9"/>
      <c r="J889" s="5"/>
    </row>
    <row r="890" ht="15.75" customHeight="1">
      <c r="B890" s="2"/>
      <c r="E890" s="9"/>
      <c r="J890" s="5"/>
    </row>
    <row r="891" ht="15.75" customHeight="1">
      <c r="B891" s="2"/>
      <c r="E891" s="9"/>
      <c r="J891" s="5"/>
    </row>
    <row r="892" ht="15.75" customHeight="1">
      <c r="B892" s="2"/>
      <c r="E892" s="9"/>
      <c r="J892" s="5"/>
    </row>
    <row r="893" ht="15.75" customHeight="1">
      <c r="B893" s="2"/>
      <c r="E893" s="9"/>
      <c r="J893" s="5"/>
    </row>
    <row r="894" ht="15.75" customHeight="1">
      <c r="B894" s="2"/>
      <c r="E894" s="9"/>
      <c r="J894" s="5"/>
    </row>
    <row r="895" ht="15.75" customHeight="1">
      <c r="B895" s="2"/>
      <c r="E895" s="9"/>
      <c r="J895" s="5"/>
    </row>
    <row r="896" ht="15.75" customHeight="1">
      <c r="B896" s="2"/>
      <c r="E896" s="9"/>
      <c r="J896" s="5"/>
    </row>
    <row r="897" ht="15.75" customHeight="1">
      <c r="B897" s="2"/>
      <c r="E897" s="9"/>
      <c r="J897" s="5"/>
    </row>
    <row r="898" ht="15.75" customHeight="1">
      <c r="B898" s="2"/>
      <c r="E898" s="9"/>
      <c r="J898" s="5"/>
    </row>
    <row r="899" ht="15.75" customHeight="1">
      <c r="B899" s="2"/>
      <c r="E899" s="9"/>
      <c r="J899" s="5"/>
    </row>
    <row r="900" ht="15.75" customHeight="1">
      <c r="B900" s="2"/>
      <c r="E900" s="9"/>
      <c r="J900" s="5"/>
    </row>
    <row r="901" ht="15.75" customHeight="1">
      <c r="B901" s="2"/>
      <c r="E901" s="9"/>
      <c r="J901" s="5"/>
    </row>
    <row r="902" ht="15.75" customHeight="1">
      <c r="B902" s="2"/>
      <c r="E902" s="9"/>
      <c r="J902" s="5"/>
    </row>
    <row r="903" ht="15.75" customHeight="1">
      <c r="B903" s="2"/>
      <c r="E903" s="9"/>
      <c r="J903" s="5"/>
    </row>
    <row r="904" ht="15.75" customHeight="1">
      <c r="B904" s="2"/>
      <c r="E904" s="9"/>
      <c r="J904" s="5"/>
    </row>
    <row r="905" ht="15.75" customHeight="1">
      <c r="B905" s="2"/>
      <c r="E905" s="9"/>
      <c r="J905" s="5"/>
    </row>
    <row r="906" ht="15.75" customHeight="1">
      <c r="B906" s="2"/>
      <c r="E906" s="9"/>
      <c r="J906" s="5"/>
    </row>
    <row r="907" ht="15.75" customHeight="1">
      <c r="B907" s="2"/>
      <c r="E907" s="9"/>
      <c r="J907" s="5"/>
    </row>
    <row r="908" ht="15.75" customHeight="1">
      <c r="B908" s="2"/>
      <c r="E908" s="9"/>
      <c r="J908" s="5"/>
    </row>
    <row r="909" ht="15.75" customHeight="1">
      <c r="B909" s="2"/>
      <c r="E909" s="9"/>
      <c r="J909" s="5"/>
    </row>
    <row r="910" ht="15.75" customHeight="1">
      <c r="B910" s="2"/>
      <c r="E910" s="9"/>
      <c r="J910" s="5"/>
    </row>
    <row r="911" ht="15.75" customHeight="1">
      <c r="B911" s="2"/>
      <c r="E911" s="9"/>
      <c r="J911" s="5"/>
    </row>
    <row r="912" ht="15.75" customHeight="1">
      <c r="B912" s="2"/>
      <c r="E912" s="9"/>
      <c r="J912" s="5"/>
    </row>
    <row r="913" ht="15.75" customHeight="1">
      <c r="B913" s="2"/>
      <c r="E913" s="9"/>
      <c r="J913" s="5"/>
    </row>
    <row r="914" ht="15.75" customHeight="1">
      <c r="B914" s="2"/>
      <c r="E914" s="9"/>
      <c r="J914" s="5"/>
    </row>
    <row r="915" ht="15.75" customHeight="1">
      <c r="B915" s="2"/>
      <c r="E915" s="9"/>
      <c r="J915" s="5"/>
    </row>
    <row r="916" ht="15.75" customHeight="1">
      <c r="B916" s="2"/>
      <c r="E916" s="9"/>
      <c r="J916" s="5"/>
    </row>
    <row r="917" ht="15.75" customHeight="1">
      <c r="B917" s="2"/>
      <c r="E917" s="9"/>
      <c r="J917" s="5"/>
    </row>
    <row r="918" ht="15.75" customHeight="1">
      <c r="B918" s="2"/>
      <c r="E918" s="9"/>
      <c r="J918" s="5"/>
    </row>
    <row r="919" ht="15.75" customHeight="1">
      <c r="B919" s="2"/>
      <c r="E919" s="9"/>
      <c r="J919" s="5"/>
    </row>
    <row r="920" ht="15.75" customHeight="1">
      <c r="B920" s="2"/>
      <c r="E920" s="9"/>
      <c r="J920" s="5"/>
    </row>
    <row r="921" ht="15.75" customHeight="1">
      <c r="B921" s="2"/>
      <c r="E921" s="9"/>
      <c r="J921" s="5"/>
    </row>
    <row r="922" ht="15.75" customHeight="1">
      <c r="B922" s="2"/>
      <c r="E922" s="9"/>
      <c r="J922" s="5"/>
    </row>
    <row r="923" ht="15.75" customHeight="1">
      <c r="B923" s="2"/>
      <c r="E923" s="9"/>
      <c r="J923" s="5"/>
    </row>
    <row r="924" ht="15.75" customHeight="1">
      <c r="B924" s="2"/>
      <c r="E924" s="9"/>
      <c r="J924" s="5"/>
    </row>
    <row r="925" ht="15.75" customHeight="1">
      <c r="B925" s="2"/>
      <c r="E925" s="9"/>
      <c r="J925" s="5"/>
    </row>
    <row r="926" ht="15.75" customHeight="1">
      <c r="B926" s="2"/>
      <c r="E926" s="9"/>
      <c r="J926" s="5"/>
    </row>
    <row r="927" ht="15.75" customHeight="1">
      <c r="B927" s="2"/>
      <c r="E927" s="9"/>
      <c r="J927" s="5"/>
    </row>
    <row r="928" ht="15.75" customHeight="1">
      <c r="B928" s="2"/>
      <c r="E928" s="9"/>
      <c r="J928" s="5"/>
    </row>
    <row r="929" ht="15.75" customHeight="1">
      <c r="B929" s="2"/>
      <c r="E929" s="9"/>
      <c r="J929" s="5"/>
    </row>
    <row r="930" ht="15.75" customHeight="1">
      <c r="B930" s="2"/>
      <c r="E930" s="9"/>
      <c r="J930" s="5"/>
    </row>
    <row r="931" ht="15.75" customHeight="1">
      <c r="B931" s="2"/>
      <c r="E931" s="9"/>
      <c r="J931" s="5"/>
    </row>
    <row r="932" ht="15.75" customHeight="1">
      <c r="B932" s="2"/>
      <c r="E932" s="9"/>
      <c r="J932" s="5"/>
    </row>
    <row r="933" ht="15.75" customHeight="1">
      <c r="B933" s="2"/>
      <c r="E933" s="9"/>
      <c r="J933" s="5"/>
    </row>
    <row r="934" ht="15.75" customHeight="1">
      <c r="B934" s="2"/>
      <c r="E934" s="9"/>
      <c r="J934" s="5"/>
    </row>
    <row r="935" ht="15.75" customHeight="1">
      <c r="B935" s="2"/>
      <c r="E935" s="9"/>
      <c r="J935" s="5"/>
    </row>
    <row r="936" ht="15.75" customHeight="1">
      <c r="B936" s="2"/>
      <c r="E936" s="9"/>
      <c r="J936" s="5"/>
    </row>
    <row r="937" ht="15.75" customHeight="1">
      <c r="B937" s="2"/>
      <c r="E937" s="9"/>
      <c r="J937" s="5"/>
    </row>
    <row r="938" ht="15.75" customHeight="1">
      <c r="B938" s="2"/>
      <c r="E938" s="9"/>
      <c r="J938" s="5"/>
    </row>
    <row r="939" ht="15.75" customHeight="1">
      <c r="B939" s="2"/>
      <c r="E939" s="9"/>
      <c r="J939" s="5"/>
    </row>
    <row r="940" ht="15.75" customHeight="1">
      <c r="B940" s="2"/>
      <c r="E940" s="9"/>
      <c r="J940" s="5"/>
    </row>
    <row r="941" ht="15.75" customHeight="1">
      <c r="B941" s="2"/>
      <c r="E941" s="9"/>
      <c r="J941" s="5"/>
    </row>
    <row r="942" ht="15.75" customHeight="1">
      <c r="B942" s="2"/>
      <c r="E942" s="9"/>
      <c r="J942" s="5"/>
    </row>
    <row r="943" ht="15.75" customHeight="1">
      <c r="B943" s="2"/>
      <c r="E943" s="9"/>
      <c r="J943" s="5"/>
    </row>
    <row r="944" ht="15.75" customHeight="1">
      <c r="B944" s="2"/>
      <c r="E944" s="9"/>
      <c r="J944" s="5"/>
    </row>
    <row r="945" ht="15.75" customHeight="1">
      <c r="B945" s="2"/>
      <c r="E945" s="9"/>
      <c r="J945" s="5"/>
    </row>
    <row r="946" ht="15.75" customHeight="1">
      <c r="B946" s="2"/>
      <c r="E946" s="9"/>
      <c r="J946" s="5"/>
    </row>
    <row r="947" ht="15.75" customHeight="1">
      <c r="B947" s="2"/>
      <c r="E947" s="9"/>
      <c r="J947" s="5"/>
    </row>
    <row r="948" ht="15.75" customHeight="1">
      <c r="B948" s="2"/>
      <c r="E948" s="9"/>
      <c r="J948" s="5"/>
    </row>
    <row r="949" ht="15.75" customHeight="1">
      <c r="B949" s="2"/>
      <c r="E949" s="9"/>
      <c r="J949" s="5"/>
    </row>
    <row r="950" ht="15.75" customHeight="1">
      <c r="B950" s="2"/>
      <c r="E950" s="9"/>
      <c r="J950" s="5"/>
    </row>
    <row r="951" ht="15.75" customHeight="1">
      <c r="B951" s="2"/>
      <c r="E951" s="9"/>
      <c r="J951" s="5"/>
    </row>
    <row r="952" ht="15.75" customHeight="1">
      <c r="B952" s="2"/>
      <c r="E952" s="9"/>
      <c r="J952" s="5"/>
    </row>
    <row r="953" ht="15.75" customHeight="1">
      <c r="B953" s="2"/>
      <c r="E953" s="9"/>
      <c r="J953" s="5"/>
    </row>
    <row r="954" ht="15.75" customHeight="1">
      <c r="B954" s="2"/>
      <c r="E954" s="9"/>
      <c r="J954" s="5"/>
    </row>
    <row r="955" ht="15.75" customHeight="1">
      <c r="B955" s="2"/>
      <c r="E955" s="9"/>
      <c r="J955" s="5"/>
    </row>
    <row r="956" ht="15.75" customHeight="1">
      <c r="B956" s="2"/>
      <c r="E956" s="9"/>
      <c r="J956" s="5"/>
    </row>
    <row r="957" ht="15.75" customHeight="1">
      <c r="B957" s="2"/>
      <c r="E957" s="9"/>
      <c r="J957" s="5"/>
    </row>
    <row r="958" ht="15.75" customHeight="1">
      <c r="B958" s="2"/>
      <c r="E958" s="9"/>
      <c r="J958" s="5"/>
    </row>
    <row r="959" ht="15.75" customHeight="1">
      <c r="B959" s="2"/>
      <c r="E959" s="9"/>
      <c r="J959" s="5"/>
    </row>
    <row r="960" ht="15.75" customHeight="1">
      <c r="B960" s="2"/>
      <c r="E960" s="9"/>
      <c r="J960" s="5"/>
    </row>
    <row r="961" ht="15.75" customHeight="1">
      <c r="B961" s="2"/>
      <c r="E961" s="9"/>
      <c r="J961" s="5"/>
    </row>
    <row r="962" ht="15.75" customHeight="1">
      <c r="B962" s="2"/>
      <c r="E962" s="9"/>
      <c r="J962" s="5"/>
    </row>
    <row r="963" ht="15.75" customHeight="1">
      <c r="B963" s="2"/>
      <c r="E963" s="9"/>
      <c r="J963" s="5"/>
    </row>
    <row r="964" ht="15.75" customHeight="1">
      <c r="B964" s="2"/>
      <c r="E964" s="9"/>
      <c r="J964" s="5"/>
    </row>
    <row r="965" ht="15.75" customHeight="1">
      <c r="B965" s="2"/>
      <c r="E965" s="9"/>
      <c r="J965" s="5"/>
    </row>
    <row r="966" ht="15.75" customHeight="1">
      <c r="B966" s="2"/>
      <c r="E966" s="9"/>
      <c r="J966" s="5"/>
    </row>
    <row r="967" ht="15.75" customHeight="1">
      <c r="B967" s="2"/>
      <c r="E967" s="9"/>
      <c r="J967" s="5"/>
    </row>
    <row r="968" ht="15.75" customHeight="1">
      <c r="B968" s="2"/>
      <c r="E968" s="9"/>
      <c r="J968" s="5"/>
    </row>
    <row r="969" ht="15.75" customHeight="1">
      <c r="B969" s="2"/>
      <c r="E969" s="9"/>
      <c r="J969" s="5"/>
    </row>
    <row r="970" ht="15.75" customHeight="1">
      <c r="B970" s="2"/>
      <c r="E970" s="9"/>
      <c r="J970" s="5"/>
    </row>
    <row r="971" ht="15.75" customHeight="1">
      <c r="B971" s="2"/>
      <c r="E971" s="9"/>
      <c r="J971" s="5"/>
    </row>
    <row r="972" ht="15.75" customHeight="1">
      <c r="B972" s="2"/>
      <c r="E972" s="9"/>
      <c r="J972" s="5"/>
    </row>
    <row r="973" ht="15.75" customHeight="1">
      <c r="B973" s="2"/>
      <c r="E973" s="9"/>
      <c r="J973" s="5"/>
    </row>
    <row r="974" ht="15.75" customHeight="1">
      <c r="B974" s="2"/>
      <c r="E974" s="9"/>
      <c r="J974" s="5"/>
    </row>
    <row r="975" ht="15.75" customHeight="1">
      <c r="B975" s="2"/>
      <c r="E975" s="9"/>
      <c r="J975" s="5"/>
    </row>
    <row r="976" ht="15.75" customHeight="1">
      <c r="B976" s="2"/>
      <c r="E976" s="9"/>
      <c r="J976" s="5"/>
    </row>
    <row r="977" ht="15.75" customHeight="1">
      <c r="B977" s="2"/>
      <c r="E977" s="9"/>
      <c r="J977" s="5"/>
    </row>
    <row r="978" ht="15.75" customHeight="1">
      <c r="B978" s="2"/>
      <c r="E978" s="9"/>
      <c r="J978" s="5"/>
    </row>
    <row r="979" ht="15.75" customHeight="1">
      <c r="B979" s="2"/>
      <c r="E979" s="9"/>
      <c r="J979" s="5"/>
    </row>
    <row r="980" ht="15.75" customHeight="1">
      <c r="B980" s="2"/>
      <c r="E980" s="9"/>
      <c r="J980" s="5"/>
    </row>
    <row r="981" ht="15.75" customHeight="1">
      <c r="B981" s="2"/>
      <c r="E981" s="9"/>
      <c r="J981" s="5"/>
    </row>
    <row r="982" ht="15.75" customHeight="1">
      <c r="B982" s="2"/>
      <c r="E982" s="9"/>
      <c r="J982" s="5"/>
    </row>
    <row r="983" ht="15.75" customHeight="1">
      <c r="B983" s="2"/>
      <c r="E983" s="9"/>
      <c r="J983" s="5"/>
    </row>
    <row r="984" ht="15.75" customHeight="1">
      <c r="B984" s="2"/>
      <c r="E984" s="9"/>
      <c r="J984" s="5"/>
    </row>
    <row r="985" ht="15.75" customHeight="1">
      <c r="B985" s="2"/>
      <c r="E985" s="9"/>
      <c r="J985" s="5"/>
    </row>
    <row r="986" ht="15.75" customHeight="1">
      <c r="B986" s="2"/>
      <c r="E986" s="9"/>
      <c r="J986" s="5"/>
    </row>
    <row r="987" ht="15.75" customHeight="1">
      <c r="B987" s="2"/>
      <c r="E987" s="9"/>
      <c r="J987" s="5"/>
    </row>
    <row r="988" ht="15.75" customHeight="1">
      <c r="B988" s="2"/>
      <c r="E988" s="9"/>
      <c r="J988" s="5"/>
    </row>
    <row r="989" ht="15.75" customHeight="1">
      <c r="B989" s="2"/>
      <c r="E989" s="9"/>
      <c r="J989" s="5"/>
    </row>
    <row r="990" ht="15.75" customHeight="1">
      <c r="B990" s="2"/>
      <c r="E990" s="9"/>
      <c r="J990" s="5"/>
    </row>
    <row r="991" ht="15.75" customHeight="1">
      <c r="B991" s="2"/>
      <c r="E991" s="9"/>
      <c r="J991" s="5"/>
    </row>
    <row r="992" ht="15.75" customHeight="1">
      <c r="B992" s="2"/>
      <c r="E992" s="9"/>
      <c r="J992" s="5"/>
    </row>
    <row r="993" ht="15.75" customHeight="1">
      <c r="B993" s="2"/>
      <c r="E993" s="9"/>
      <c r="J993" s="5"/>
    </row>
    <row r="994" ht="15.75" customHeight="1">
      <c r="B994" s="2"/>
      <c r="E994" s="9"/>
      <c r="J994" s="5"/>
    </row>
    <row r="995" ht="15.75" customHeight="1">
      <c r="B995" s="2"/>
      <c r="E995" s="9"/>
      <c r="J995" s="5"/>
    </row>
    <row r="996" ht="15.75" customHeight="1">
      <c r="B996" s="2"/>
      <c r="E996" s="9"/>
      <c r="J996" s="5"/>
    </row>
    <row r="997" ht="15.75" customHeight="1">
      <c r="B997" s="2"/>
      <c r="E997" s="9"/>
      <c r="J997" s="5"/>
    </row>
    <row r="998" ht="15.75" customHeight="1">
      <c r="B998" s="2"/>
      <c r="E998" s="9"/>
      <c r="J998" s="5"/>
    </row>
    <row r="999" ht="15.75" customHeight="1">
      <c r="B999" s="2"/>
      <c r="E999" s="9"/>
      <c r="J999" s="5"/>
    </row>
    <row r="1000" ht="15.75" customHeight="1">
      <c r="B1000" s="2"/>
      <c r="E1000" s="9"/>
      <c r="J1000" s="5"/>
    </row>
  </sheetData>
  <mergeCells count="3">
    <mergeCell ref="D1:E1"/>
    <mergeCell ref="D7:E7"/>
    <mergeCell ref="D8:E8"/>
  </mergeCells>
  <printOptions/>
  <pageMargins bottom="0.75" footer="0.0" header="0.0" left="0.7" right="0.7" top="0.75"/>
  <pageSetup fitToHeight="0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929</v>
      </c>
    </row>
    <row r="2">
      <c r="A2" s="71" t="s">
        <v>930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9.0E7</v>
      </c>
      <c r="J4" s="25"/>
    </row>
    <row r="5">
      <c r="A5" s="33">
        <v>45622.0</v>
      </c>
      <c r="B5" s="34" t="s">
        <v>513</v>
      </c>
      <c r="C5" s="35" t="s">
        <v>789</v>
      </c>
      <c r="D5" s="36"/>
      <c r="E5" s="36">
        <v>1.1325E7</v>
      </c>
      <c r="F5" s="36"/>
      <c r="G5" s="36"/>
      <c r="H5" s="36">
        <f t="shared" ref="H5:H6" si="1">SUM(D5:G5)</f>
        <v>11325000</v>
      </c>
      <c r="I5" s="36">
        <f t="shared" ref="I5:I6" si="2">I4-H5</f>
        <v>78675000</v>
      </c>
      <c r="J5" s="34"/>
    </row>
    <row r="6">
      <c r="A6" s="33">
        <v>45714.0</v>
      </c>
      <c r="B6" s="34" t="s">
        <v>513</v>
      </c>
      <c r="C6" s="35" t="s">
        <v>793</v>
      </c>
      <c r="D6" s="36"/>
      <c r="E6" s="36">
        <v>4.5E7</v>
      </c>
      <c r="F6" s="36"/>
      <c r="G6" s="36"/>
      <c r="H6" s="36">
        <f t="shared" si="1"/>
        <v>45000000</v>
      </c>
      <c r="I6" s="36">
        <f t="shared" si="2"/>
        <v>33675000</v>
      </c>
      <c r="J6" s="34"/>
    </row>
    <row r="7">
      <c r="A7" s="25"/>
      <c r="B7" s="38" t="s">
        <v>69</v>
      </c>
      <c r="C7" s="39"/>
      <c r="D7" s="27">
        <f t="shared" ref="D7:H7" si="3">SUM(D5:D6)</f>
        <v>0</v>
      </c>
      <c r="E7" s="27">
        <f t="shared" si="3"/>
        <v>56325000</v>
      </c>
      <c r="F7" s="27">
        <f t="shared" si="3"/>
        <v>0</v>
      </c>
      <c r="G7" s="27">
        <f t="shared" si="3"/>
        <v>0</v>
      </c>
      <c r="H7" s="27">
        <f t="shared" si="3"/>
        <v>56325000</v>
      </c>
      <c r="I7" s="27">
        <f>I6</f>
        <v>33675000</v>
      </c>
      <c r="J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6" width="15.0"/>
    <col customWidth="1" min="7" max="7" width="16.0"/>
    <col customWidth="1" min="8" max="8" width="15.0"/>
    <col customWidth="1" min="9" max="9" width="16.0"/>
    <col customWidth="1" min="10" max="10" width="60.0"/>
    <col customWidth="1" min="11" max="26" width="8.67"/>
  </cols>
  <sheetData>
    <row r="1">
      <c r="A1" s="70" t="s">
        <v>931</v>
      </c>
    </row>
    <row r="2">
      <c r="A2" s="71" t="s">
        <v>932</v>
      </c>
      <c r="B2" s="72"/>
      <c r="C2" s="72"/>
      <c r="D2" s="72"/>
      <c r="E2" s="72"/>
      <c r="F2" s="72"/>
      <c r="G2" s="72"/>
      <c r="H2" s="72"/>
      <c r="I2" s="72"/>
      <c r="J2" s="72"/>
    </row>
    <row r="3">
      <c r="A3" s="24" t="s">
        <v>24</v>
      </c>
      <c r="B3" s="24" t="s">
        <v>31</v>
      </c>
      <c r="C3" s="24" t="s">
        <v>32</v>
      </c>
      <c r="D3" s="24" t="s">
        <v>33</v>
      </c>
      <c r="E3" s="24" t="s">
        <v>34</v>
      </c>
      <c r="F3" s="24" t="s">
        <v>35</v>
      </c>
      <c r="G3" s="24" t="s">
        <v>36</v>
      </c>
      <c r="H3" s="24" t="s">
        <v>37</v>
      </c>
      <c r="I3" s="24" t="s">
        <v>38</v>
      </c>
      <c r="J3" s="24" t="s">
        <v>39</v>
      </c>
    </row>
    <row r="4">
      <c r="A4" s="25"/>
      <c r="B4" s="26" t="s">
        <v>40</v>
      </c>
      <c r="C4" s="25"/>
      <c r="D4" s="25"/>
      <c r="E4" s="25"/>
      <c r="F4" s="25"/>
      <c r="G4" s="25"/>
      <c r="H4" s="25"/>
      <c r="I4" s="27">
        <v>1.480116E8</v>
      </c>
      <c r="J4" s="25"/>
    </row>
    <row r="5">
      <c r="A5" s="33">
        <v>45622.0</v>
      </c>
      <c r="B5" s="34" t="s">
        <v>513</v>
      </c>
      <c r="C5" s="35" t="s">
        <v>789</v>
      </c>
      <c r="D5" s="36"/>
      <c r="E5" s="36">
        <v>1.1325E7</v>
      </c>
      <c r="F5" s="36"/>
      <c r="G5" s="36"/>
      <c r="H5" s="36">
        <f t="shared" ref="H5:H6" si="1">SUM(D5:G5)</f>
        <v>11325000</v>
      </c>
      <c r="I5" s="36">
        <f t="shared" ref="I5:I6" si="2">I4-H5</f>
        <v>136686600</v>
      </c>
      <c r="J5" s="34"/>
    </row>
    <row r="6">
      <c r="A6" s="33">
        <v>45714.0</v>
      </c>
      <c r="B6" s="34" t="s">
        <v>513</v>
      </c>
      <c r="C6" s="35" t="s">
        <v>793</v>
      </c>
      <c r="D6" s="36"/>
      <c r="E6" s="36">
        <v>4.5E7</v>
      </c>
      <c r="F6" s="36"/>
      <c r="G6" s="36"/>
      <c r="H6" s="36">
        <f t="shared" si="1"/>
        <v>45000000</v>
      </c>
      <c r="I6" s="36">
        <f t="shared" si="2"/>
        <v>91686600</v>
      </c>
      <c r="J6" s="34"/>
    </row>
    <row r="7">
      <c r="A7" s="25"/>
      <c r="B7" s="38" t="s">
        <v>69</v>
      </c>
      <c r="C7" s="39"/>
      <c r="D7" s="27">
        <f t="shared" ref="D7:H7" si="3">SUM(D5:D6)</f>
        <v>0</v>
      </c>
      <c r="E7" s="27">
        <f t="shared" si="3"/>
        <v>56325000</v>
      </c>
      <c r="F7" s="27">
        <f t="shared" si="3"/>
        <v>0</v>
      </c>
      <c r="G7" s="27">
        <f t="shared" si="3"/>
        <v>0</v>
      </c>
      <c r="H7" s="27">
        <f t="shared" si="3"/>
        <v>56325000</v>
      </c>
      <c r="I7" s="27">
        <f>I6</f>
        <v>91686600</v>
      </c>
      <c r="J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